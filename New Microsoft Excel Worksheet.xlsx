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C3691F-746B-4E60-ABD1-A1F07613C821}" xr6:coauthVersionLast="47" xr6:coauthVersionMax="47" xr10:uidLastSave="{00000000-0000-0000-0000-000000000000}"/>
  <bookViews>
    <workbookView xWindow="-120" yWindow="-120" windowWidth="29040" windowHeight="15720" xr2:uid="{A1A85840-2E9F-4BD0-A63F-3B06BF02F5DC}"/>
  </bookViews>
  <sheets>
    <sheet name="Excel_Advanced_Sales_Datase (2)" sheetId="4" r:id="rId1"/>
    <sheet name="Excel_Advanced_Sales_Dataset_20" sheetId="2" r:id="rId2"/>
    <sheet name="Sheet1" sheetId="1" r:id="rId3"/>
  </sheets>
  <definedNames>
    <definedName name="ExternalData_1" localSheetId="1" hidden="1">Excel_Advanced_Sales_Dataset_20!$A$1:$P$2001</definedName>
    <definedName name="ExternalData_2" localSheetId="0" hidden="1">'Excel_Advanced_Sales_Datase (2)'!$A$1:$R$2001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M2001" i="4" a="1"/>
  <c r="M2001" i="4" s="1"/>
  <c r="M2000" i="4" a="1"/>
  <c r="M2000" i="4" s="1"/>
  <c r="M1999" i="4" a="1"/>
  <c r="M1999" i="4" s="1"/>
  <c r="M1998" i="4" a="1"/>
  <c r="M1998" i="4" s="1"/>
  <c r="M1997" i="4" a="1"/>
  <c r="M1997" i="4" s="1"/>
  <c r="M1996" i="4" a="1"/>
  <c r="M1996" i="4" s="1"/>
  <c r="M1995" i="4" a="1"/>
  <c r="M1995" i="4" s="1"/>
  <c r="M1994" i="4" a="1"/>
  <c r="M1994" i="4" s="1"/>
  <c r="M1993" i="4" a="1"/>
  <c r="M1993" i="4" s="1"/>
  <c r="M1992" i="4" a="1"/>
  <c r="M1992" i="4" s="1"/>
  <c r="M1991" i="4" a="1"/>
  <c r="M1991" i="4" s="1"/>
  <c r="M1990" i="4" a="1"/>
  <c r="M1990" i="4" s="1"/>
  <c r="M1989" i="4" a="1"/>
  <c r="M1989" i="4" s="1"/>
  <c r="M1988" i="4" a="1"/>
  <c r="M1988" i="4" s="1"/>
  <c r="M1987" i="4" a="1"/>
  <c r="M1987" i="4" s="1"/>
  <c r="M1986" i="4" a="1"/>
  <c r="M1986" i="4" s="1"/>
  <c r="M1985" i="4" a="1"/>
  <c r="M1985" i="4" s="1"/>
  <c r="M1984" i="4" a="1"/>
  <c r="M1984" i="4" s="1"/>
  <c r="M1983" i="4" a="1"/>
  <c r="M1983" i="4" s="1"/>
  <c r="M1982" i="4" a="1"/>
  <c r="M1982" i="4" s="1"/>
  <c r="M1981" i="4" a="1"/>
  <c r="M1981" i="4" s="1"/>
  <c r="M1980" i="4" a="1"/>
  <c r="M1980" i="4" s="1"/>
  <c r="M1979" i="4" a="1"/>
  <c r="M1979" i="4" s="1"/>
  <c r="M1978" i="4" a="1"/>
  <c r="M1978" i="4" s="1"/>
  <c r="M1977" i="4" a="1"/>
  <c r="M1977" i="4" s="1"/>
  <c r="M1976" i="4" a="1"/>
  <c r="M1976" i="4" s="1"/>
  <c r="M1975" i="4" a="1"/>
  <c r="M1975" i="4" s="1"/>
  <c r="M1974" i="4" a="1"/>
  <c r="M1974" i="4" s="1"/>
  <c r="M1973" i="4" a="1"/>
  <c r="M1973" i="4" s="1"/>
  <c r="M1972" i="4" a="1"/>
  <c r="M1972" i="4"/>
  <c r="M1971" i="4" a="1"/>
  <c r="M1971" i="4" s="1"/>
  <c r="M1970" i="4" a="1"/>
  <c r="M1970" i="4" s="1"/>
  <c r="M1969" i="4" a="1"/>
  <c r="M1969" i="4" s="1"/>
  <c r="M1968" i="4" a="1"/>
  <c r="M1968" i="4" s="1"/>
  <c r="M1967" i="4" a="1"/>
  <c r="M1967" i="4" s="1"/>
  <c r="M1966" i="4" a="1"/>
  <c r="M1966" i="4" s="1"/>
  <c r="M1965" i="4" a="1"/>
  <c r="M1965" i="4" s="1"/>
  <c r="M1964" i="4" a="1"/>
  <c r="M1964" i="4" s="1"/>
  <c r="M1963" i="4" a="1"/>
  <c r="M1963" i="4" s="1"/>
  <c r="M1962" i="4" a="1"/>
  <c r="M1962" i="4" s="1"/>
  <c r="M1961" i="4" a="1"/>
  <c r="M1961" i="4" s="1"/>
  <c r="M1960" i="4" a="1"/>
  <c r="M1960" i="4" s="1"/>
  <c r="M1959" i="4" a="1"/>
  <c r="M1959" i="4" s="1"/>
  <c r="M1958" i="4" a="1"/>
  <c r="M1958" i="4" s="1"/>
  <c r="M1957" i="4" a="1"/>
  <c r="M1957" i="4" s="1"/>
  <c r="M1956" i="4" a="1"/>
  <c r="M1956" i="4" s="1"/>
  <c r="M1955" i="4" a="1"/>
  <c r="M1955" i="4" s="1"/>
  <c r="M1954" i="4" a="1"/>
  <c r="M1954" i="4" s="1"/>
  <c r="M1953" i="4" a="1"/>
  <c r="M1953" i="4" s="1"/>
  <c r="M1952" i="4" a="1"/>
  <c r="M1952" i="4"/>
  <c r="M1951" i="4" a="1"/>
  <c r="M1951" i="4" s="1"/>
  <c r="M1950" i="4" a="1"/>
  <c r="M1950" i="4" s="1"/>
  <c r="M1949" i="4" a="1"/>
  <c r="M1949" i="4" s="1"/>
  <c r="M1948" i="4" a="1"/>
  <c r="M1948" i="4" s="1"/>
  <c r="M1947" i="4" a="1"/>
  <c r="M1947" i="4" s="1"/>
  <c r="M1946" i="4" a="1"/>
  <c r="M1946" i="4" s="1"/>
  <c r="M1945" i="4" a="1"/>
  <c r="M1945" i="4" s="1"/>
  <c r="M1944" i="4" a="1"/>
  <c r="M1944" i="4" s="1"/>
  <c r="M1943" i="4" a="1"/>
  <c r="M1943" i="4" s="1"/>
  <c r="M1942" i="4" a="1"/>
  <c r="M1942" i="4" s="1"/>
  <c r="M1941" i="4" a="1"/>
  <c r="M1941" i="4" s="1"/>
  <c r="M1940" i="4" a="1"/>
  <c r="M1940" i="4" s="1"/>
  <c r="M1939" i="4" a="1"/>
  <c r="M1939" i="4" s="1"/>
  <c r="M1938" i="4" a="1"/>
  <c r="M1938" i="4" s="1"/>
  <c r="M1937" i="4" a="1"/>
  <c r="M1937" i="4" s="1"/>
  <c r="M1936" i="4" a="1"/>
  <c r="M1936" i="4" s="1"/>
  <c r="M1935" i="4" a="1"/>
  <c r="M1935" i="4" s="1"/>
  <c r="M1934" i="4" a="1"/>
  <c r="M1934" i="4" s="1"/>
  <c r="M1933" i="4" a="1"/>
  <c r="M1933" i="4" s="1"/>
  <c r="M1932" i="4" a="1"/>
  <c r="M1932" i="4" s="1"/>
  <c r="M1931" i="4" a="1"/>
  <c r="M1931" i="4" s="1"/>
  <c r="M1930" i="4" a="1"/>
  <c r="M1930" i="4" s="1"/>
  <c r="M1929" i="4" a="1"/>
  <c r="M1929" i="4" s="1"/>
  <c r="M1928" i="4" a="1"/>
  <c r="M1928" i="4" s="1"/>
  <c r="M1927" i="4" a="1"/>
  <c r="M1927" i="4"/>
  <c r="M1926" i="4" a="1"/>
  <c r="M1926" i="4" s="1"/>
  <c r="M1925" i="4" a="1"/>
  <c r="M1925" i="4" s="1"/>
  <c r="M1924" i="4" a="1"/>
  <c r="M1924" i="4" s="1"/>
  <c r="M1923" i="4" a="1"/>
  <c r="M1923" i="4" s="1"/>
  <c r="M1922" i="4" a="1"/>
  <c r="M1922" i="4" s="1"/>
  <c r="M1921" i="4" a="1"/>
  <c r="M1921" i="4" s="1"/>
  <c r="M1920" i="4" a="1"/>
  <c r="M1920" i="4" s="1"/>
  <c r="M1919" i="4" a="1"/>
  <c r="M1919" i="4" s="1"/>
  <c r="M1918" i="4" a="1"/>
  <c r="M1918" i="4" s="1"/>
  <c r="M1917" i="4" a="1"/>
  <c r="M1917" i="4" s="1"/>
  <c r="M1916" i="4" a="1"/>
  <c r="M1916" i="4" s="1"/>
  <c r="M1915" i="4" a="1"/>
  <c r="M1915" i="4" s="1"/>
  <c r="M1914" i="4" a="1"/>
  <c r="M1914" i="4" s="1"/>
  <c r="M1913" i="4" a="1"/>
  <c r="M1913" i="4" s="1"/>
  <c r="M1912" i="4" a="1"/>
  <c r="M1912" i="4" s="1"/>
  <c r="M1911" i="4" a="1"/>
  <c r="M1911" i="4" s="1"/>
  <c r="M1910" i="4" a="1"/>
  <c r="M1910" i="4" s="1"/>
  <c r="M1909" i="4" a="1"/>
  <c r="M1909" i="4" s="1"/>
  <c r="M1908" i="4" a="1"/>
  <c r="M1908" i="4" s="1"/>
  <c r="M1907" i="4" a="1"/>
  <c r="M1907" i="4"/>
  <c r="M1906" i="4" a="1"/>
  <c r="M1906" i="4" s="1"/>
  <c r="M1905" i="4" a="1"/>
  <c r="M1905" i="4" s="1"/>
  <c r="M1904" i="4" a="1"/>
  <c r="M1904" i="4" s="1"/>
  <c r="M1903" i="4" a="1"/>
  <c r="M1903" i="4" s="1"/>
  <c r="M1902" i="4" a="1"/>
  <c r="M1902" i="4" s="1"/>
  <c r="M1901" i="4" a="1"/>
  <c r="M1901" i="4" s="1"/>
  <c r="M1900" i="4" a="1"/>
  <c r="M1900" i="4" s="1"/>
  <c r="M1899" i="4" a="1"/>
  <c r="M1899" i="4" s="1"/>
  <c r="M1898" i="4" a="1"/>
  <c r="M1898" i="4" s="1"/>
  <c r="M1897" i="4" a="1"/>
  <c r="M1897" i="4" s="1"/>
  <c r="M1896" i="4" a="1"/>
  <c r="M1896" i="4" s="1"/>
  <c r="M1895" i="4" a="1"/>
  <c r="M1895" i="4" s="1"/>
  <c r="M1894" i="4" a="1"/>
  <c r="M1894" i="4"/>
  <c r="M1893" i="4" a="1"/>
  <c r="M1893" i="4" s="1"/>
  <c r="M1892" i="4" a="1"/>
  <c r="M1892" i="4" s="1"/>
  <c r="M1891" i="4" a="1"/>
  <c r="M1891" i="4" s="1"/>
  <c r="M1890" i="4" a="1"/>
  <c r="M1890" i="4" s="1"/>
  <c r="M1889" i="4" a="1"/>
  <c r="M1889" i="4" s="1"/>
  <c r="M1888" i="4" a="1"/>
  <c r="M1888" i="4"/>
  <c r="M1887" i="4" a="1"/>
  <c r="M1887" i="4" s="1"/>
  <c r="M1886" i="4" a="1"/>
  <c r="M1886" i="4" s="1"/>
  <c r="M1885" i="4" a="1"/>
  <c r="M1885" i="4" s="1"/>
  <c r="M1884" i="4" a="1"/>
  <c r="M1884" i="4" s="1"/>
  <c r="M1883" i="4" a="1"/>
  <c r="M1883" i="4" s="1"/>
  <c r="M1882" i="4" a="1"/>
  <c r="M1882" i="4" s="1"/>
  <c r="M1881" i="4" a="1"/>
  <c r="M1881" i="4" s="1"/>
  <c r="M1880" i="4" a="1"/>
  <c r="M1880" i="4" s="1"/>
  <c r="M1879" i="4" a="1"/>
  <c r="M1879" i="4" s="1"/>
  <c r="M1878" i="4" a="1"/>
  <c r="M1878" i="4" s="1"/>
  <c r="M1877" i="4" a="1"/>
  <c r="M1877" i="4" s="1"/>
  <c r="M1876" i="4" a="1"/>
  <c r="M1876" i="4" s="1"/>
  <c r="M1875" i="4" a="1"/>
  <c r="M1875" i="4" s="1"/>
  <c r="M1874" i="4" a="1"/>
  <c r="M1874" i="4" s="1"/>
  <c r="M1873" i="4" a="1"/>
  <c r="M1873" i="4" s="1"/>
  <c r="M1872" i="4" a="1"/>
  <c r="M1872" i="4" s="1"/>
  <c r="M1871" i="4" a="1"/>
  <c r="M1871" i="4" s="1"/>
  <c r="M1870" i="4" a="1"/>
  <c r="M1870" i="4" s="1"/>
  <c r="M1869" i="4" a="1"/>
  <c r="M1869" i="4" s="1"/>
  <c r="M1868" i="4" a="1"/>
  <c r="M1868" i="4" s="1"/>
  <c r="M1867" i="4" a="1"/>
  <c r="M1867" i="4" s="1"/>
  <c r="M1866" i="4" a="1"/>
  <c r="M1866" i="4" s="1"/>
  <c r="M1865" i="4" a="1"/>
  <c r="M1865" i="4" s="1"/>
  <c r="M1864" i="4" a="1"/>
  <c r="M1864" i="4" s="1"/>
  <c r="M1863" i="4" a="1"/>
  <c r="M1863" i="4" s="1"/>
  <c r="M1862" i="4" a="1"/>
  <c r="M1862" i="4" s="1"/>
  <c r="M1861" i="4" a="1"/>
  <c r="M1861" i="4" s="1"/>
  <c r="M1860" i="4" a="1"/>
  <c r="M1860" i="4" s="1"/>
  <c r="M1859" i="4" a="1"/>
  <c r="M1859" i="4" s="1"/>
  <c r="M1858" i="4" a="1"/>
  <c r="M1858" i="4" s="1"/>
  <c r="M1857" i="4" a="1"/>
  <c r="M1857" i="4" s="1"/>
  <c r="M1856" i="4" a="1"/>
  <c r="M1856" i="4" s="1"/>
  <c r="M1855" i="4" a="1"/>
  <c r="M1855" i="4" s="1"/>
  <c r="M1854" i="4" a="1"/>
  <c r="M1854" i="4" s="1"/>
  <c r="M1853" i="4" a="1"/>
  <c r="M1853" i="4" s="1"/>
  <c r="M1852" i="4" a="1"/>
  <c r="M1852" i="4" s="1"/>
  <c r="M1851" i="4" a="1"/>
  <c r="M1851" i="4" s="1"/>
  <c r="M1850" i="4" a="1"/>
  <c r="M1850" i="4" s="1"/>
  <c r="M1849" i="4" a="1"/>
  <c r="M1849" i="4"/>
  <c r="M1848" i="4" a="1"/>
  <c r="M1848" i="4" s="1"/>
  <c r="M1847" i="4" a="1"/>
  <c r="M1847" i="4" s="1"/>
  <c r="M1846" i="4" a="1"/>
  <c r="M1846" i="4" s="1"/>
  <c r="M1845" i="4" a="1"/>
  <c r="M1845" i="4" s="1"/>
  <c r="M1844" i="4" a="1"/>
  <c r="M1844" i="4" s="1"/>
  <c r="M1843" i="4" a="1"/>
  <c r="M1843" i="4" s="1"/>
  <c r="M1842" i="4" a="1"/>
  <c r="M1842" i="4" s="1"/>
  <c r="M1841" i="4" a="1"/>
  <c r="M1841" i="4" s="1"/>
  <c r="M1840" i="4" a="1"/>
  <c r="M1840" i="4" s="1"/>
  <c r="M1839" i="4" a="1"/>
  <c r="M1839" i="4" s="1"/>
  <c r="M1838" i="4" a="1"/>
  <c r="M1838" i="4" s="1"/>
  <c r="M1837" i="4" a="1"/>
  <c r="M1837" i="4"/>
  <c r="M1836" i="4" a="1"/>
  <c r="M1836" i="4" s="1"/>
  <c r="M1835" i="4" a="1"/>
  <c r="M1835" i="4" s="1"/>
  <c r="M1834" i="4" a="1"/>
  <c r="M1834" i="4" s="1"/>
  <c r="M1833" i="4" a="1"/>
  <c r="M1833" i="4" s="1"/>
  <c r="M1832" i="4" a="1"/>
  <c r="M1832" i="4" s="1"/>
  <c r="M1831" i="4" a="1"/>
  <c r="M1831" i="4" s="1"/>
  <c r="M1830" i="4" a="1"/>
  <c r="M1830" i="4" s="1"/>
  <c r="M1829" i="4" a="1"/>
  <c r="M1829" i="4" s="1"/>
  <c r="M1828" i="4" a="1"/>
  <c r="M1828" i="4"/>
  <c r="M1827" i="4" a="1"/>
  <c r="M1827" i="4" s="1"/>
  <c r="M1826" i="4" a="1"/>
  <c r="M1826" i="4" s="1"/>
  <c r="M1825" i="4" a="1"/>
  <c r="M1825" i="4" s="1"/>
  <c r="M1824" i="4" a="1"/>
  <c r="M1824" i="4" s="1"/>
  <c r="M1823" i="4" a="1"/>
  <c r="M1823" i="4" s="1"/>
  <c r="M1822" i="4" a="1"/>
  <c r="M1822" i="4" s="1"/>
  <c r="M1821" i="4" a="1"/>
  <c r="M1821" i="4" s="1"/>
  <c r="M1820" i="4" a="1"/>
  <c r="M1820" i="4" s="1"/>
  <c r="M1819" i="4" a="1"/>
  <c r="M1819" i="4" s="1"/>
  <c r="M1818" i="4" a="1"/>
  <c r="M1818" i="4" s="1"/>
  <c r="M1817" i="4" a="1"/>
  <c r="M1817" i="4" s="1"/>
  <c r="M1816" i="4" a="1"/>
  <c r="M1816" i="4" s="1"/>
  <c r="M1815" i="4" a="1"/>
  <c r="M1815" i="4" s="1"/>
  <c r="M1814" i="4" a="1"/>
  <c r="M1814" i="4" s="1"/>
  <c r="M1813" i="4" a="1"/>
  <c r="M1813" i="4" s="1"/>
  <c r="M1812" i="4" a="1"/>
  <c r="M1812" i="4" s="1"/>
  <c r="M1811" i="4" a="1"/>
  <c r="M1811" i="4" s="1"/>
  <c r="M1810" i="4" a="1"/>
  <c r="M1810" i="4" s="1"/>
  <c r="M1809" i="4" a="1"/>
  <c r="M1809" i="4" s="1"/>
  <c r="M1808" i="4" a="1"/>
  <c r="M1808" i="4" s="1"/>
  <c r="M1807" i="4" a="1"/>
  <c r="M1807" i="4" s="1"/>
  <c r="M1806" i="4" a="1"/>
  <c r="M1806" i="4" s="1"/>
  <c r="M1805" i="4" a="1"/>
  <c r="M1805" i="4" s="1"/>
  <c r="M1804" i="4" a="1"/>
  <c r="M1804" i="4" s="1"/>
  <c r="M1803" i="4" a="1"/>
  <c r="M1803" i="4" s="1"/>
  <c r="M1802" i="4" a="1"/>
  <c r="M1802" i="4" s="1"/>
  <c r="M1801" i="4" a="1"/>
  <c r="M1801" i="4" s="1"/>
  <c r="M1800" i="4" a="1"/>
  <c r="M1800" i="4" s="1"/>
  <c r="M1799" i="4" a="1"/>
  <c r="M1799" i="4" s="1"/>
  <c r="M1798" i="4" a="1"/>
  <c r="M1798" i="4" s="1"/>
  <c r="M1797" i="4" a="1"/>
  <c r="M1797" i="4" s="1"/>
  <c r="M1796" i="4" a="1"/>
  <c r="M1796" i="4"/>
  <c r="M1795" i="4" a="1"/>
  <c r="M1795" i="4"/>
  <c r="M1794" i="4" a="1"/>
  <c r="M1794" i="4" s="1"/>
  <c r="M1793" i="4" a="1"/>
  <c r="M1793" i="4" s="1"/>
  <c r="M1792" i="4" a="1"/>
  <c r="M1792" i="4" s="1"/>
  <c r="M1791" i="4" a="1"/>
  <c r="M1791" i="4" s="1"/>
  <c r="M1790" i="4" a="1"/>
  <c r="M1790" i="4" s="1"/>
  <c r="M1789" i="4" a="1"/>
  <c r="M1789" i="4" s="1"/>
  <c r="M1788" i="4" a="1"/>
  <c r="M1788" i="4" s="1"/>
  <c r="M1787" i="4" a="1"/>
  <c r="M1787" i="4" s="1"/>
  <c r="M1786" i="4" a="1"/>
  <c r="M1786" i="4" s="1"/>
  <c r="M1785" i="4" a="1"/>
  <c r="M1785" i="4" s="1"/>
  <c r="M1784" i="4" a="1"/>
  <c r="M1784" i="4" s="1"/>
  <c r="M1783" i="4" a="1"/>
  <c r="M1783" i="4" s="1"/>
  <c r="M1782" i="4" a="1"/>
  <c r="M1782" i="4" s="1"/>
  <c r="M1781" i="4" a="1"/>
  <c r="M1781" i="4" s="1"/>
  <c r="M1780" i="4" a="1"/>
  <c r="M1780" i="4" s="1"/>
  <c r="M1779" i="4" a="1"/>
  <c r="M1779" i="4" s="1"/>
  <c r="M1778" i="4" a="1"/>
  <c r="M1778" i="4" s="1"/>
  <c r="M1777" i="4" a="1"/>
  <c r="M1777" i="4" s="1"/>
  <c r="M1776" i="4" a="1"/>
  <c r="M1776" i="4" s="1"/>
  <c r="M1775" i="4" a="1"/>
  <c r="M1775" i="4" s="1"/>
  <c r="M1774" i="4" a="1"/>
  <c r="M1774" i="4" s="1"/>
  <c r="M1773" i="4" a="1"/>
  <c r="M1773" i="4" s="1"/>
  <c r="M1772" i="4" a="1"/>
  <c r="M1772" i="4" s="1"/>
  <c r="M1771" i="4" a="1"/>
  <c r="M1771" i="4" s="1"/>
  <c r="M1770" i="4" a="1"/>
  <c r="M1770" i="4"/>
  <c r="M1769" i="4" a="1"/>
  <c r="M1769" i="4" s="1"/>
  <c r="M1768" i="4" a="1"/>
  <c r="M1768" i="4" s="1"/>
  <c r="M1767" i="4" a="1"/>
  <c r="M1767" i="4" s="1"/>
  <c r="M1766" i="4" a="1"/>
  <c r="M1766" i="4" s="1"/>
  <c r="M1765" i="4" a="1"/>
  <c r="M1765" i="4" s="1"/>
  <c r="M1764" i="4" a="1"/>
  <c r="M1764" i="4" s="1"/>
  <c r="M1763" i="4" a="1"/>
  <c r="M1763" i="4" s="1"/>
  <c r="M1762" i="4" a="1"/>
  <c r="M1762" i="4" s="1"/>
  <c r="M1761" i="4" a="1"/>
  <c r="M1761" i="4" s="1"/>
  <c r="M1760" i="4" a="1"/>
  <c r="M1760" i="4" s="1"/>
  <c r="M1759" i="4" a="1"/>
  <c r="M1759" i="4" s="1"/>
  <c r="M1758" i="4" a="1"/>
  <c r="M1758" i="4" s="1"/>
  <c r="M1757" i="4" a="1"/>
  <c r="M1757" i="4" s="1"/>
  <c r="M1756" i="4" a="1"/>
  <c r="M1756" i="4" s="1"/>
  <c r="M1755" i="4" a="1"/>
  <c r="M1755" i="4" s="1"/>
  <c r="M1754" i="4" a="1"/>
  <c r="M1754" i="4" s="1"/>
  <c r="M1753" i="4" a="1"/>
  <c r="M1753" i="4" s="1"/>
  <c r="M1752" i="4" a="1"/>
  <c r="M1752" i="4" s="1"/>
  <c r="M1751" i="4" a="1"/>
  <c r="M1751" i="4" s="1"/>
  <c r="M1750" i="4" a="1"/>
  <c r="M1750" i="4" s="1"/>
  <c r="M1749" i="4" a="1"/>
  <c r="M1749" i="4" s="1"/>
  <c r="M1748" i="4" a="1"/>
  <c r="M1748" i="4" s="1"/>
  <c r="M1747" i="4" a="1"/>
  <c r="M1747" i="4" s="1"/>
  <c r="M1746" i="4" a="1"/>
  <c r="M1746" i="4" s="1"/>
  <c r="M1745" i="4" a="1"/>
  <c r="M1745" i="4" s="1"/>
  <c r="M1744" i="4" a="1"/>
  <c r="M1744" i="4" s="1"/>
  <c r="M1743" i="4" a="1"/>
  <c r="M1743" i="4" s="1"/>
  <c r="M1742" i="4" a="1"/>
  <c r="M1742" i="4" s="1"/>
  <c r="M1741" i="4" a="1"/>
  <c r="M1741" i="4" s="1"/>
  <c r="M1740" i="4" a="1"/>
  <c r="M1740" i="4"/>
  <c r="M1739" i="4" a="1"/>
  <c r="M1739" i="4" s="1"/>
  <c r="M1738" i="4" a="1"/>
  <c r="M1738" i="4" s="1"/>
  <c r="M1737" i="4" a="1"/>
  <c r="M1737" i="4" s="1"/>
  <c r="M1736" i="4" a="1"/>
  <c r="M1736" i="4" s="1"/>
  <c r="M1735" i="4" a="1"/>
  <c r="M1735" i="4" s="1"/>
  <c r="M1734" i="4" a="1"/>
  <c r="M1734" i="4" s="1"/>
  <c r="M1733" i="4" a="1"/>
  <c r="M1733" i="4" s="1"/>
  <c r="M1732" i="4" a="1"/>
  <c r="M1732" i="4" s="1"/>
  <c r="M1731" i="4" a="1"/>
  <c r="M1731" i="4" s="1"/>
  <c r="M1730" i="4" a="1"/>
  <c r="M1730" i="4" s="1"/>
  <c r="M1729" i="4" a="1"/>
  <c r="M1729" i="4" s="1"/>
  <c r="M1728" i="4" a="1"/>
  <c r="M1728" i="4" s="1"/>
  <c r="M1727" i="4" a="1"/>
  <c r="M1727" i="4" s="1"/>
  <c r="M1726" i="4" a="1"/>
  <c r="M1726" i="4" s="1"/>
  <c r="M1725" i="4" a="1"/>
  <c r="M1725" i="4" s="1"/>
  <c r="M1724" i="4" a="1"/>
  <c r="M1724" i="4" s="1"/>
  <c r="M1723" i="4" a="1"/>
  <c r="M1723" i="4" s="1"/>
  <c r="M1722" i="4" a="1"/>
  <c r="M1722" i="4" s="1"/>
  <c r="M1721" i="4" a="1"/>
  <c r="M1721" i="4" s="1"/>
  <c r="M1720" i="4" a="1"/>
  <c r="M1720" i="4" s="1"/>
  <c r="M1719" i="4" a="1"/>
  <c r="M1719" i="4" s="1"/>
  <c r="M1718" i="4" a="1"/>
  <c r="M1718" i="4" s="1"/>
  <c r="M1717" i="4" a="1"/>
  <c r="M1717" i="4" s="1"/>
  <c r="M1716" i="4" a="1"/>
  <c r="M1716" i="4" s="1"/>
  <c r="M1715" i="4" a="1"/>
  <c r="M1715" i="4" s="1"/>
  <c r="M1714" i="4" a="1"/>
  <c r="M1714" i="4" s="1"/>
  <c r="M1713" i="4" a="1"/>
  <c r="M1713" i="4" s="1"/>
  <c r="M1712" i="4" a="1"/>
  <c r="M1712" i="4" s="1"/>
  <c r="M1711" i="4" a="1"/>
  <c r="M1711" i="4" s="1"/>
  <c r="M1710" i="4" a="1"/>
  <c r="M1710" i="4" s="1"/>
  <c r="M1709" i="4" a="1"/>
  <c r="M1709" i="4" s="1"/>
  <c r="M1708" i="4" a="1"/>
  <c r="M1708" i="4" s="1"/>
  <c r="M1707" i="4" a="1"/>
  <c r="M1707" i="4" s="1"/>
  <c r="M1706" i="4" a="1"/>
  <c r="M1706" i="4" s="1"/>
  <c r="M1705" i="4" a="1"/>
  <c r="M1705" i="4" s="1"/>
  <c r="M1704" i="4" a="1"/>
  <c r="M1704" i="4" s="1"/>
  <c r="M1703" i="4" a="1"/>
  <c r="M1703" i="4" s="1"/>
  <c r="M1702" i="4" a="1"/>
  <c r="M1702" i="4" s="1"/>
  <c r="M1701" i="4" a="1"/>
  <c r="M1701" i="4" s="1"/>
  <c r="M1700" i="4" a="1"/>
  <c r="M1700" i="4" s="1"/>
  <c r="M1699" i="4" a="1"/>
  <c r="M1699" i="4" s="1"/>
  <c r="M1698" i="4" a="1"/>
  <c r="M1698" i="4" s="1"/>
  <c r="M1697" i="4" a="1"/>
  <c r="M1697" i="4" s="1"/>
  <c r="M1696" i="4" a="1"/>
  <c r="M1696" i="4" s="1"/>
  <c r="M1695" i="4" a="1"/>
  <c r="M1695" i="4" s="1"/>
  <c r="M1694" i="4" a="1"/>
  <c r="M1694" i="4" s="1"/>
  <c r="M1693" i="4" a="1"/>
  <c r="M1693" i="4" s="1"/>
  <c r="M1692" i="4" a="1"/>
  <c r="M1692" i="4" s="1"/>
  <c r="M1691" i="4" a="1"/>
  <c r="M1691" i="4" s="1"/>
  <c r="M1690" i="4" a="1"/>
  <c r="M1690" i="4" s="1"/>
  <c r="M1689" i="4" a="1"/>
  <c r="M1689" i="4" s="1"/>
  <c r="M1688" i="4" a="1"/>
  <c r="M1688" i="4" s="1"/>
  <c r="M1687" i="4" a="1"/>
  <c r="M1687" i="4" s="1"/>
  <c r="M1686" i="4" a="1"/>
  <c r="M1686" i="4" s="1"/>
  <c r="M1685" i="4" a="1"/>
  <c r="M1685" i="4" s="1"/>
  <c r="M1684" i="4" a="1"/>
  <c r="M1684" i="4" s="1"/>
  <c r="M1683" i="4" a="1"/>
  <c r="M1683" i="4" s="1"/>
  <c r="M1682" i="4" a="1"/>
  <c r="M1682" i="4" s="1"/>
  <c r="M1681" i="4" a="1"/>
  <c r="M1681" i="4" s="1"/>
  <c r="M1680" i="4" a="1"/>
  <c r="M1680" i="4" s="1"/>
  <c r="M1679" i="4" a="1"/>
  <c r="M1679" i="4" s="1"/>
  <c r="M1678" i="4" a="1"/>
  <c r="M1678" i="4" s="1"/>
  <c r="M1677" i="4" a="1"/>
  <c r="M1677" i="4" s="1"/>
  <c r="M1676" i="4" a="1"/>
  <c r="M1676" i="4" s="1"/>
  <c r="M1675" i="4" a="1"/>
  <c r="M1675" i="4" s="1"/>
  <c r="M1674" i="4" a="1"/>
  <c r="M1674" i="4" s="1"/>
  <c r="M1673" i="4" a="1"/>
  <c r="M1673" i="4" s="1"/>
  <c r="M1672" i="4" a="1"/>
  <c r="M1672" i="4" s="1"/>
  <c r="M1671" i="4" a="1"/>
  <c r="M1671" i="4" s="1"/>
  <c r="M1670" i="4" a="1"/>
  <c r="M1670" i="4" s="1"/>
  <c r="M1669" i="4" a="1"/>
  <c r="M1669" i="4" s="1"/>
  <c r="M1668" i="4" a="1"/>
  <c r="M1668" i="4" s="1"/>
  <c r="M1667" i="4" a="1"/>
  <c r="M1667" i="4" s="1"/>
  <c r="M1666" i="4" a="1"/>
  <c r="M1666" i="4" s="1"/>
  <c r="M1665" i="4" a="1"/>
  <c r="M1665" i="4" s="1"/>
  <c r="M1664" i="4" a="1"/>
  <c r="M1664" i="4" s="1"/>
  <c r="M1663" i="4" a="1"/>
  <c r="M1663" i="4" s="1"/>
  <c r="M1662" i="4" a="1"/>
  <c r="M1662" i="4" s="1"/>
  <c r="M1661" i="4" a="1"/>
  <c r="M1661" i="4" s="1"/>
  <c r="M1660" i="4" a="1"/>
  <c r="M1660" i="4" s="1"/>
  <c r="M1659" i="4" a="1"/>
  <c r="M1659" i="4" s="1"/>
  <c r="M1658" i="4" a="1"/>
  <c r="M1658" i="4" s="1"/>
  <c r="M1657" i="4" a="1"/>
  <c r="M1657" i="4" s="1"/>
  <c r="M1656" i="4" a="1"/>
  <c r="M1656" i="4" s="1"/>
  <c r="M1655" i="4" a="1"/>
  <c r="M1655" i="4" s="1"/>
  <c r="M1654" i="4" a="1"/>
  <c r="M1654" i="4" s="1"/>
  <c r="M1653" i="4" a="1"/>
  <c r="M1653" i="4" s="1"/>
  <c r="M1652" i="4" a="1"/>
  <c r="M1652" i="4" s="1"/>
  <c r="M1651" i="4" a="1"/>
  <c r="M1651" i="4" s="1"/>
  <c r="M1650" i="4" a="1"/>
  <c r="M1650" i="4" s="1"/>
  <c r="M1649" i="4" a="1"/>
  <c r="M1649" i="4" s="1"/>
  <c r="M1648" i="4" a="1"/>
  <c r="M1648" i="4" s="1"/>
  <c r="M1647" i="4" a="1"/>
  <c r="M1647" i="4" s="1"/>
  <c r="M1646" i="4" a="1"/>
  <c r="M1646" i="4" s="1"/>
  <c r="M1645" i="4" a="1"/>
  <c r="M1645" i="4" s="1"/>
  <c r="M1644" i="4" a="1"/>
  <c r="M1644" i="4" s="1"/>
  <c r="M1643" i="4" a="1"/>
  <c r="M1643" i="4" s="1"/>
  <c r="M1642" i="4" a="1"/>
  <c r="M1642" i="4" s="1"/>
  <c r="M1641" i="4" a="1"/>
  <c r="M1641" i="4" s="1"/>
  <c r="M1640" i="4" a="1"/>
  <c r="M1640" i="4" s="1"/>
  <c r="M1639" i="4" a="1"/>
  <c r="M1639" i="4" s="1"/>
  <c r="M1638" i="4" a="1"/>
  <c r="M1638" i="4" s="1"/>
  <c r="M1637" i="4" a="1"/>
  <c r="M1637" i="4" s="1"/>
  <c r="M1636" i="4" a="1"/>
  <c r="M1636" i="4" s="1"/>
  <c r="M1635" i="4" a="1"/>
  <c r="M1635" i="4" s="1"/>
  <c r="M1634" i="4" a="1"/>
  <c r="M1634" i="4" s="1"/>
  <c r="M1633" i="4" a="1"/>
  <c r="M1633" i="4" s="1"/>
  <c r="M1632" i="4" a="1"/>
  <c r="M1632" i="4" s="1"/>
  <c r="M1631" i="4" a="1"/>
  <c r="M1631" i="4" s="1"/>
  <c r="M1630" i="4" a="1"/>
  <c r="M1630" i="4" s="1"/>
  <c r="M1629" i="4" a="1"/>
  <c r="M1629" i="4" s="1"/>
  <c r="M1628" i="4" a="1"/>
  <c r="M1628" i="4" s="1"/>
  <c r="M1627" i="4" a="1"/>
  <c r="M1627" i="4" s="1"/>
  <c r="M1626" i="4" a="1"/>
  <c r="M1626" i="4" s="1"/>
  <c r="M1625" i="4" a="1"/>
  <c r="M1625" i="4" s="1"/>
  <c r="M1624" i="4" a="1"/>
  <c r="M1624" i="4" s="1"/>
  <c r="M1623" i="4" a="1"/>
  <c r="M1623" i="4" s="1"/>
  <c r="M1622" i="4" a="1"/>
  <c r="M1622" i="4" s="1"/>
  <c r="M1621" i="4" a="1"/>
  <c r="M1621" i="4" s="1"/>
  <c r="M1620" i="4" a="1"/>
  <c r="M1620" i="4" s="1"/>
  <c r="M1619" i="4" a="1"/>
  <c r="M1619" i="4" s="1"/>
  <c r="M1618" i="4" a="1"/>
  <c r="M1618" i="4" s="1"/>
  <c r="M1617" i="4" a="1"/>
  <c r="M1617" i="4" s="1"/>
  <c r="M1616" i="4" a="1"/>
  <c r="M1616" i="4" s="1"/>
  <c r="M1615" i="4" a="1"/>
  <c r="M1615" i="4" s="1"/>
  <c r="M1614" i="4" a="1"/>
  <c r="M1614" i="4" s="1"/>
  <c r="M1613" i="4" a="1"/>
  <c r="M1613" i="4" s="1"/>
  <c r="M1612" i="4" a="1"/>
  <c r="M1612" i="4" s="1"/>
  <c r="M1611" i="4" a="1"/>
  <c r="M1611" i="4" s="1"/>
  <c r="M1610" i="4" a="1"/>
  <c r="M1610" i="4" s="1"/>
  <c r="M1609" i="4" a="1"/>
  <c r="M1609" i="4" s="1"/>
  <c r="M1608" i="4" a="1"/>
  <c r="M1608" i="4" s="1"/>
  <c r="M1607" i="4" a="1"/>
  <c r="M1607" i="4" s="1"/>
  <c r="M1606" i="4" a="1"/>
  <c r="M1606" i="4" s="1"/>
  <c r="M1605" i="4" a="1"/>
  <c r="M1605" i="4" s="1"/>
  <c r="M1604" i="4" a="1"/>
  <c r="M1604" i="4" s="1"/>
  <c r="M1603" i="4" a="1"/>
  <c r="M1603" i="4" s="1"/>
  <c r="M1602" i="4" a="1"/>
  <c r="M1602" i="4" s="1"/>
  <c r="M1601" i="4" a="1"/>
  <c r="M1601" i="4" s="1"/>
  <c r="M1600" i="4" a="1"/>
  <c r="M1600" i="4" s="1"/>
  <c r="M1599" i="4" a="1"/>
  <c r="M1599" i="4" s="1"/>
  <c r="M1598" i="4" a="1"/>
  <c r="M1598" i="4" s="1"/>
  <c r="M1597" i="4" a="1"/>
  <c r="M1597" i="4" s="1"/>
  <c r="M1596" i="4" a="1"/>
  <c r="M1596" i="4" s="1"/>
  <c r="M1595" i="4" a="1"/>
  <c r="M1595" i="4" s="1"/>
  <c r="M1594" i="4" a="1"/>
  <c r="M1594" i="4" s="1"/>
  <c r="M1593" i="4" a="1"/>
  <c r="M1593" i="4" s="1"/>
  <c r="M1592" i="4" a="1"/>
  <c r="M1592" i="4" s="1"/>
  <c r="M1591" i="4" a="1"/>
  <c r="M1591" i="4" s="1"/>
  <c r="M1590" i="4" a="1"/>
  <c r="M1590" i="4" s="1"/>
  <c r="M1589" i="4" a="1"/>
  <c r="M1589" i="4" s="1"/>
  <c r="M1588" i="4" a="1"/>
  <c r="M1588" i="4" s="1"/>
  <c r="M1587" i="4" a="1"/>
  <c r="M1587" i="4" s="1"/>
  <c r="M1586" i="4" a="1"/>
  <c r="M1586" i="4" s="1"/>
  <c r="M1585" i="4" a="1"/>
  <c r="M1585" i="4" s="1"/>
  <c r="M1584" i="4" a="1"/>
  <c r="M1584" i="4" s="1"/>
  <c r="M1583" i="4" a="1"/>
  <c r="M1583" i="4" s="1"/>
  <c r="M1582" i="4" a="1"/>
  <c r="M1582" i="4" s="1"/>
  <c r="M1581" i="4" a="1"/>
  <c r="M1581" i="4" s="1"/>
  <c r="M1580" i="4" a="1"/>
  <c r="M1580" i="4" s="1"/>
  <c r="M1579" i="4" a="1"/>
  <c r="M1579" i="4" s="1"/>
  <c r="M1578" i="4" a="1"/>
  <c r="M1578" i="4" s="1"/>
  <c r="M1577" i="4" a="1"/>
  <c r="M1577" i="4" s="1"/>
  <c r="M1576" i="4" a="1"/>
  <c r="M1576" i="4" s="1"/>
  <c r="M1575" i="4" a="1"/>
  <c r="M1575" i="4" s="1"/>
  <c r="M1574" i="4" a="1"/>
  <c r="M1574" i="4" s="1"/>
  <c r="M1573" i="4" a="1"/>
  <c r="M1573" i="4" s="1"/>
  <c r="M1572" i="4" a="1"/>
  <c r="M1572" i="4" s="1"/>
  <c r="M1571" i="4" a="1"/>
  <c r="M1571" i="4" s="1"/>
  <c r="M1570" i="4" a="1"/>
  <c r="M1570" i="4" s="1"/>
  <c r="M1569" i="4" a="1"/>
  <c r="M1569" i="4" s="1"/>
  <c r="M1568" i="4" a="1"/>
  <c r="M1568" i="4" s="1"/>
  <c r="M1567" i="4" a="1"/>
  <c r="M1567" i="4" s="1"/>
  <c r="M1566" i="4" a="1"/>
  <c r="M1566" i="4" s="1"/>
  <c r="M1565" i="4" a="1"/>
  <c r="M1565" i="4" s="1"/>
  <c r="M1564" i="4" a="1"/>
  <c r="M1564" i="4" s="1"/>
  <c r="M1563" i="4" a="1"/>
  <c r="M1563" i="4" s="1"/>
  <c r="M1562" i="4" a="1"/>
  <c r="M1562" i="4" s="1"/>
  <c r="M1561" i="4" a="1"/>
  <c r="M1561" i="4" s="1"/>
  <c r="M1560" i="4" a="1"/>
  <c r="M1560" i="4" s="1"/>
  <c r="M1559" i="4" a="1"/>
  <c r="M1559" i="4" s="1"/>
  <c r="M1558" i="4" a="1"/>
  <c r="M1558" i="4" s="1"/>
  <c r="M1557" i="4" a="1"/>
  <c r="M1557" i="4" s="1"/>
  <c r="M1556" i="4" a="1"/>
  <c r="M1556" i="4" s="1"/>
  <c r="M1555" i="4" a="1"/>
  <c r="M1555" i="4" s="1"/>
  <c r="M1554" i="4" a="1"/>
  <c r="M1554" i="4" s="1"/>
  <c r="M1553" i="4" a="1"/>
  <c r="M1553" i="4" s="1"/>
  <c r="M1552" i="4" a="1"/>
  <c r="M1552" i="4" s="1"/>
  <c r="M1551" i="4" a="1"/>
  <c r="M1551" i="4" s="1"/>
  <c r="M1550" i="4" a="1"/>
  <c r="M1550" i="4" s="1"/>
  <c r="M1549" i="4" a="1"/>
  <c r="M1549" i="4" s="1"/>
  <c r="M1548" i="4" a="1"/>
  <c r="M1548" i="4" s="1"/>
  <c r="M1547" i="4" a="1"/>
  <c r="M1547" i="4"/>
  <c r="M1546" i="4" a="1"/>
  <c r="M1546" i="4" s="1"/>
  <c r="M1545" i="4" a="1"/>
  <c r="M1545" i="4" s="1"/>
  <c r="M1544" i="4" a="1"/>
  <c r="M1544" i="4" s="1"/>
  <c r="M1543" i="4" a="1"/>
  <c r="M1543" i="4" s="1"/>
  <c r="M1542" i="4" a="1"/>
  <c r="M1542" i="4" s="1"/>
  <c r="M1541" i="4" a="1"/>
  <c r="M1541" i="4" s="1"/>
  <c r="M1540" i="4" a="1"/>
  <c r="M1540" i="4" s="1"/>
  <c r="M1539" i="4" a="1"/>
  <c r="M1539" i="4" s="1"/>
  <c r="M1538" i="4" a="1"/>
  <c r="M1538" i="4" s="1"/>
  <c r="M1537" i="4" a="1"/>
  <c r="M1537" i="4" s="1"/>
  <c r="M1536" i="4" a="1"/>
  <c r="M1536" i="4" s="1"/>
  <c r="M1535" i="4" a="1"/>
  <c r="M1535" i="4" s="1"/>
  <c r="M1534" i="4" a="1"/>
  <c r="M1534" i="4" s="1"/>
  <c r="M1533" i="4" a="1"/>
  <c r="M1533" i="4" s="1"/>
  <c r="M1532" i="4" a="1"/>
  <c r="M1532" i="4" s="1"/>
  <c r="M1531" i="4" a="1"/>
  <c r="M1531" i="4" s="1"/>
  <c r="M1530" i="4" a="1"/>
  <c r="M1530" i="4" s="1"/>
  <c r="M1529" i="4" a="1"/>
  <c r="M1529" i="4" s="1"/>
  <c r="M1528" i="4" a="1"/>
  <c r="M1528" i="4" s="1"/>
  <c r="M1527" i="4" a="1"/>
  <c r="M1527" i="4" s="1"/>
  <c r="M1526" i="4" a="1"/>
  <c r="M1526" i="4" s="1"/>
  <c r="M1525" i="4" a="1"/>
  <c r="M1525" i="4" s="1"/>
  <c r="M1524" i="4" a="1"/>
  <c r="M1524" i="4" s="1"/>
  <c r="M1523" i="4" a="1"/>
  <c r="M1523" i="4" s="1"/>
  <c r="M1522" i="4" a="1"/>
  <c r="M1522" i="4" s="1"/>
  <c r="M1521" i="4" a="1"/>
  <c r="M1521" i="4" s="1"/>
  <c r="M1520" i="4" a="1"/>
  <c r="M1520" i="4" s="1"/>
  <c r="M1519" i="4" a="1"/>
  <c r="M1519" i="4" s="1"/>
  <c r="M1518" i="4" a="1"/>
  <c r="M1518" i="4" s="1"/>
  <c r="M1517" i="4" a="1"/>
  <c r="M1517" i="4" s="1"/>
  <c r="M1516" i="4" a="1"/>
  <c r="M1516" i="4" s="1"/>
  <c r="M1515" i="4" a="1"/>
  <c r="M1515" i="4" s="1"/>
  <c r="M1514" i="4" a="1"/>
  <c r="M1514" i="4" s="1"/>
  <c r="M1513" i="4" a="1"/>
  <c r="M1513" i="4" s="1"/>
  <c r="M1512" i="4" a="1"/>
  <c r="M1512" i="4" s="1"/>
  <c r="M1511" i="4" a="1"/>
  <c r="M1511" i="4" s="1"/>
  <c r="M1510" i="4" a="1"/>
  <c r="M1510" i="4" s="1"/>
  <c r="M1509" i="4" a="1"/>
  <c r="M1509" i="4" s="1"/>
  <c r="M1508" i="4" a="1"/>
  <c r="M1508" i="4" s="1"/>
  <c r="M1507" i="4" a="1"/>
  <c r="M1507" i="4" s="1"/>
  <c r="M1506" i="4" a="1"/>
  <c r="M1506" i="4" s="1"/>
  <c r="M1505" i="4" a="1"/>
  <c r="M1505" i="4" s="1"/>
  <c r="M1504" i="4" a="1"/>
  <c r="M1504" i="4" s="1"/>
  <c r="M1503" i="4" a="1"/>
  <c r="M1503" i="4" s="1"/>
  <c r="M1502" i="4" a="1"/>
  <c r="M1502" i="4" s="1"/>
  <c r="M1501" i="4" a="1"/>
  <c r="M1501" i="4" s="1"/>
  <c r="M1500" i="4" a="1"/>
  <c r="M1500" i="4" s="1"/>
  <c r="M1499" i="4" a="1"/>
  <c r="M1499" i="4" s="1"/>
  <c r="M1498" i="4" a="1"/>
  <c r="M1498" i="4" s="1"/>
  <c r="M1497" i="4" a="1"/>
  <c r="M1497" i="4" s="1"/>
  <c r="M1496" i="4" a="1"/>
  <c r="M1496" i="4" s="1"/>
  <c r="M1495" i="4" a="1"/>
  <c r="M1495" i="4" s="1"/>
  <c r="M1494" i="4" a="1"/>
  <c r="M1494" i="4" s="1"/>
  <c r="M1493" i="4" a="1"/>
  <c r="M1493" i="4" s="1"/>
  <c r="M1492" i="4" a="1"/>
  <c r="M1492" i="4" s="1"/>
  <c r="M1491" i="4" a="1"/>
  <c r="M1491" i="4" s="1"/>
  <c r="M1490" i="4" a="1"/>
  <c r="M1490" i="4" s="1"/>
  <c r="M1489" i="4" a="1"/>
  <c r="M1489" i="4" s="1"/>
  <c r="M1488" i="4" a="1"/>
  <c r="M1488" i="4" s="1"/>
  <c r="M1487" i="4" a="1"/>
  <c r="M1487" i="4" s="1"/>
  <c r="M1486" i="4" a="1"/>
  <c r="M1486" i="4" s="1"/>
  <c r="M1485" i="4" a="1"/>
  <c r="M1485" i="4" s="1"/>
  <c r="M1484" i="4" a="1"/>
  <c r="M1484" i="4" s="1"/>
  <c r="M1483" i="4" a="1"/>
  <c r="M1483" i="4" s="1"/>
  <c r="M1482" i="4" a="1"/>
  <c r="M1482" i="4" s="1"/>
  <c r="M1481" i="4" a="1"/>
  <c r="M1481" i="4" s="1"/>
  <c r="M1480" i="4" a="1"/>
  <c r="M1480" i="4" s="1"/>
  <c r="M1479" i="4" a="1"/>
  <c r="M1479" i="4" s="1"/>
  <c r="M1478" i="4" a="1"/>
  <c r="M1478" i="4" s="1"/>
  <c r="M1477" i="4" a="1"/>
  <c r="M1477" i="4" s="1"/>
  <c r="M1476" i="4" a="1"/>
  <c r="M1476" i="4" s="1"/>
  <c r="M1475" i="4" a="1"/>
  <c r="M1475" i="4" s="1"/>
  <c r="M1474" i="4" a="1"/>
  <c r="M1474" i="4" s="1"/>
  <c r="M1473" i="4" a="1"/>
  <c r="M1473" i="4" s="1"/>
  <c r="M1472" i="4" a="1"/>
  <c r="M1472" i="4" s="1"/>
  <c r="M1471" i="4" a="1"/>
  <c r="M1471" i="4" s="1"/>
  <c r="M1470" i="4" a="1"/>
  <c r="M1470" i="4" s="1"/>
  <c r="M1469" i="4" a="1"/>
  <c r="M1469" i="4" s="1"/>
  <c r="M1468" i="4" a="1"/>
  <c r="M1468" i="4" s="1"/>
  <c r="M1467" i="4" a="1"/>
  <c r="M1467" i="4" s="1"/>
  <c r="M1466" i="4" a="1"/>
  <c r="M1466" i="4" s="1"/>
  <c r="M1465" i="4" a="1"/>
  <c r="M1465" i="4" s="1"/>
  <c r="M1464" i="4" a="1"/>
  <c r="M1464" i="4" s="1"/>
  <c r="M1463" i="4" a="1"/>
  <c r="M1463" i="4" s="1"/>
  <c r="M1462" i="4" a="1"/>
  <c r="M1462" i="4" s="1"/>
  <c r="M1461" i="4" a="1"/>
  <c r="M1461" i="4" s="1"/>
  <c r="M1460" i="4" a="1"/>
  <c r="M1460" i="4" s="1"/>
  <c r="M1459" i="4" a="1"/>
  <c r="M1459" i="4" s="1"/>
  <c r="M1458" i="4" a="1"/>
  <c r="M1458" i="4" s="1"/>
  <c r="M1457" i="4" a="1"/>
  <c r="M1457" i="4" s="1"/>
  <c r="M1456" i="4" a="1"/>
  <c r="M1456" i="4"/>
  <c r="M1455" i="4" a="1"/>
  <c r="M1455" i="4" s="1"/>
  <c r="M1454" i="4" a="1"/>
  <c r="M1454" i="4" s="1"/>
  <c r="M1453" i="4" a="1"/>
  <c r="M1453" i="4" s="1"/>
  <c r="M1452" i="4" a="1"/>
  <c r="M1452" i="4" s="1"/>
  <c r="M1451" i="4" a="1"/>
  <c r="M1451" i="4" s="1"/>
  <c r="M1450" i="4" a="1"/>
  <c r="M1450" i="4" s="1"/>
  <c r="M1449" i="4" a="1"/>
  <c r="M1449" i="4" s="1"/>
  <c r="M1448" i="4" a="1"/>
  <c r="M1448" i="4" s="1"/>
  <c r="M1447" i="4" a="1"/>
  <c r="M1447" i="4" s="1"/>
  <c r="M1446" i="4" a="1"/>
  <c r="M1446" i="4" s="1"/>
  <c r="M1445" i="4" a="1"/>
  <c r="M1445" i="4"/>
  <c r="M1444" i="4" a="1"/>
  <c r="M1444" i="4" s="1"/>
  <c r="M1443" i="4" a="1"/>
  <c r="M1443" i="4" s="1"/>
  <c r="M1442" i="4" a="1"/>
  <c r="M1442" i="4" s="1"/>
  <c r="M1441" i="4" a="1"/>
  <c r="M1441" i="4" s="1"/>
  <c r="M1440" i="4" a="1"/>
  <c r="M1440" i="4" s="1"/>
  <c r="M1439" i="4" a="1"/>
  <c r="M1439" i="4" s="1"/>
  <c r="M1438" i="4" a="1"/>
  <c r="M1438" i="4" s="1"/>
  <c r="M1437" i="4" a="1"/>
  <c r="M1437" i="4" s="1"/>
  <c r="M1436" i="4" a="1"/>
  <c r="M1436" i="4" s="1"/>
  <c r="M1435" i="4" a="1"/>
  <c r="M1435" i="4" s="1"/>
  <c r="M1434" i="4" a="1"/>
  <c r="M1434" i="4" s="1"/>
  <c r="M1433" i="4" a="1"/>
  <c r="M1433" i="4" s="1"/>
  <c r="M1432" i="4" a="1"/>
  <c r="M1432" i="4" s="1"/>
  <c r="M1431" i="4" a="1"/>
  <c r="M1431" i="4" s="1"/>
  <c r="M1430" i="4" a="1"/>
  <c r="M1430" i="4" s="1"/>
  <c r="M1429" i="4" a="1"/>
  <c r="M1429" i="4" s="1"/>
  <c r="M1428" i="4" a="1"/>
  <c r="M1428" i="4" s="1"/>
  <c r="M1427" i="4" a="1"/>
  <c r="M1427" i="4" s="1"/>
  <c r="M1426" i="4" a="1"/>
  <c r="M1426" i="4" s="1"/>
  <c r="M1425" i="4" a="1"/>
  <c r="M1425" i="4" s="1"/>
  <c r="M1424" i="4" a="1"/>
  <c r="M1424" i="4" s="1"/>
  <c r="M1423" i="4" a="1"/>
  <c r="M1423" i="4" s="1"/>
  <c r="M1422" i="4" a="1"/>
  <c r="M1422" i="4" s="1"/>
  <c r="M1421" i="4" a="1"/>
  <c r="M1421" i="4" s="1"/>
  <c r="M1420" i="4" a="1"/>
  <c r="M1420" i="4" s="1"/>
  <c r="M1419" i="4" a="1"/>
  <c r="M1419" i="4" s="1"/>
  <c r="M1418" i="4" a="1"/>
  <c r="M1418" i="4" s="1"/>
  <c r="M1417" i="4" a="1"/>
  <c r="M1417" i="4" s="1"/>
  <c r="M1416" i="4" a="1"/>
  <c r="M1416" i="4" s="1"/>
  <c r="M1415" i="4" a="1"/>
  <c r="M1415" i="4" s="1"/>
  <c r="M1414" i="4" a="1"/>
  <c r="M1414" i="4" s="1"/>
  <c r="M1413" i="4" a="1"/>
  <c r="M1413" i="4" s="1"/>
  <c r="M1412" i="4" a="1"/>
  <c r="M1412" i="4" s="1"/>
  <c r="M1411" i="4" a="1"/>
  <c r="M1411" i="4" s="1"/>
  <c r="M1410" i="4" a="1"/>
  <c r="M1410" i="4" s="1"/>
  <c r="M1409" i="4" a="1"/>
  <c r="M1409" i="4" s="1"/>
  <c r="M1408" i="4" a="1"/>
  <c r="M1408" i="4" s="1"/>
  <c r="M1407" i="4" a="1"/>
  <c r="M1407" i="4" s="1"/>
  <c r="M1406" i="4" a="1"/>
  <c r="M1406" i="4" s="1"/>
  <c r="M1405" i="4" a="1"/>
  <c r="M1405" i="4" s="1"/>
  <c r="M1404" i="4" a="1"/>
  <c r="M1404" i="4" s="1"/>
  <c r="M1403" i="4" a="1"/>
  <c r="M1403" i="4" s="1"/>
  <c r="M1402" i="4" a="1"/>
  <c r="M1402" i="4" s="1"/>
  <c r="M1401" i="4" a="1"/>
  <c r="M1401" i="4" s="1"/>
  <c r="M1400" i="4" a="1"/>
  <c r="M1400" i="4" s="1"/>
  <c r="M1399" i="4" a="1"/>
  <c r="M1399" i="4" s="1"/>
  <c r="M1398" i="4" a="1"/>
  <c r="M1398" i="4" s="1"/>
  <c r="M1397" i="4" a="1"/>
  <c r="M1397" i="4" s="1"/>
  <c r="M1396" i="4" a="1"/>
  <c r="M1396" i="4" s="1"/>
  <c r="M1395" i="4" a="1"/>
  <c r="M1395" i="4" s="1"/>
  <c r="M1394" i="4" a="1"/>
  <c r="M1394" i="4" s="1"/>
  <c r="M1393" i="4" a="1"/>
  <c r="M1393" i="4" s="1"/>
  <c r="M1392" i="4" a="1"/>
  <c r="M1392" i="4" s="1"/>
  <c r="M1391" i="4" a="1"/>
  <c r="M1391" i="4" s="1"/>
  <c r="M1390" i="4" a="1"/>
  <c r="M1390" i="4" s="1"/>
  <c r="M1389" i="4" a="1"/>
  <c r="M1389" i="4" s="1"/>
  <c r="M1388" i="4" a="1"/>
  <c r="M1388" i="4" s="1"/>
  <c r="M1387" i="4" a="1"/>
  <c r="M1387" i="4" s="1"/>
  <c r="M1386" i="4" a="1"/>
  <c r="M1386" i="4" s="1"/>
  <c r="M1385" i="4" a="1"/>
  <c r="M1385" i="4" s="1"/>
  <c r="M1384" i="4" a="1"/>
  <c r="M1384" i="4" s="1"/>
  <c r="M1383" i="4" a="1"/>
  <c r="M1383" i="4" s="1"/>
  <c r="M1382" i="4" a="1"/>
  <c r="M1382" i="4" s="1"/>
  <c r="M1381" i="4" a="1"/>
  <c r="M1381" i="4" s="1"/>
  <c r="M1380" i="4" a="1"/>
  <c r="M1380" i="4" s="1"/>
  <c r="M1379" i="4" a="1"/>
  <c r="M1379" i="4" s="1"/>
  <c r="M1378" i="4" a="1"/>
  <c r="M1378" i="4" s="1"/>
  <c r="M1377" i="4" a="1"/>
  <c r="M1377" i="4" s="1"/>
  <c r="M1376" i="4" a="1"/>
  <c r="M1376" i="4" s="1"/>
  <c r="M1375" i="4" a="1"/>
  <c r="M1375" i="4" s="1"/>
  <c r="M1374" i="4" a="1"/>
  <c r="M1374" i="4" s="1"/>
  <c r="M1373" i="4" a="1"/>
  <c r="M1373" i="4" s="1"/>
  <c r="M1372" i="4" a="1"/>
  <c r="M1372" i="4" s="1"/>
  <c r="M1371" i="4" a="1"/>
  <c r="M1371" i="4" s="1"/>
  <c r="M1370" i="4" a="1"/>
  <c r="M1370" i="4" s="1"/>
  <c r="M1369" i="4" a="1"/>
  <c r="M1369" i="4" s="1"/>
  <c r="M1368" i="4" a="1"/>
  <c r="M1368" i="4" s="1"/>
  <c r="M1367" i="4" a="1"/>
  <c r="M1367" i="4" s="1"/>
  <c r="M1366" i="4" a="1"/>
  <c r="M1366" i="4" s="1"/>
  <c r="M1365" i="4" a="1"/>
  <c r="M1365" i="4" s="1"/>
  <c r="M1364" i="4" a="1"/>
  <c r="M1364" i="4" s="1"/>
  <c r="M1363" i="4" a="1"/>
  <c r="M1363" i="4" s="1"/>
  <c r="M1362" i="4" a="1"/>
  <c r="M1362" i="4" s="1"/>
  <c r="M1361" i="4" a="1"/>
  <c r="M1361" i="4" s="1"/>
  <c r="M1360" i="4" a="1"/>
  <c r="M1360" i="4" s="1"/>
  <c r="M1359" i="4" a="1"/>
  <c r="M1359" i="4" s="1"/>
  <c r="M1358" i="4" a="1"/>
  <c r="M1358" i="4" s="1"/>
  <c r="M1357" i="4" a="1"/>
  <c r="M1357" i="4" s="1"/>
  <c r="M1356" i="4" a="1"/>
  <c r="M1356" i="4" s="1"/>
  <c r="M1355" i="4" a="1"/>
  <c r="M1355" i="4"/>
  <c r="M1354" i="4" a="1"/>
  <c r="M1354" i="4" s="1"/>
  <c r="M1353" i="4" a="1"/>
  <c r="M1353" i="4" s="1"/>
  <c r="M1352" i="4" a="1"/>
  <c r="M1352" i="4" s="1"/>
  <c r="M1351" i="4" a="1"/>
  <c r="M1351" i="4" s="1"/>
  <c r="M1350" i="4" a="1"/>
  <c r="M1350" i="4" s="1"/>
  <c r="M1349" i="4" a="1"/>
  <c r="M1349" i="4" s="1"/>
  <c r="M1348" i="4" a="1"/>
  <c r="M1348" i="4" s="1"/>
  <c r="M1347" i="4" a="1"/>
  <c r="M1347" i="4" s="1"/>
  <c r="M1346" i="4" a="1"/>
  <c r="M1346" i="4" s="1"/>
  <c r="M1345" i="4" a="1"/>
  <c r="M1345" i="4" s="1"/>
  <c r="M1344" i="4" a="1"/>
  <c r="M1344" i="4"/>
  <c r="M1343" i="4" a="1"/>
  <c r="M1343" i="4" s="1"/>
  <c r="M1342" i="4" a="1"/>
  <c r="M1342" i="4" s="1"/>
  <c r="M1341" i="4" a="1"/>
  <c r="M1341" i="4" s="1"/>
  <c r="M1340" i="4" a="1"/>
  <c r="M1340" i="4" s="1"/>
  <c r="M1339" i="4" a="1"/>
  <c r="M1339" i="4" s="1"/>
  <c r="M1338" i="4" a="1"/>
  <c r="M1338" i="4" s="1"/>
  <c r="M1337" i="4" a="1"/>
  <c r="M1337" i="4" s="1"/>
  <c r="M1336" i="4" a="1"/>
  <c r="M1336" i="4" s="1"/>
  <c r="M1335" i="4" a="1"/>
  <c r="M1335" i="4" s="1"/>
  <c r="M1334" i="4" a="1"/>
  <c r="M1334" i="4" s="1"/>
  <c r="M1333" i="4" a="1"/>
  <c r="M1333" i="4" s="1"/>
  <c r="M1332" i="4" a="1"/>
  <c r="M1332" i="4" s="1"/>
  <c r="M1331" i="4" a="1"/>
  <c r="M1331" i="4" s="1"/>
  <c r="M1330" i="4" a="1"/>
  <c r="M1330" i="4" s="1"/>
  <c r="M1329" i="4" a="1"/>
  <c r="M1329" i="4" s="1"/>
  <c r="M1328" i="4" a="1"/>
  <c r="M1328" i="4" s="1"/>
  <c r="M1327" i="4" a="1"/>
  <c r="M1327" i="4" s="1"/>
  <c r="M1326" i="4" a="1"/>
  <c r="M1326" i="4" s="1"/>
  <c r="M1325" i="4" a="1"/>
  <c r="M1325" i="4" s="1"/>
  <c r="M1324" i="4" a="1"/>
  <c r="M1324" i="4" s="1"/>
  <c r="M1323" i="4" a="1"/>
  <c r="M1323" i="4" s="1"/>
  <c r="M1322" i="4" a="1"/>
  <c r="M1322" i="4" s="1"/>
  <c r="M1321" i="4" a="1"/>
  <c r="M1321" i="4" s="1"/>
  <c r="M1320" i="4" a="1"/>
  <c r="M1320" i="4" s="1"/>
  <c r="M1319" i="4" a="1"/>
  <c r="M1319" i="4" s="1"/>
  <c r="M1318" i="4" a="1"/>
  <c r="M1318" i="4" s="1"/>
  <c r="M1317" i="4" a="1"/>
  <c r="M1317" i="4" s="1"/>
  <c r="M1316" i="4" a="1"/>
  <c r="M1316" i="4" s="1"/>
  <c r="M1315" i="4" a="1"/>
  <c r="M1315" i="4" s="1"/>
  <c r="M1314" i="4" a="1"/>
  <c r="M1314" i="4" s="1"/>
  <c r="M1313" i="4" a="1"/>
  <c r="M1313" i="4" s="1"/>
  <c r="M1312" i="4" a="1"/>
  <c r="M1312" i="4" s="1"/>
  <c r="M1311" i="4" a="1"/>
  <c r="M1311" i="4" s="1"/>
  <c r="M1310" i="4" a="1"/>
  <c r="M1310" i="4" s="1"/>
  <c r="M1309" i="4" a="1"/>
  <c r="M1309" i="4" s="1"/>
  <c r="M1308" i="4" a="1"/>
  <c r="M1308" i="4" s="1"/>
  <c r="M1307" i="4" a="1"/>
  <c r="M1307" i="4" s="1"/>
  <c r="M1306" i="4" a="1"/>
  <c r="M1306" i="4" s="1"/>
  <c r="M1305" i="4" a="1"/>
  <c r="M1305" i="4" s="1"/>
  <c r="M1304" i="4" a="1"/>
  <c r="M1304" i="4" s="1"/>
  <c r="M1303" i="4" a="1"/>
  <c r="M1303" i="4" s="1"/>
  <c r="M1302" i="4" a="1"/>
  <c r="M1302" i="4" s="1"/>
  <c r="M1301" i="4" a="1"/>
  <c r="M1301" i="4" s="1"/>
  <c r="M1300" i="4" a="1"/>
  <c r="M1300" i="4" s="1"/>
  <c r="M1299" i="4" a="1"/>
  <c r="M1299" i="4" s="1"/>
  <c r="M1298" i="4" a="1"/>
  <c r="M1298" i="4" s="1"/>
  <c r="M1297" i="4" a="1"/>
  <c r="M1297" i="4" s="1"/>
  <c r="M1296" i="4" a="1"/>
  <c r="M1296" i="4" s="1"/>
  <c r="M1295" i="4" a="1"/>
  <c r="M1295" i="4" s="1"/>
  <c r="M1294" i="4" a="1"/>
  <c r="M1294" i="4" s="1"/>
  <c r="M1293" i="4" a="1"/>
  <c r="M1293" i="4" s="1"/>
  <c r="M1292" i="4" a="1"/>
  <c r="M1292" i="4" s="1"/>
  <c r="M1291" i="4" a="1"/>
  <c r="M1291" i="4" s="1"/>
  <c r="M1290" i="4" a="1"/>
  <c r="M1290" i="4" s="1"/>
  <c r="M1289" i="4" a="1"/>
  <c r="M1289" i="4" s="1"/>
  <c r="M1288" i="4" a="1"/>
  <c r="M1288" i="4" s="1"/>
  <c r="M1287" i="4" a="1"/>
  <c r="M1287" i="4" s="1"/>
  <c r="M1286" i="4" a="1"/>
  <c r="M1286" i="4" s="1"/>
  <c r="M1285" i="4" a="1"/>
  <c r="M1285" i="4" s="1"/>
  <c r="M1284" i="4" a="1"/>
  <c r="M1284" i="4" s="1"/>
  <c r="M1283" i="4" a="1"/>
  <c r="M1283" i="4" s="1"/>
  <c r="M1282" i="4" a="1"/>
  <c r="M1282" i="4" s="1"/>
  <c r="M1281" i="4" a="1"/>
  <c r="M1281" i="4" s="1"/>
  <c r="M1280" i="4" a="1"/>
  <c r="M1280" i="4" s="1"/>
  <c r="M1279" i="4" a="1"/>
  <c r="M1279" i="4" s="1"/>
  <c r="M1278" i="4" a="1"/>
  <c r="M1278" i="4" s="1"/>
  <c r="M1277" i="4" a="1"/>
  <c r="M1277" i="4" s="1"/>
  <c r="M1276" i="4" a="1"/>
  <c r="M1276" i="4" s="1"/>
  <c r="M1275" i="4" a="1"/>
  <c r="M1275" i="4" s="1"/>
  <c r="M1274" i="4" a="1"/>
  <c r="M1274" i="4" s="1"/>
  <c r="M1273" i="4" a="1"/>
  <c r="M1273" i="4" s="1"/>
  <c r="M1272" i="4" a="1"/>
  <c r="M1272" i="4" s="1"/>
  <c r="M1271" i="4" a="1"/>
  <c r="M1271" i="4" s="1"/>
  <c r="M1270" i="4" a="1"/>
  <c r="M1270" i="4" s="1"/>
  <c r="M1269" i="4" a="1"/>
  <c r="M1269" i="4" s="1"/>
  <c r="M1268" i="4" a="1"/>
  <c r="M1268" i="4" s="1"/>
  <c r="M1267" i="4" a="1"/>
  <c r="M1267" i="4" s="1"/>
  <c r="M1266" i="4" a="1"/>
  <c r="M1266" i="4" s="1"/>
  <c r="M1265" i="4" a="1"/>
  <c r="M1265" i="4" s="1"/>
  <c r="M1264" i="4" a="1"/>
  <c r="M1264" i="4"/>
  <c r="M1263" i="4" a="1"/>
  <c r="M1263" i="4" s="1"/>
  <c r="M1262" i="4" a="1"/>
  <c r="M1262" i="4" s="1"/>
  <c r="M1261" i="4" a="1"/>
  <c r="M1261" i="4" s="1"/>
  <c r="M1260" i="4" a="1"/>
  <c r="M1260" i="4" s="1"/>
  <c r="M1259" i="4" a="1"/>
  <c r="M1259" i="4" s="1"/>
  <c r="M1258" i="4" a="1"/>
  <c r="M1258" i="4" s="1"/>
  <c r="M1257" i="4" a="1"/>
  <c r="M1257" i="4" s="1"/>
  <c r="M1256" i="4" a="1"/>
  <c r="M1256" i="4" s="1"/>
  <c r="M1255" i="4" a="1"/>
  <c r="M1255" i="4" s="1"/>
  <c r="M1254" i="4" a="1"/>
  <c r="M1254" i="4" s="1"/>
  <c r="M1253" i="4" a="1"/>
  <c r="M1253" i="4" s="1"/>
  <c r="M1252" i="4" a="1"/>
  <c r="M1252" i="4" s="1"/>
  <c r="M1251" i="4" a="1"/>
  <c r="M1251" i="4" s="1"/>
  <c r="M1250" i="4" a="1"/>
  <c r="M1250" i="4"/>
  <c r="M1249" i="4" a="1"/>
  <c r="M1249" i="4" s="1"/>
  <c r="M1248" i="4" a="1"/>
  <c r="M1248" i="4" s="1"/>
  <c r="M1247" i="4" a="1"/>
  <c r="M1247" i="4" s="1"/>
  <c r="M1246" i="4" a="1"/>
  <c r="M1246" i="4" s="1"/>
  <c r="M1245" i="4" a="1"/>
  <c r="M1245" i="4" s="1"/>
  <c r="M1244" i="4" a="1"/>
  <c r="M1244" i="4" s="1"/>
  <c r="M1243" i="4" a="1"/>
  <c r="M1243" i="4" s="1"/>
  <c r="M1242" i="4" a="1"/>
  <c r="M1242" i="4"/>
  <c r="M1241" i="4" a="1"/>
  <c r="M1241" i="4" s="1"/>
  <c r="M1240" i="4" a="1"/>
  <c r="M1240" i="4" s="1"/>
  <c r="M1239" i="4" a="1"/>
  <c r="M1239" i="4" s="1"/>
  <c r="M1238" i="4" a="1"/>
  <c r="M1238" i="4" s="1"/>
  <c r="M1237" i="4" a="1"/>
  <c r="M1237" i="4" s="1"/>
  <c r="M1236" i="4" a="1"/>
  <c r="M1236" i="4" s="1"/>
  <c r="M1235" i="4" a="1"/>
  <c r="M1235" i="4" s="1"/>
  <c r="M1234" i="4" a="1"/>
  <c r="M1234" i="4" s="1"/>
  <c r="M1233" i="4" a="1"/>
  <c r="M1233" i="4" s="1"/>
  <c r="M1232" i="4" a="1"/>
  <c r="M1232" i="4" s="1"/>
  <c r="M1231" i="4" a="1"/>
  <c r="M1231" i="4" s="1"/>
  <c r="M1230" i="4" a="1"/>
  <c r="M1230" i="4" s="1"/>
  <c r="M1229" i="4" a="1"/>
  <c r="M1229" i="4" s="1"/>
  <c r="M1228" i="4" a="1"/>
  <c r="M1228" i="4" s="1"/>
  <c r="M1227" i="4" a="1"/>
  <c r="M1227" i="4" s="1"/>
  <c r="M1226" i="4" a="1"/>
  <c r="M1226" i="4" s="1"/>
  <c r="M1225" i="4" a="1"/>
  <c r="M1225" i="4" s="1"/>
  <c r="M1224" i="4" a="1"/>
  <c r="M1224" i="4" s="1"/>
  <c r="M1223" i="4" a="1"/>
  <c r="M1223" i="4" s="1"/>
  <c r="M1222" i="4" a="1"/>
  <c r="M1222" i="4" s="1"/>
  <c r="M1221" i="4" a="1"/>
  <c r="M1221" i="4" s="1"/>
  <c r="M1220" i="4" a="1"/>
  <c r="M1220" i="4" s="1"/>
  <c r="M1219" i="4" a="1"/>
  <c r="M1219" i="4" s="1"/>
  <c r="M1218" i="4" a="1"/>
  <c r="M1218" i="4" s="1"/>
  <c r="M1217" i="4" a="1"/>
  <c r="M1217" i="4" s="1"/>
  <c r="M1216" i="4" a="1"/>
  <c r="M1216" i="4" s="1"/>
  <c r="M1215" i="4" a="1"/>
  <c r="M1215" i="4" s="1"/>
  <c r="M1214" i="4" a="1"/>
  <c r="M1214" i="4" s="1"/>
  <c r="M1213" i="4" a="1"/>
  <c r="M1213" i="4" s="1"/>
  <c r="M1212" i="4" a="1"/>
  <c r="M1212" i="4" s="1"/>
  <c r="M1211" i="4" a="1"/>
  <c r="M1211" i="4" s="1"/>
  <c r="M1210" i="4" a="1"/>
  <c r="M1210" i="4" s="1"/>
  <c r="M1209" i="4" a="1"/>
  <c r="M1209" i="4" s="1"/>
  <c r="M1208" i="4" a="1"/>
  <c r="M1208" i="4" s="1"/>
  <c r="M1207" i="4" a="1"/>
  <c r="M1207" i="4" s="1"/>
  <c r="M1206" i="4" a="1"/>
  <c r="M1206" i="4" s="1"/>
  <c r="M1205" i="4" a="1"/>
  <c r="M1205" i="4" s="1"/>
  <c r="M1204" i="4" a="1"/>
  <c r="M1204" i="4" s="1"/>
  <c r="M1203" i="4" a="1"/>
  <c r="M1203" i="4" s="1"/>
  <c r="M1202" i="4" a="1"/>
  <c r="M1202" i="4" s="1"/>
  <c r="M1201" i="4" a="1"/>
  <c r="M1201" i="4" s="1"/>
  <c r="M1200" i="4" a="1"/>
  <c r="M1200" i="4" s="1"/>
  <c r="M1199" i="4" a="1"/>
  <c r="M1199" i="4" s="1"/>
  <c r="M1198" i="4" a="1"/>
  <c r="M1198" i="4" s="1"/>
  <c r="M1197" i="4" a="1"/>
  <c r="M1197" i="4" s="1"/>
  <c r="M1196" i="4" a="1"/>
  <c r="M1196" i="4" s="1"/>
  <c r="M1195" i="4" a="1"/>
  <c r="M1195" i="4"/>
  <c r="M1194" i="4" a="1"/>
  <c r="M1194" i="4" s="1"/>
  <c r="M1193" i="4" a="1"/>
  <c r="M1193" i="4" s="1"/>
  <c r="M1192" i="4" a="1"/>
  <c r="M1192" i="4" s="1"/>
  <c r="M1191" i="4" a="1"/>
  <c r="M1191" i="4" s="1"/>
  <c r="M1190" i="4" a="1"/>
  <c r="M1190" i="4" s="1"/>
  <c r="M1189" i="4" a="1"/>
  <c r="M1189" i="4" s="1"/>
  <c r="M1188" i="4" a="1"/>
  <c r="M1188" i="4"/>
  <c r="M1187" i="4" a="1"/>
  <c r="M1187" i="4" s="1"/>
  <c r="M1186" i="4" a="1"/>
  <c r="M1186" i="4" s="1"/>
  <c r="M1185" i="4" a="1"/>
  <c r="M1185" i="4" s="1"/>
  <c r="M1184" i="4" a="1"/>
  <c r="M1184" i="4" s="1"/>
  <c r="M1183" i="4" a="1"/>
  <c r="M1183" i="4" s="1"/>
  <c r="M1182" i="4" a="1"/>
  <c r="M1182" i="4" s="1"/>
  <c r="M1181" i="4" a="1"/>
  <c r="M1181" i="4" s="1"/>
  <c r="M1180" i="4" a="1"/>
  <c r="M1180" i="4" s="1"/>
  <c r="M1179" i="4" a="1"/>
  <c r="M1179" i="4" s="1"/>
  <c r="M1178" i="4" a="1"/>
  <c r="M1178" i="4" s="1"/>
  <c r="M1177" i="4" a="1"/>
  <c r="M1177" i="4" s="1"/>
  <c r="M1176" i="4" a="1"/>
  <c r="M1176" i="4" s="1"/>
  <c r="M1175" i="4" a="1"/>
  <c r="M1175" i="4" s="1"/>
  <c r="M1174" i="4" a="1"/>
  <c r="M1174" i="4" s="1"/>
  <c r="M1173" i="4" a="1"/>
  <c r="M1173" i="4" s="1"/>
  <c r="M1172" i="4" a="1"/>
  <c r="M1172" i="4" s="1"/>
  <c r="M1171" i="4" a="1"/>
  <c r="M1171" i="4" s="1"/>
  <c r="M1170" i="4" a="1"/>
  <c r="M1170" i="4" s="1"/>
  <c r="M1169" i="4" a="1"/>
  <c r="M1169" i="4" s="1"/>
  <c r="M1168" i="4" a="1"/>
  <c r="M1168" i="4" s="1"/>
  <c r="M1167" i="4" a="1"/>
  <c r="M1167" i="4" s="1"/>
  <c r="M1166" i="4" a="1"/>
  <c r="M1166" i="4" s="1"/>
  <c r="M1165" i="4" a="1"/>
  <c r="M1165" i="4" s="1"/>
  <c r="M1164" i="4" a="1"/>
  <c r="M1164" i="4" s="1"/>
  <c r="M1163" i="4" a="1"/>
  <c r="M1163" i="4" s="1"/>
  <c r="M1162" i="4" a="1"/>
  <c r="M1162" i="4" s="1"/>
  <c r="M1161" i="4" a="1"/>
  <c r="M1161" i="4" s="1"/>
  <c r="M1160" i="4" a="1"/>
  <c r="M1160" i="4" s="1"/>
  <c r="M1159" i="4" a="1"/>
  <c r="M1159" i="4" s="1"/>
  <c r="M1158" i="4" a="1"/>
  <c r="M1158" i="4" s="1"/>
  <c r="M1157" i="4" a="1"/>
  <c r="M1157" i="4" s="1"/>
  <c r="M1156" i="4" a="1"/>
  <c r="M1156" i="4" s="1"/>
  <c r="M1155" i="4" a="1"/>
  <c r="M1155" i="4" s="1"/>
  <c r="M1154" i="4" a="1"/>
  <c r="M1154" i="4" s="1"/>
  <c r="M1153" i="4" a="1"/>
  <c r="M1153" i="4" s="1"/>
  <c r="M1152" i="4" a="1"/>
  <c r="M1152" i="4" s="1"/>
  <c r="M1151" i="4" a="1"/>
  <c r="M1151" i="4" s="1"/>
  <c r="M1150" i="4" a="1"/>
  <c r="M1150" i="4" s="1"/>
  <c r="M1149" i="4" a="1"/>
  <c r="M1149" i="4" s="1"/>
  <c r="M1148" i="4" a="1"/>
  <c r="M1148" i="4" s="1"/>
  <c r="M1147" i="4" a="1"/>
  <c r="M1147" i="4" s="1"/>
  <c r="M1146" i="4" a="1"/>
  <c r="M1146" i="4" s="1"/>
  <c r="M1145" i="4" a="1"/>
  <c r="M1145" i="4" s="1"/>
  <c r="M1144" i="4" a="1"/>
  <c r="M1144" i="4" s="1"/>
  <c r="M1143" i="4" a="1"/>
  <c r="M1143" i="4" s="1"/>
  <c r="M1142" i="4" a="1"/>
  <c r="M1142" i="4" s="1"/>
  <c r="M1141" i="4" a="1"/>
  <c r="M1141" i="4" s="1"/>
  <c r="M1140" i="4" a="1"/>
  <c r="M1140" i="4" s="1"/>
  <c r="M1139" i="4" a="1"/>
  <c r="M1139" i="4" s="1"/>
  <c r="M1138" i="4" a="1"/>
  <c r="M1138" i="4" s="1"/>
  <c r="M1137" i="4" a="1"/>
  <c r="M1137" i="4" s="1"/>
  <c r="M1136" i="4" a="1"/>
  <c r="M1136" i="4" s="1"/>
  <c r="M1135" i="4" a="1"/>
  <c r="M1135" i="4" s="1"/>
  <c r="M1134" i="4" a="1"/>
  <c r="M1134" i="4" s="1"/>
  <c r="M1133" i="4" a="1"/>
  <c r="M1133" i="4" s="1"/>
  <c r="M1132" i="4" a="1"/>
  <c r="M1132" i="4" s="1"/>
  <c r="M1131" i="4" a="1"/>
  <c r="M1131" i="4" s="1"/>
  <c r="M1130" i="4" a="1"/>
  <c r="M1130" i="4" s="1"/>
  <c r="M1129" i="4" a="1"/>
  <c r="M1129" i="4" s="1"/>
  <c r="M1128" i="4" a="1"/>
  <c r="M1128" i="4" s="1"/>
  <c r="M1127" i="4" a="1"/>
  <c r="M1127" i="4" s="1"/>
  <c r="M1126" i="4" a="1"/>
  <c r="M1126" i="4" s="1"/>
  <c r="M1125" i="4" a="1"/>
  <c r="M1125" i="4" s="1"/>
  <c r="M1124" i="4" a="1"/>
  <c r="M1124" i="4" s="1"/>
  <c r="M1123" i="4" a="1"/>
  <c r="M1123" i="4" s="1"/>
  <c r="M1122" i="4" a="1"/>
  <c r="M1122" i="4" s="1"/>
  <c r="M1121" i="4" a="1"/>
  <c r="M1121" i="4" s="1"/>
  <c r="M1120" i="4" a="1"/>
  <c r="M1120" i="4" s="1"/>
  <c r="M1119" i="4" a="1"/>
  <c r="M1119" i="4" s="1"/>
  <c r="M1118" i="4" a="1"/>
  <c r="M1118" i="4" s="1"/>
  <c r="M1117" i="4" a="1"/>
  <c r="M1117" i="4" s="1"/>
  <c r="M1116" i="4" a="1"/>
  <c r="M1116" i="4" s="1"/>
  <c r="M1115" i="4" a="1"/>
  <c r="M1115" i="4" s="1"/>
  <c r="M1114" i="4" a="1"/>
  <c r="M1114" i="4" s="1"/>
  <c r="M1113" i="4" a="1"/>
  <c r="M1113" i="4" s="1"/>
  <c r="M1112" i="4" a="1"/>
  <c r="M1112" i="4" s="1"/>
  <c r="M1111" i="4" a="1"/>
  <c r="M1111" i="4" s="1"/>
  <c r="M1110" i="4" a="1"/>
  <c r="M1110" i="4" s="1"/>
  <c r="M1109" i="4" a="1"/>
  <c r="M1109" i="4" s="1"/>
  <c r="M1108" i="4" a="1"/>
  <c r="M1108" i="4" s="1"/>
  <c r="M1107" i="4" a="1"/>
  <c r="M1107" i="4" s="1"/>
  <c r="M1106" i="4" a="1"/>
  <c r="M1106" i="4" s="1"/>
  <c r="M1105" i="4" a="1"/>
  <c r="M1105" i="4" s="1"/>
  <c r="M1104" i="4" a="1"/>
  <c r="M1104" i="4" s="1"/>
  <c r="M1103" i="4" a="1"/>
  <c r="M1103" i="4" s="1"/>
  <c r="M1102" i="4" a="1"/>
  <c r="M1102" i="4" s="1"/>
  <c r="M1101" i="4" a="1"/>
  <c r="M1101" i="4" s="1"/>
  <c r="M1100" i="4" a="1"/>
  <c r="M1100" i="4" s="1"/>
  <c r="M1099" i="4" a="1"/>
  <c r="M1099" i="4" s="1"/>
  <c r="M1098" i="4" a="1"/>
  <c r="M1098" i="4" s="1"/>
  <c r="M1097" i="4" a="1"/>
  <c r="M1097" i="4" s="1"/>
  <c r="M1096" i="4" a="1"/>
  <c r="M1096" i="4" s="1"/>
  <c r="M1095" i="4" a="1"/>
  <c r="M1095" i="4" s="1"/>
  <c r="M1094" i="4" a="1"/>
  <c r="M1094" i="4" s="1"/>
  <c r="M1093" i="4" a="1"/>
  <c r="M1093" i="4" s="1"/>
  <c r="M1092" i="4" a="1"/>
  <c r="M1092" i="4" s="1"/>
  <c r="M1091" i="4" a="1"/>
  <c r="M1091" i="4" s="1"/>
  <c r="M1090" i="4" a="1"/>
  <c r="M1090" i="4" s="1"/>
  <c r="M1089" i="4" a="1"/>
  <c r="M1089" i="4" s="1"/>
  <c r="M1088" i="4" a="1"/>
  <c r="M1088" i="4" s="1"/>
  <c r="M1087" i="4" a="1"/>
  <c r="M1087" i="4" s="1"/>
  <c r="M1086" i="4" a="1"/>
  <c r="M1086" i="4" s="1"/>
  <c r="M1085" i="4" a="1"/>
  <c r="M1085" i="4" s="1"/>
  <c r="M1084" i="4" a="1"/>
  <c r="M1084" i="4" s="1"/>
  <c r="M1083" i="4" a="1"/>
  <c r="M1083" i="4" s="1"/>
  <c r="M1082" i="4" a="1"/>
  <c r="M1082" i="4" s="1"/>
  <c r="M1081" i="4" a="1"/>
  <c r="M1081" i="4" s="1"/>
  <c r="M1080" i="4" a="1"/>
  <c r="M1080" i="4" s="1"/>
  <c r="M1079" i="4" a="1"/>
  <c r="M1079" i="4" s="1"/>
  <c r="M1078" i="4" a="1"/>
  <c r="M1078" i="4" s="1"/>
  <c r="M1077" i="4" a="1"/>
  <c r="M1077" i="4" s="1"/>
  <c r="M1076" i="4" a="1"/>
  <c r="M1076" i="4" s="1"/>
  <c r="M1075" i="4" a="1"/>
  <c r="M1075" i="4" s="1"/>
  <c r="M1074" i="4" a="1"/>
  <c r="M1074" i="4" s="1"/>
  <c r="M1073" i="4" a="1"/>
  <c r="M1073" i="4" s="1"/>
  <c r="M1072" i="4" a="1"/>
  <c r="M1072" i="4" s="1"/>
  <c r="M1071" i="4" a="1"/>
  <c r="M1071" i="4" s="1"/>
  <c r="M1070" i="4" a="1"/>
  <c r="M1070" i="4" s="1"/>
  <c r="M1069" i="4" a="1"/>
  <c r="M1069" i="4" s="1"/>
  <c r="M1068" i="4" a="1"/>
  <c r="M1068" i="4" s="1"/>
  <c r="M1067" i="4" a="1"/>
  <c r="M1067" i="4" s="1"/>
  <c r="M1066" i="4" a="1"/>
  <c r="M1066" i="4" s="1"/>
  <c r="M1065" i="4" a="1"/>
  <c r="M1065" i="4" s="1"/>
  <c r="M1064" i="4" a="1"/>
  <c r="M1064" i="4" s="1"/>
  <c r="M1063" i="4" a="1"/>
  <c r="M1063" i="4" s="1"/>
  <c r="M1062" i="4" a="1"/>
  <c r="M1062" i="4" s="1"/>
  <c r="M1061" i="4" a="1"/>
  <c r="M1061" i="4" s="1"/>
  <c r="M1060" i="4" a="1"/>
  <c r="M1060" i="4" s="1"/>
  <c r="M1059" i="4" a="1"/>
  <c r="M1059" i="4" s="1"/>
  <c r="M1058" i="4" a="1"/>
  <c r="M1058" i="4" s="1"/>
  <c r="M1057" i="4" a="1"/>
  <c r="M1057" i="4" s="1"/>
  <c r="M1056" i="4" a="1"/>
  <c r="M1056" i="4" s="1"/>
  <c r="M1055" i="4" a="1"/>
  <c r="M1055" i="4" s="1"/>
  <c r="M1054" i="4" a="1"/>
  <c r="M1054" i="4" s="1"/>
  <c r="M1053" i="4" a="1"/>
  <c r="M1053" i="4" s="1"/>
  <c r="M1052" i="4" a="1"/>
  <c r="M1052" i="4" s="1"/>
  <c r="M1051" i="4" a="1"/>
  <c r="M1051" i="4" s="1"/>
  <c r="M1050" i="4" a="1"/>
  <c r="M1050" i="4" s="1"/>
  <c r="M1049" i="4" a="1"/>
  <c r="M1049" i="4" s="1"/>
  <c r="M1048" i="4" a="1"/>
  <c r="M1048" i="4" s="1"/>
  <c r="M1047" i="4" a="1"/>
  <c r="M1047" i="4" s="1"/>
  <c r="M1046" i="4" a="1"/>
  <c r="M1046" i="4" s="1"/>
  <c r="M1045" i="4" a="1"/>
  <c r="M1045" i="4" s="1"/>
  <c r="M1044" i="4" a="1"/>
  <c r="M1044" i="4" s="1"/>
  <c r="M1043" i="4" a="1"/>
  <c r="M1043" i="4" s="1"/>
  <c r="M1042" i="4" a="1"/>
  <c r="M1042" i="4" s="1"/>
  <c r="M1041" i="4" a="1"/>
  <c r="M1041" i="4" s="1"/>
  <c r="M1040" i="4" a="1"/>
  <c r="M1040" i="4" s="1"/>
  <c r="M1039" i="4" a="1"/>
  <c r="M1039" i="4" s="1"/>
  <c r="M1038" i="4" a="1"/>
  <c r="M1038" i="4" s="1"/>
  <c r="M1037" i="4" a="1"/>
  <c r="M1037" i="4" s="1"/>
  <c r="M1036" i="4" a="1"/>
  <c r="M1036" i="4" s="1"/>
  <c r="M1035" i="4" a="1"/>
  <c r="M1035" i="4" s="1"/>
  <c r="M1034" i="4" a="1"/>
  <c r="M1034" i="4" s="1"/>
  <c r="M1033" i="4" a="1"/>
  <c r="M1033" i="4" s="1"/>
  <c r="M1032" i="4" a="1"/>
  <c r="M1032" i="4" s="1"/>
  <c r="M1031" i="4" a="1"/>
  <c r="M1031" i="4" s="1"/>
  <c r="M1030" i="4" a="1"/>
  <c r="M1030" i="4" s="1"/>
  <c r="M1029" i="4" a="1"/>
  <c r="M1029" i="4" s="1"/>
  <c r="M1028" i="4" a="1"/>
  <c r="M1028" i="4" s="1"/>
  <c r="M1027" i="4" a="1"/>
  <c r="M1027" i="4" s="1"/>
  <c r="M1026" i="4" a="1"/>
  <c r="M1026" i="4" s="1"/>
  <c r="M1025" i="4" a="1"/>
  <c r="M1025" i="4" s="1"/>
  <c r="M1024" i="4" a="1"/>
  <c r="M1024" i="4" s="1"/>
  <c r="M1023" i="4" a="1"/>
  <c r="M1023" i="4" s="1"/>
  <c r="M1022" i="4" a="1"/>
  <c r="M1022" i="4" s="1"/>
  <c r="M1021" i="4" a="1"/>
  <c r="M1021" i="4" s="1"/>
  <c r="M1020" i="4" a="1"/>
  <c r="M1020" i="4" s="1"/>
  <c r="M1019" i="4" a="1"/>
  <c r="M1019" i="4" s="1"/>
  <c r="M1018" i="4" a="1"/>
  <c r="M1018" i="4" s="1"/>
  <c r="M1017" i="4" a="1"/>
  <c r="M1017" i="4" s="1"/>
  <c r="M1016" i="4" a="1"/>
  <c r="M1016" i="4" s="1"/>
  <c r="M1015" i="4" a="1"/>
  <c r="M1015" i="4" s="1"/>
  <c r="M1014" i="4" a="1"/>
  <c r="M1014" i="4" s="1"/>
  <c r="M1013" i="4" a="1"/>
  <c r="M1013" i="4" s="1"/>
  <c r="M1012" i="4" a="1"/>
  <c r="M1012" i="4" s="1"/>
  <c r="M1011" i="4" a="1"/>
  <c r="M1011" i="4" s="1"/>
  <c r="M1010" i="4" a="1"/>
  <c r="M1010" i="4" s="1"/>
  <c r="M1009" i="4" a="1"/>
  <c r="M1009" i="4" s="1"/>
  <c r="M1008" i="4" a="1"/>
  <c r="M1008" i="4" s="1"/>
  <c r="M1007" i="4" a="1"/>
  <c r="M1007" i="4" s="1"/>
  <c r="M1006" i="4" a="1"/>
  <c r="M1006" i="4" s="1"/>
  <c r="M1005" i="4" a="1"/>
  <c r="M1005" i="4" s="1"/>
  <c r="M1004" i="4" a="1"/>
  <c r="M1004" i="4" s="1"/>
  <c r="M1003" i="4" a="1"/>
  <c r="M1003" i="4" s="1"/>
  <c r="M1002" i="4" a="1"/>
  <c r="M1002" i="4" s="1"/>
  <c r="M1001" i="4" a="1"/>
  <c r="M1001" i="4" s="1"/>
  <c r="M1000" i="4" a="1"/>
  <c r="M1000" i="4" s="1"/>
  <c r="M999" i="4" a="1"/>
  <c r="M999" i="4" s="1"/>
  <c r="M998" i="4" a="1"/>
  <c r="M998" i="4" s="1"/>
  <c r="M997" i="4" a="1"/>
  <c r="M997" i="4" s="1"/>
  <c r="M996" i="4" a="1"/>
  <c r="M996" i="4" s="1"/>
  <c r="M995" i="4" a="1"/>
  <c r="M995" i="4" s="1"/>
  <c r="M994" i="4" a="1"/>
  <c r="M994" i="4" s="1"/>
  <c r="M993" i="4" a="1"/>
  <c r="M993" i="4" s="1"/>
  <c r="M992" i="4" a="1"/>
  <c r="M992" i="4" s="1"/>
  <c r="M991" i="4" a="1"/>
  <c r="M991" i="4" s="1"/>
  <c r="M990" i="4" a="1"/>
  <c r="M990" i="4" s="1"/>
  <c r="M989" i="4" a="1"/>
  <c r="M989" i="4" s="1"/>
  <c r="M988" i="4" a="1"/>
  <c r="M988" i="4" s="1"/>
  <c r="M987" i="4" a="1"/>
  <c r="M987" i="4" s="1"/>
  <c r="M986" i="4" a="1"/>
  <c r="M986" i="4" s="1"/>
  <c r="M985" i="4" a="1"/>
  <c r="M985" i="4" s="1"/>
  <c r="M984" i="4" a="1"/>
  <c r="M984" i="4" s="1"/>
  <c r="M983" i="4" a="1"/>
  <c r="M983" i="4" s="1"/>
  <c r="M982" i="4" a="1"/>
  <c r="M982" i="4" s="1"/>
  <c r="M981" i="4" a="1"/>
  <c r="M981" i="4" s="1"/>
  <c r="M980" i="4" a="1"/>
  <c r="M980" i="4" s="1"/>
  <c r="M979" i="4" a="1"/>
  <c r="M979" i="4" s="1"/>
  <c r="M978" i="4" a="1"/>
  <c r="M978" i="4" s="1"/>
  <c r="M977" i="4" a="1"/>
  <c r="M977" i="4" s="1"/>
  <c r="M976" i="4" a="1"/>
  <c r="M976" i="4" s="1"/>
  <c r="M975" i="4" a="1"/>
  <c r="M975" i="4" s="1"/>
  <c r="M974" i="4" a="1"/>
  <c r="M974" i="4" s="1"/>
  <c r="M973" i="4" a="1"/>
  <c r="M973" i="4" s="1"/>
  <c r="M972" i="4" a="1"/>
  <c r="M972" i="4" s="1"/>
  <c r="M971" i="4" a="1"/>
  <c r="M971" i="4" s="1"/>
  <c r="M970" i="4" a="1"/>
  <c r="M970" i="4" s="1"/>
  <c r="M969" i="4" a="1"/>
  <c r="M969" i="4" s="1"/>
  <c r="M968" i="4" a="1"/>
  <c r="M968" i="4" s="1"/>
  <c r="M967" i="4" a="1"/>
  <c r="M967" i="4" s="1"/>
  <c r="M966" i="4" a="1"/>
  <c r="M966" i="4" s="1"/>
  <c r="M965" i="4" a="1"/>
  <c r="M965" i="4" s="1"/>
  <c r="M964" i="4" a="1"/>
  <c r="M964" i="4" s="1"/>
  <c r="M963" i="4" a="1"/>
  <c r="M963" i="4" s="1"/>
  <c r="M962" i="4" a="1"/>
  <c r="M962" i="4" s="1"/>
  <c r="M961" i="4" a="1"/>
  <c r="M961" i="4" s="1"/>
  <c r="M960" i="4" a="1"/>
  <c r="M960" i="4" s="1"/>
  <c r="M959" i="4" a="1"/>
  <c r="M959" i="4"/>
  <c r="M958" i="4" a="1"/>
  <c r="M958" i="4" s="1"/>
  <c r="M957" i="4" a="1"/>
  <c r="M957" i="4" s="1"/>
  <c r="M956" i="4" a="1"/>
  <c r="M956" i="4" s="1"/>
  <c r="M955" i="4" a="1"/>
  <c r="M955" i="4" s="1"/>
  <c r="M954" i="4" a="1"/>
  <c r="M954" i="4" s="1"/>
  <c r="M953" i="4" a="1"/>
  <c r="M953" i="4" s="1"/>
  <c r="M952" i="4" a="1"/>
  <c r="M952" i="4" s="1"/>
  <c r="M951" i="4" a="1"/>
  <c r="M951" i="4" s="1"/>
  <c r="M950" i="4" a="1"/>
  <c r="M950" i="4" s="1"/>
  <c r="M949" i="4" a="1"/>
  <c r="M949" i="4" s="1"/>
  <c r="M948" i="4" a="1"/>
  <c r="M948" i="4" s="1"/>
  <c r="M947" i="4" a="1"/>
  <c r="M947" i="4" s="1"/>
  <c r="M946" i="4" a="1"/>
  <c r="M946" i="4" s="1"/>
  <c r="M945" i="4" a="1"/>
  <c r="M945" i="4" s="1"/>
  <c r="M944" i="4" a="1"/>
  <c r="M944" i="4" s="1"/>
  <c r="M943" i="4" a="1"/>
  <c r="M943" i="4" s="1"/>
  <c r="M942" i="4" a="1"/>
  <c r="M942" i="4" s="1"/>
  <c r="M941" i="4" a="1"/>
  <c r="M941" i="4" s="1"/>
  <c r="M940" i="4" a="1"/>
  <c r="M940" i="4" s="1"/>
  <c r="M939" i="4" a="1"/>
  <c r="M939" i="4" s="1"/>
  <c r="M938" i="4" a="1"/>
  <c r="M938" i="4" s="1"/>
  <c r="M937" i="4" a="1"/>
  <c r="M937" i="4" s="1"/>
  <c r="M936" i="4" a="1"/>
  <c r="M936" i="4"/>
  <c r="M935" i="4" a="1"/>
  <c r="M935" i="4" s="1"/>
  <c r="M934" i="4" a="1"/>
  <c r="M934" i="4" s="1"/>
  <c r="M933" i="4" a="1"/>
  <c r="M933" i="4" s="1"/>
  <c r="M932" i="4" a="1"/>
  <c r="M932" i="4" s="1"/>
  <c r="M931" i="4" a="1"/>
  <c r="M931" i="4" s="1"/>
  <c r="M930" i="4" a="1"/>
  <c r="M930" i="4" s="1"/>
  <c r="M929" i="4" a="1"/>
  <c r="M929" i="4" s="1"/>
  <c r="M928" i="4" a="1"/>
  <c r="M928" i="4" s="1"/>
  <c r="M927" i="4" a="1"/>
  <c r="M927" i="4" s="1"/>
  <c r="M926" i="4" a="1"/>
  <c r="M926" i="4" s="1"/>
  <c r="M925" i="4" a="1"/>
  <c r="M925" i="4" s="1"/>
  <c r="M924" i="4" a="1"/>
  <c r="M924" i="4" s="1"/>
  <c r="M923" i="4" a="1"/>
  <c r="M923" i="4" s="1"/>
  <c r="M922" i="4" a="1"/>
  <c r="M922" i="4" s="1"/>
  <c r="M921" i="4" a="1"/>
  <c r="M921" i="4" s="1"/>
  <c r="M920" i="4" a="1"/>
  <c r="M920" i="4" s="1"/>
  <c r="M919" i="4" a="1"/>
  <c r="M919" i="4" s="1"/>
  <c r="M918" i="4" a="1"/>
  <c r="M918" i="4" s="1"/>
  <c r="M917" i="4" a="1"/>
  <c r="M917" i="4" s="1"/>
  <c r="M916" i="4" a="1"/>
  <c r="M916" i="4"/>
  <c r="M915" i="4" a="1"/>
  <c r="M915" i="4" s="1"/>
  <c r="M914" i="4" a="1"/>
  <c r="M914" i="4" s="1"/>
  <c r="M913" i="4" a="1"/>
  <c r="M913" i="4" s="1"/>
  <c r="M912" i="4" a="1"/>
  <c r="M912" i="4" s="1"/>
  <c r="M911" i="4" a="1"/>
  <c r="M911" i="4" s="1"/>
  <c r="M910" i="4" a="1"/>
  <c r="M910" i="4" s="1"/>
  <c r="M909" i="4" a="1"/>
  <c r="M909" i="4" s="1"/>
  <c r="M908" i="4" a="1"/>
  <c r="M908" i="4" s="1"/>
  <c r="M907" i="4" a="1"/>
  <c r="M907" i="4" s="1"/>
  <c r="M906" i="4" a="1"/>
  <c r="M906" i="4" s="1"/>
  <c r="M905" i="4" a="1"/>
  <c r="M905" i="4" s="1"/>
  <c r="M904" i="4" a="1"/>
  <c r="M904" i="4" s="1"/>
  <c r="M903" i="4" a="1"/>
  <c r="M903" i="4" s="1"/>
  <c r="M902" i="4" a="1"/>
  <c r="M902" i="4" s="1"/>
  <c r="M901" i="4" a="1"/>
  <c r="M901" i="4" s="1"/>
  <c r="M900" i="4" a="1"/>
  <c r="M900" i="4" s="1"/>
  <c r="M899" i="4" a="1"/>
  <c r="M899" i="4" s="1"/>
  <c r="M898" i="4" a="1"/>
  <c r="M898" i="4" s="1"/>
  <c r="M897" i="4" a="1"/>
  <c r="M897" i="4" s="1"/>
  <c r="M896" i="4" a="1"/>
  <c r="M896" i="4"/>
  <c r="M895" i="4" a="1"/>
  <c r="M895" i="4" s="1"/>
  <c r="M894" i="4" a="1"/>
  <c r="M894" i="4" s="1"/>
  <c r="M893" i="4" a="1"/>
  <c r="M893" i="4" s="1"/>
  <c r="M892" i="4" a="1"/>
  <c r="M892" i="4" s="1"/>
  <c r="M891" i="4" a="1"/>
  <c r="M891" i="4" s="1"/>
  <c r="M890" i="4" a="1"/>
  <c r="M890" i="4" s="1"/>
  <c r="M889" i="4" a="1"/>
  <c r="M889" i="4" s="1"/>
  <c r="M888" i="4" a="1"/>
  <c r="M888" i="4"/>
  <c r="M887" i="4" a="1"/>
  <c r="M887" i="4" s="1"/>
  <c r="M886" i="4" a="1"/>
  <c r="M886" i="4" s="1"/>
  <c r="M885" i="4" a="1"/>
  <c r="M885" i="4" s="1"/>
  <c r="M884" i="4" a="1"/>
  <c r="M884" i="4" s="1"/>
  <c r="M883" i="4" a="1"/>
  <c r="M883" i="4" s="1"/>
  <c r="M882" i="4" a="1"/>
  <c r="M882" i="4"/>
  <c r="M881" i="4" a="1"/>
  <c r="M881" i="4" s="1"/>
  <c r="M880" i="4" a="1"/>
  <c r="M880" i="4" s="1"/>
  <c r="M879" i="4" a="1"/>
  <c r="M879" i="4" s="1"/>
  <c r="M878" i="4" a="1"/>
  <c r="M878" i="4" s="1"/>
  <c r="M877" i="4" a="1"/>
  <c r="M877" i="4" s="1"/>
  <c r="M876" i="4" a="1"/>
  <c r="M876" i="4" s="1"/>
  <c r="M875" i="4" a="1"/>
  <c r="M875" i="4"/>
  <c r="M874" i="4" a="1"/>
  <c r="M874" i="4" s="1"/>
  <c r="M873" i="4" a="1"/>
  <c r="M873" i="4" s="1"/>
  <c r="M872" i="4" a="1"/>
  <c r="M872" i="4" s="1"/>
  <c r="M871" i="4" a="1"/>
  <c r="M871" i="4" s="1"/>
  <c r="M870" i="4" a="1"/>
  <c r="M870" i="4" s="1"/>
  <c r="M869" i="4" a="1"/>
  <c r="M869" i="4" s="1"/>
  <c r="M868" i="4" a="1"/>
  <c r="M868" i="4" s="1"/>
  <c r="M867" i="4" a="1"/>
  <c r="M867" i="4" s="1"/>
  <c r="M866" i="4" a="1"/>
  <c r="M866" i="4" s="1"/>
  <c r="M865" i="4" a="1"/>
  <c r="M865" i="4" s="1"/>
  <c r="M864" i="4" a="1"/>
  <c r="M864" i="4" s="1"/>
  <c r="M863" i="4" a="1"/>
  <c r="M863" i="4" s="1"/>
  <c r="M862" i="4" a="1"/>
  <c r="M862" i="4" s="1"/>
  <c r="M861" i="4" a="1"/>
  <c r="M861" i="4" s="1"/>
  <c r="M860" i="4" a="1"/>
  <c r="M860" i="4" s="1"/>
  <c r="M859" i="4" a="1"/>
  <c r="M859" i="4" s="1"/>
  <c r="M858" i="4" a="1"/>
  <c r="M858" i="4" s="1"/>
  <c r="M857" i="4" a="1"/>
  <c r="M857" i="4" s="1"/>
  <c r="M856" i="4" a="1"/>
  <c r="M856" i="4" s="1"/>
  <c r="M855" i="4" a="1"/>
  <c r="M855" i="4" s="1"/>
  <c r="M854" i="4" a="1"/>
  <c r="M854" i="4" s="1"/>
  <c r="M853" i="4" a="1"/>
  <c r="M853" i="4" s="1"/>
  <c r="M852" i="4" a="1"/>
  <c r="M852" i="4" s="1"/>
  <c r="M851" i="4" a="1"/>
  <c r="M851" i="4" s="1"/>
  <c r="M850" i="4" a="1"/>
  <c r="M850" i="4" s="1"/>
  <c r="M849" i="4" a="1"/>
  <c r="M849" i="4" s="1"/>
  <c r="M848" i="4" a="1"/>
  <c r="M848" i="4" s="1"/>
  <c r="M847" i="4" a="1"/>
  <c r="M847" i="4" s="1"/>
  <c r="M846" i="4" a="1"/>
  <c r="M846" i="4" s="1"/>
  <c r="M845" i="4" a="1"/>
  <c r="M845" i="4" s="1"/>
  <c r="M844" i="4" a="1"/>
  <c r="M844" i="4" s="1"/>
  <c r="M843" i="4" a="1"/>
  <c r="M843" i="4" s="1"/>
  <c r="M842" i="4" a="1"/>
  <c r="M842" i="4" s="1"/>
  <c r="M841" i="4" a="1"/>
  <c r="M841" i="4" s="1"/>
  <c r="M840" i="4" a="1"/>
  <c r="M840" i="4" s="1"/>
  <c r="M839" i="4" a="1"/>
  <c r="M839" i="4" s="1"/>
  <c r="M838" i="4" a="1"/>
  <c r="M838" i="4" s="1"/>
  <c r="M837" i="4" a="1"/>
  <c r="M837" i="4" s="1"/>
  <c r="M836" i="4" a="1"/>
  <c r="M836" i="4" s="1"/>
  <c r="M835" i="4" a="1"/>
  <c r="M835" i="4" s="1"/>
  <c r="M834" i="4" a="1"/>
  <c r="M834" i="4" s="1"/>
  <c r="M833" i="4" a="1"/>
  <c r="M833" i="4" s="1"/>
  <c r="M832" i="4" a="1"/>
  <c r="M832" i="4" s="1"/>
  <c r="M831" i="4" a="1"/>
  <c r="M831" i="4" s="1"/>
  <c r="M830" i="4" a="1"/>
  <c r="M830" i="4" s="1"/>
  <c r="M829" i="4" a="1"/>
  <c r="M829" i="4" s="1"/>
  <c r="M828" i="4" a="1"/>
  <c r="M828" i="4" s="1"/>
  <c r="M827" i="4" a="1"/>
  <c r="M827" i="4" s="1"/>
  <c r="M826" i="4" a="1"/>
  <c r="M826" i="4" s="1"/>
  <c r="M825" i="4" a="1"/>
  <c r="M825" i="4" s="1"/>
  <c r="M824" i="4" a="1"/>
  <c r="M824" i="4" s="1"/>
  <c r="M823" i="4" a="1"/>
  <c r="M823" i="4" s="1"/>
  <c r="M822" i="4" a="1"/>
  <c r="M822" i="4" s="1"/>
  <c r="M821" i="4" a="1"/>
  <c r="M821" i="4" s="1"/>
  <c r="M820" i="4" a="1"/>
  <c r="M820" i="4" s="1"/>
  <c r="M819" i="4" a="1"/>
  <c r="M819" i="4" s="1"/>
  <c r="M818" i="4" a="1"/>
  <c r="M818" i="4" s="1"/>
  <c r="M817" i="4" a="1"/>
  <c r="M817" i="4" s="1"/>
  <c r="M816" i="4" a="1"/>
  <c r="M816" i="4" s="1"/>
  <c r="M815" i="4" a="1"/>
  <c r="M815" i="4" s="1"/>
  <c r="M814" i="4" a="1"/>
  <c r="M814" i="4" s="1"/>
  <c r="M813" i="4" a="1"/>
  <c r="M813" i="4" s="1"/>
  <c r="M812" i="4" a="1"/>
  <c r="M812" i="4" s="1"/>
  <c r="M811" i="4" a="1"/>
  <c r="M811" i="4" s="1"/>
  <c r="M810" i="4" a="1"/>
  <c r="M810" i="4" s="1"/>
  <c r="M809" i="4" a="1"/>
  <c r="M809" i="4" s="1"/>
  <c r="M808" i="4" a="1"/>
  <c r="M808" i="4" s="1"/>
  <c r="M807" i="4" a="1"/>
  <c r="M807" i="4" s="1"/>
  <c r="M806" i="4" a="1"/>
  <c r="M806" i="4" s="1"/>
  <c r="M805" i="4" a="1"/>
  <c r="M805" i="4" s="1"/>
  <c r="M804" i="4" a="1"/>
  <c r="M804" i="4" s="1"/>
  <c r="M803" i="4" a="1"/>
  <c r="M803" i="4" s="1"/>
  <c r="M802" i="4" a="1"/>
  <c r="M802" i="4" s="1"/>
  <c r="M801" i="4" a="1"/>
  <c r="M801" i="4" s="1"/>
  <c r="M800" i="4" a="1"/>
  <c r="M800" i="4" s="1"/>
  <c r="M799" i="4" a="1"/>
  <c r="M799" i="4" s="1"/>
  <c r="M798" i="4" a="1"/>
  <c r="M798" i="4" s="1"/>
  <c r="M797" i="4" a="1"/>
  <c r="M797" i="4" s="1"/>
  <c r="M796" i="4" a="1"/>
  <c r="M796" i="4" s="1"/>
  <c r="M795" i="4" a="1"/>
  <c r="M795" i="4" s="1"/>
  <c r="M794" i="4" a="1"/>
  <c r="M794" i="4" s="1"/>
  <c r="M793" i="4" a="1"/>
  <c r="M793" i="4" s="1"/>
  <c r="M792" i="4" a="1"/>
  <c r="M792" i="4" s="1"/>
  <c r="M791" i="4" a="1"/>
  <c r="M791" i="4" s="1"/>
  <c r="M790" i="4" a="1"/>
  <c r="M790" i="4" s="1"/>
  <c r="M789" i="4" a="1"/>
  <c r="M789" i="4" s="1"/>
  <c r="M788" i="4" a="1"/>
  <c r="M788" i="4" s="1"/>
  <c r="M787" i="4" a="1"/>
  <c r="M787" i="4" s="1"/>
  <c r="M786" i="4" a="1"/>
  <c r="M786" i="4" s="1"/>
  <c r="M785" i="4" a="1"/>
  <c r="M785" i="4" s="1"/>
  <c r="M784" i="4" a="1"/>
  <c r="M784" i="4" s="1"/>
  <c r="M783" i="4" a="1"/>
  <c r="M783" i="4" s="1"/>
  <c r="M782" i="4" a="1"/>
  <c r="M782" i="4" s="1"/>
  <c r="M781" i="4" a="1"/>
  <c r="M781" i="4" s="1"/>
  <c r="M780" i="4" a="1"/>
  <c r="M780" i="4" s="1"/>
  <c r="M779" i="4" a="1"/>
  <c r="M779" i="4" s="1"/>
  <c r="M778" i="4" a="1"/>
  <c r="M778" i="4" s="1"/>
  <c r="M777" i="4" a="1"/>
  <c r="M777" i="4" s="1"/>
  <c r="M776" i="4" a="1"/>
  <c r="M776" i="4" s="1"/>
  <c r="M775" i="4" a="1"/>
  <c r="M775" i="4" s="1"/>
  <c r="M774" i="4" a="1"/>
  <c r="M774" i="4" s="1"/>
  <c r="M773" i="4" a="1"/>
  <c r="M773" i="4" s="1"/>
  <c r="M772" i="4" a="1"/>
  <c r="M772" i="4" s="1"/>
  <c r="M771" i="4" a="1"/>
  <c r="M771" i="4" s="1"/>
  <c r="M770" i="4" a="1"/>
  <c r="M770" i="4" s="1"/>
  <c r="M769" i="4" a="1"/>
  <c r="M769" i="4" s="1"/>
  <c r="M768" i="4" a="1"/>
  <c r="M768" i="4" s="1"/>
  <c r="M767" i="4" a="1"/>
  <c r="M767" i="4" s="1"/>
  <c r="M766" i="4" a="1"/>
  <c r="M766" i="4" s="1"/>
  <c r="M765" i="4" a="1"/>
  <c r="M765" i="4" s="1"/>
  <c r="M764" i="4" a="1"/>
  <c r="M764" i="4" s="1"/>
  <c r="M763" i="4" a="1"/>
  <c r="M763" i="4" s="1"/>
  <c r="M762" i="4" a="1"/>
  <c r="M762" i="4" s="1"/>
  <c r="M761" i="4" a="1"/>
  <c r="M761" i="4" s="1"/>
  <c r="M760" i="4" a="1"/>
  <c r="M760" i="4" s="1"/>
  <c r="M759" i="4" a="1"/>
  <c r="M759" i="4" s="1"/>
  <c r="M758" i="4" a="1"/>
  <c r="M758" i="4" s="1"/>
  <c r="M757" i="4" a="1"/>
  <c r="M757" i="4" s="1"/>
  <c r="M756" i="4" a="1"/>
  <c r="M756" i="4" s="1"/>
  <c r="M755" i="4" a="1"/>
  <c r="M755" i="4" s="1"/>
  <c r="M754" i="4" a="1"/>
  <c r="M754" i="4"/>
  <c r="M753" i="4" a="1"/>
  <c r="M753" i="4" s="1"/>
  <c r="M752" i="4" a="1"/>
  <c r="M752" i="4" s="1"/>
  <c r="M751" i="4" a="1"/>
  <c r="M751" i="4"/>
  <c r="M750" i="4" a="1"/>
  <c r="M750" i="4" s="1"/>
  <c r="M749" i="4" a="1"/>
  <c r="M749" i="4" s="1"/>
  <c r="M748" i="4" a="1"/>
  <c r="M748" i="4" s="1"/>
  <c r="M747" i="4" a="1"/>
  <c r="M747" i="4" s="1"/>
  <c r="M746" i="4" a="1"/>
  <c r="M746" i="4" s="1"/>
  <c r="M745" i="4" a="1"/>
  <c r="M745" i="4" s="1"/>
  <c r="M744" i="4" a="1"/>
  <c r="M744" i="4" s="1"/>
  <c r="M743" i="4" a="1"/>
  <c r="M743" i="4" s="1"/>
  <c r="M742" i="4" a="1"/>
  <c r="M742" i="4" s="1"/>
  <c r="M741" i="4" a="1"/>
  <c r="M741" i="4" s="1"/>
  <c r="M740" i="4" a="1"/>
  <c r="M740" i="4" s="1"/>
  <c r="M739" i="4" a="1"/>
  <c r="M739" i="4" s="1"/>
  <c r="M738" i="4" a="1"/>
  <c r="M738" i="4" s="1"/>
  <c r="M737" i="4" a="1"/>
  <c r="M737" i="4" s="1"/>
  <c r="M736" i="4" a="1"/>
  <c r="M736" i="4" s="1"/>
  <c r="M735" i="4" a="1"/>
  <c r="M735" i="4" s="1"/>
  <c r="M734" i="4" a="1"/>
  <c r="M734" i="4" s="1"/>
  <c r="M733" i="4" a="1"/>
  <c r="M733" i="4" s="1"/>
  <c r="M732" i="4" a="1"/>
  <c r="M732" i="4"/>
  <c r="M731" i="4" a="1"/>
  <c r="M731" i="4" s="1"/>
  <c r="M730" i="4" a="1"/>
  <c r="M730" i="4" s="1"/>
  <c r="M729" i="4" a="1"/>
  <c r="M729" i="4" s="1"/>
  <c r="M728" i="4" a="1"/>
  <c r="M728" i="4" s="1"/>
  <c r="M727" i="4" a="1"/>
  <c r="M727" i="4" s="1"/>
  <c r="M726" i="4" a="1"/>
  <c r="M726" i="4" s="1"/>
  <c r="M725" i="4" a="1"/>
  <c r="M725" i="4" s="1"/>
  <c r="M724" i="4" a="1"/>
  <c r="M724" i="4" s="1"/>
  <c r="M723" i="4" a="1"/>
  <c r="M723" i="4" s="1"/>
  <c r="M722" i="4" a="1"/>
  <c r="M722" i="4" s="1"/>
  <c r="M721" i="4" a="1"/>
  <c r="M721" i="4" s="1"/>
  <c r="M720" i="4" a="1"/>
  <c r="M720" i="4" s="1"/>
  <c r="M719" i="4" a="1"/>
  <c r="M719" i="4" s="1"/>
  <c r="M718" i="4" a="1"/>
  <c r="M718" i="4" s="1"/>
  <c r="M717" i="4" a="1"/>
  <c r="M717" i="4" s="1"/>
  <c r="M716" i="4" a="1"/>
  <c r="M716" i="4" s="1"/>
  <c r="M715" i="4" a="1"/>
  <c r="M715" i="4" s="1"/>
  <c r="M714" i="4" a="1"/>
  <c r="M714" i="4" s="1"/>
  <c r="M713" i="4" a="1"/>
  <c r="M713" i="4" s="1"/>
  <c r="M712" i="4" a="1"/>
  <c r="M712" i="4" s="1"/>
  <c r="M711" i="4" a="1"/>
  <c r="M711" i="4" s="1"/>
  <c r="M710" i="4" a="1"/>
  <c r="M710" i="4" s="1"/>
  <c r="M709" i="4" a="1"/>
  <c r="M709" i="4" s="1"/>
  <c r="M708" i="4" a="1"/>
  <c r="M708" i="4" s="1"/>
  <c r="M707" i="4" a="1"/>
  <c r="M707" i="4" s="1"/>
  <c r="M706" i="4" a="1"/>
  <c r="M706" i="4" s="1"/>
  <c r="M705" i="4" a="1"/>
  <c r="M705" i="4" s="1"/>
  <c r="M704" i="4" a="1"/>
  <c r="M704" i="4" s="1"/>
  <c r="M703" i="4" a="1"/>
  <c r="M703" i="4" s="1"/>
  <c r="M702" i="4" a="1"/>
  <c r="M702" i="4" s="1"/>
  <c r="M701" i="4" a="1"/>
  <c r="M701" i="4" s="1"/>
  <c r="M700" i="4" a="1"/>
  <c r="M700" i="4" s="1"/>
  <c r="M699" i="4" a="1"/>
  <c r="M699" i="4" s="1"/>
  <c r="M698" i="4" a="1"/>
  <c r="M698" i="4" s="1"/>
  <c r="M697" i="4" a="1"/>
  <c r="M697" i="4" s="1"/>
  <c r="M696" i="4" a="1"/>
  <c r="M696" i="4" s="1"/>
  <c r="M695" i="4" a="1"/>
  <c r="M695" i="4" s="1"/>
  <c r="M694" i="4" a="1"/>
  <c r="M694" i="4" s="1"/>
  <c r="M693" i="4" a="1"/>
  <c r="M693" i="4" s="1"/>
  <c r="M692" i="4" a="1"/>
  <c r="M692" i="4" s="1"/>
  <c r="M691" i="4" a="1"/>
  <c r="M691" i="4" s="1"/>
  <c r="M690" i="4" a="1"/>
  <c r="M690" i="4" s="1"/>
  <c r="M689" i="4" a="1"/>
  <c r="M689" i="4" s="1"/>
  <c r="M688" i="4" a="1"/>
  <c r="M688" i="4" s="1"/>
  <c r="M687" i="4" a="1"/>
  <c r="M687" i="4" s="1"/>
  <c r="M686" i="4" a="1"/>
  <c r="M686" i="4" s="1"/>
  <c r="M685" i="4" a="1"/>
  <c r="M685" i="4" s="1"/>
  <c r="M684" i="4" a="1"/>
  <c r="M684" i="4" s="1"/>
  <c r="M683" i="4" a="1"/>
  <c r="M683" i="4" s="1"/>
  <c r="M682" i="4" a="1"/>
  <c r="M682" i="4" s="1"/>
  <c r="M681" i="4" a="1"/>
  <c r="M681" i="4" s="1"/>
  <c r="M680" i="4" a="1"/>
  <c r="M680" i="4" s="1"/>
  <c r="M679" i="4" a="1"/>
  <c r="M679" i="4" s="1"/>
  <c r="M678" i="4" a="1"/>
  <c r="M678" i="4" s="1"/>
  <c r="M677" i="4" a="1"/>
  <c r="M677" i="4" s="1"/>
  <c r="M676" i="4" a="1"/>
  <c r="M676" i="4" s="1"/>
  <c r="M675" i="4" a="1"/>
  <c r="M675" i="4" s="1"/>
  <c r="M674" i="4" a="1"/>
  <c r="M674" i="4" s="1"/>
  <c r="M673" i="4" a="1"/>
  <c r="M673" i="4"/>
  <c r="M672" i="4" a="1"/>
  <c r="M672" i="4" s="1"/>
  <c r="M671" i="4" a="1"/>
  <c r="M671" i="4" s="1"/>
  <c r="M670" i="4" a="1"/>
  <c r="M670" i="4" s="1"/>
  <c r="M669" i="4" a="1"/>
  <c r="M669" i="4" s="1"/>
  <c r="M668" i="4" a="1"/>
  <c r="M668" i="4" s="1"/>
  <c r="M667" i="4" a="1"/>
  <c r="M667" i="4" s="1"/>
  <c r="M666" i="4" a="1"/>
  <c r="M666" i="4" s="1"/>
  <c r="M665" i="4" a="1"/>
  <c r="M665" i="4"/>
  <c r="M664" i="4" a="1"/>
  <c r="M664" i="4" s="1"/>
  <c r="M663" i="4" a="1"/>
  <c r="M663" i="4" s="1"/>
  <c r="M662" i="4" a="1"/>
  <c r="M662" i="4" s="1"/>
  <c r="M661" i="4" a="1"/>
  <c r="M661" i="4" s="1"/>
  <c r="M660" i="4" a="1"/>
  <c r="M660" i="4" s="1"/>
  <c r="M659" i="4" a="1"/>
  <c r="M659" i="4" s="1"/>
  <c r="M658" i="4" a="1"/>
  <c r="M658" i="4" s="1"/>
  <c r="M657" i="4" a="1"/>
  <c r="M657" i="4" s="1"/>
  <c r="M656" i="4" a="1"/>
  <c r="M656" i="4" s="1"/>
  <c r="M655" i="4" a="1"/>
  <c r="M655" i="4" s="1"/>
  <c r="M654" i="4" a="1"/>
  <c r="M654" i="4" s="1"/>
  <c r="M653" i="4" a="1"/>
  <c r="M653" i="4" s="1"/>
  <c r="M652" i="4" a="1"/>
  <c r="M652" i="4"/>
  <c r="M651" i="4" a="1"/>
  <c r="M651" i="4" s="1"/>
  <c r="M650" i="4" a="1"/>
  <c r="M650" i="4" s="1"/>
  <c r="M649" i="4" a="1"/>
  <c r="M649" i="4" s="1"/>
  <c r="M648" i="4" a="1"/>
  <c r="M648" i="4" s="1"/>
  <c r="M647" i="4" a="1"/>
  <c r="M647" i="4" s="1"/>
  <c r="M646" i="4" a="1"/>
  <c r="M646" i="4" s="1"/>
  <c r="M645" i="4" a="1"/>
  <c r="M645" i="4" s="1"/>
  <c r="M644" i="4" a="1"/>
  <c r="M644" i="4" s="1"/>
  <c r="M643" i="4" a="1"/>
  <c r="M643" i="4" s="1"/>
  <c r="M642" i="4" a="1"/>
  <c r="M642" i="4" s="1"/>
  <c r="M641" i="4" a="1"/>
  <c r="M641" i="4" s="1"/>
  <c r="M640" i="4" a="1"/>
  <c r="M640" i="4" s="1"/>
  <c r="M639" i="4" a="1"/>
  <c r="M639" i="4" s="1"/>
  <c r="M638" i="4" a="1"/>
  <c r="M638" i="4" s="1"/>
  <c r="M637" i="4" a="1"/>
  <c r="M637" i="4" s="1"/>
  <c r="M636" i="4" a="1"/>
  <c r="M636" i="4" s="1"/>
  <c r="M635" i="4" a="1"/>
  <c r="M635" i="4" s="1"/>
  <c r="M634" i="4" a="1"/>
  <c r="M634" i="4" s="1"/>
  <c r="M633" i="4" a="1"/>
  <c r="M633" i="4" s="1"/>
  <c r="M632" i="4" a="1"/>
  <c r="M632" i="4" s="1"/>
  <c r="M631" i="4" a="1"/>
  <c r="M631" i="4" s="1"/>
  <c r="M630" i="4" a="1"/>
  <c r="M630" i="4" s="1"/>
  <c r="M629" i="4" a="1"/>
  <c r="M629" i="4" s="1"/>
  <c r="M628" i="4" a="1"/>
  <c r="M628" i="4" s="1"/>
  <c r="M627" i="4" a="1"/>
  <c r="M627" i="4" s="1"/>
  <c r="M626" i="4" a="1"/>
  <c r="M626" i="4" s="1"/>
  <c r="M625" i="4" a="1"/>
  <c r="M625" i="4" s="1"/>
  <c r="M624" i="4" a="1"/>
  <c r="M624" i="4" s="1"/>
  <c r="M623" i="4" a="1"/>
  <c r="M623" i="4" s="1"/>
  <c r="M622" i="4" a="1"/>
  <c r="M622" i="4" s="1"/>
  <c r="M621" i="4" a="1"/>
  <c r="M621" i="4" s="1"/>
  <c r="M620" i="4" a="1"/>
  <c r="M620" i="4" s="1"/>
  <c r="M619" i="4" a="1"/>
  <c r="M619" i="4" s="1"/>
  <c r="M618" i="4" a="1"/>
  <c r="M618" i="4" s="1"/>
  <c r="M617" i="4" a="1"/>
  <c r="M617" i="4"/>
  <c r="M616" i="4" a="1"/>
  <c r="M616" i="4" s="1"/>
  <c r="M615" i="4" a="1"/>
  <c r="M615" i="4" s="1"/>
  <c r="M614" i="4" a="1"/>
  <c r="M614" i="4" s="1"/>
  <c r="M613" i="4" a="1"/>
  <c r="M613" i="4" s="1"/>
  <c r="M612" i="4" a="1"/>
  <c r="M612" i="4" s="1"/>
  <c r="M611" i="4" a="1"/>
  <c r="M611" i="4" s="1"/>
  <c r="M610" i="4" a="1"/>
  <c r="M610" i="4" s="1"/>
  <c r="M609" i="4" a="1"/>
  <c r="M609" i="4" s="1"/>
  <c r="M608" i="4" a="1"/>
  <c r="M608" i="4" s="1"/>
  <c r="M607" i="4" a="1"/>
  <c r="M607" i="4"/>
  <c r="M606" i="4" a="1"/>
  <c r="M606" i="4" s="1"/>
  <c r="M605" i="4" a="1"/>
  <c r="M605" i="4" s="1"/>
  <c r="M604" i="4" a="1"/>
  <c r="M604" i="4" s="1"/>
  <c r="M603" i="4" a="1"/>
  <c r="M603" i="4" s="1"/>
  <c r="M602" i="4" a="1"/>
  <c r="M602" i="4"/>
  <c r="M601" i="4" a="1"/>
  <c r="M601" i="4" s="1"/>
  <c r="M600" i="4" a="1"/>
  <c r="M600" i="4" s="1"/>
  <c r="M599" i="4" a="1"/>
  <c r="M599" i="4" s="1"/>
  <c r="M598" i="4" a="1"/>
  <c r="M598" i="4" s="1"/>
  <c r="M597" i="4" a="1"/>
  <c r="M597" i="4" s="1"/>
  <c r="M596" i="4" a="1"/>
  <c r="M596" i="4" s="1"/>
  <c r="M595" i="4" a="1"/>
  <c r="M595" i="4" s="1"/>
  <c r="M594" i="4" a="1"/>
  <c r="M594" i="4" s="1"/>
  <c r="M593" i="4" a="1"/>
  <c r="M593" i="4" s="1"/>
  <c r="M592" i="4" a="1"/>
  <c r="M592" i="4" s="1"/>
  <c r="M591" i="4" a="1"/>
  <c r="M591" i="4" s="1"/>
  <c r="M590" i="4" a="1"/>
  <c r="M590" i="4" s="1"/>
  <c r="M589" i="4" a="1"/>
  <c r="M589" i="4" s="1"/>
  <c r="M588" i="4" a="1"/>
  <c r="M588" i="4"/>
  <c r="M587" i="4" a="1"/>
  <c r="M587" i="4" s="1"/>
  <c r="M586" i="4" a="1"/>
  <c r="M586" i="4" s="1"/>
  <c r="M585" i="4" a="1"/>
  <c r="M585" i="4" s="1"/>
  <c r="M584" i="4" a="1"/>
  <c r="M584" i="4" s="1"/>
  <c r="M583" i="4" a="1"/>
  <c r="M583" i="4" s="1"/>
  <c r="M582" i="4" a="1"/>
  <c r="M582" i="4" s="1"/>
  <c r="M581" i="4" a="1"/>
  <c r="M581" i="4" s="1"/>
  <c r="M580" i="4" a="1"/>
  <c r="M580" i="4" s="1"/>
  <c r="M579" i="4" a="1"/>
  <c r="M579" i="4" s="1"/>
  <c r="M578" i="4" a="1"/>
  <c r="M578" i="4" s="1"/>
  <c r="M577" i="4" a="1"/>
  <c r="M577" i="4" s="1"/>
  <c r="M576" i="4" a="1"/>
  <c r="M576" i="4" s="1"/>
  <c r="M575" i="4" a="1"/>
  <c r="M575" i="4" s="1"/>
  <c r="M574" i="4" a="1"/>
  <c r="M574" i="4" s="1"/>
  <c r="M573" i="4" a="1"/>
  <c r="M573" i="4" s="1"/>
  <c r="M572" i="4" a="1"/>
  <c r="M572" i="4" s="1"/>
  <c r="M571" i="4" a="1"/>
  <c r="M571" i="4" s="1"/>
  <c r="M570" i="4" a="1"/>
  <c r="M570" i="4" s="1"/>
  <c r="M569" i="4" a="1"/>
  <c r="M569" i="4" s="1"/>
  <c r="M568" i="4" a="1"/>
  <c r="M568" i="4" s="1"/>
  <c r="M567" i="4" a="1"/>
  <c r="M567" i="4" s="1"/>
  <c r="M566" i="4" a="1"/>
  <c r="M566" i="4" s="1"/>
  <c r="M565" i="4" a="1"/>
  <c r="M565" i="4" s="1"/>
  <c r="M564" i="4" a="1"/>
  <c r="M564" i="4" s="1"/>
  <c r="M563" i="4" a="1"/>
  <c r="M563" i="4" s="1"/>
  <c r="M562" i="4" a="1"/>
  <c r="M562" i="4" s="1"/>
  <c r="M561" i="4" a="1"/>
  <c r="M561" i="4" s="1"/>
  <c r="M560" i="4" a="1"/>
  <c r="M560" i="4" s="1"/>
  <c r="M559" i="4" a="1"/>
  <c r="M559" i="4" s="1"/>
  <c r="M558" i="4" a="1"/>
  <c r="M558" i="4" s="1"/>
  <c r="M557" i="4" a="1"/>
  <c r="M557" i="4" s="1"/>
  <c r="M556" i="4" a="1"/>
  <c r="M556" i="4" s="1"/>
  <c r="M555" i="4" a="1"/>
  <c r="M555" i="4" s="1"/>
  <c r="M554" i="4" a="1"/>
  <c r="M554" i="4" s="1"/>
  <c r="M553" i="4" a="1"/>
  <c r="M553" i="4" s="1"/>
  <c r="M552" i="4" a="1"/>
  <c r="M552" i="4"/>
  <c r="M551" i="4" a="1"/>
  <c r="M551" i="4" s="1"/>
  <c r="M550" i="4" a="1"/>
  <c r="M550" i="4" s="1"/>
  <c r="M549" i="4" a="1"/>
  <c r="M549" i="4" s="1"/>
  <c r="M548" i="4" a="1"/>
  <c r="M548" i="4" s="1"/>
  <c r="M547" i="4" a="1"/>
  <c r="M547" i="4" s="1"/>
  <c r="M546" i="4" a="1"/>
  <c r="M546" i="4" s="1"/>
  <c r="M545" i="4" a="1"/>
  <c r="M545" i="4" s="1"/>
  <c r="M544" i="4" a="1"/>
  <c r="M544" i="4" s="1"/>
  <c r="M543" i="4" a="1"/>
  <c r="M543" i="4" s="1"/>
  <c r="M542" i="4" a="1"/>
  <c r="M542" i="4" s="1"/>
  <c r="M541" i="4" a="1"/>
  <c r="M541" i="4" s="1"/>
  <c r="M540" i="4" a="1"/>
  <c r="M540" i="4" s="1"/>
  <c r="M539" i="4" a="1"/>
  <c r="M539" i="4" s="1"/>
  <c r="M538" i="4" a="1"/>
  <c r="M538" i="4" s="1"/>
  <c r="M537" i="4" a="1"/>
  <c r="M537" i="4" s="1"/>
  <c r="M536" i="4" a="1"/>
  <c r="M536" i="4" s="1"/>
  <c r="M535" i="4" a="1"/>
  <c r="M535" i="4" s="1"/>
  <c r="M534" i="4" a="1"/>
  <c r="M534" i="4" s="1"/>
  <c r="M533" i="4" a="1"/>
  <c r="M533" i="4" s="1"/>
  <c r="M532" i="4" a="1"/>
  <c r="M532" i="4"/>
  <c r="M531" i="4" a="1"/>
  <c r="M531" i="4" s="1"/>
  <c r="M530" i="4" a="1"/>
  <c r="M530" i="4" s="1"/>
  <c r="M529" i="4" a="1"/>
  <c r="M529" i="4" s="1"/>
  <c r="M528" i="4" a="1"/>
  <c r="M528" i="4" s="1"/>
  <c r="M527" i="4" a="1"/>
  <c r="M527" i="4" s="1"/>
  <c r="M526" i="4" a="1"/>
  <c r="M526" i="4" s="1"/>
  <c r="M525" i="4" a="1"/>
  <c r="M525" i="4" s="1"/>
  <c r="M524" i="4" a="1"/>
  <c r="M524" i="4" s="1"/>
  <c r="M523" i="4" a="1"/>
  <c r="M523" i="4" s="1"/>
  <c r="M522" i="4" a="1"/>
  <c r="M522" i="4"/>
  <c r="M521" i="4" a="1"/>
  <c r="M521" i="4" s="1"/>
  <c r="M520" i="4" a="1"/>
  <c r="M520" i="4" s="1"/>
  <c r="M519" i="4" a="1"/>
  <c r="M519" i="4" s="1"/>
  <c r="M518" i="4" a="1"/>
  <c r="M518" i="4" s="1"/>
  <c r="M517" i="4" a="1"/>
  <c r="M517" i="4" s="1"/>
  <c r="M516" i="4" a="1"/>
  <c r="M516" i="4" s="1"/>
  <c r="M515" i="4" a="1"/>
  <c r="M515" i="4" s="1"/>
  <c r="M514" i="4" a="1"/>
  <c r="M514" i="4" s="1"/>
  <c r="M513" i="4" a="1"/>
  <c r="M513" i="4" s="1"/>
  <c r="M512" i="4" a="1"/>
  <c r="M512" i="4" s="1"/>
  <c r="M511" i="4" a="1"/>
  <c r="M511" i="4" s="1"/>
  <c r="M510" i="4" a="1"/>
  <c r="M510" i="4" s="1"/>
  <c r="M509" i="4" a="1"/>
  <c r="M509" i="4" s="1"/>
  <c r="M508" i="4" a="1"/>
  <c r="M508" i="4" s="1"/>
  <c r="M507" i="4" a="1"/>
  <c r="M507" i="4" s="1"/>
  <c r="M506" i="4" a="1"/>
  <c r="M506" i="4" s="1"/>
  <c r="M505" i="4" a="1"/>
  <c r="M505" i="4" s="1"/>
  <c r="M504" i="4" a="1"/>
  <c r="M504" i="4" s="1"/>
  <c r="M503" i="4" a="1"/>
  <c r="M503" i="4" s="1"/>
  <c r="M502" i="4" a="1"/>
  <c r="M502" i="4" s="1"/>
  <c r="M501" i="4" a="1"/>
  <c r="M501" i="4" s="1"/>
  <c r="M500" i="4" a="1"/>
  <c r="M500" i="4" s="1"/>
  <c r="M499" i="4" a="1"/>
  <c r="M499" i="4" s="1"/>
  <c r="M498" i="4" a="1"/>
  <c r="M498" i="4" s="1"/>
  <c r="M497" i="4" a="1"/>
  <c r="M497" i="4" s="1"/>
  <c r="M496" i="4" a="1"/>
  <c r="M496" i="4" s="1"/>
  <c r="M495" i="4" a="1"/>
  <c r="M495" i="4" s="1"/>
  <c r="M494" i="4" a="1"/>
  <c r="M494" i="4" s="1"/>
  <c r="M493" i="4" a="1"/>
  <c r="M493" i="4" s="1"/>
  <c r="M492" i="4" a="1"/>
  <c r="M492" i="4" s="1"/>
  <c r="M491" i="4" a="1"/>
  <c r="M491" i="4" s="1"/>
  <c r="M490" i="4" a="1"/>
  <c r="M490" i="4" s="1"/>
  <c r="M489" i="4" a="1"/>
  <c r="M489" i="4" s="1"/>
  <c r="M488" i="4" a="1"/>
  <c r="M488" i="4" s="1"/>
  <c r="M487" i="4" a="1"/>
  <c r="M487" i="4" s="1"/>
  <c r="M486" i="4" a="1"/>
  <c r="M486" i="4" s="1"/>
  <c r="M485" i="4" a="1"/>
  <c r="M485" i="4" s="1"/>
  <c r="M484" i="4" a="1"/>
  <c r="M484" i="4" s="1"/>
  <c r="M483" i="4" a="1"/>
  <c r="M483" i="4" s="1"/>
  <c r="M482" i="4" a="1"/>
  <c r="M482" i="4" s="1"/>
  <c r="M481" i="4" a="1"/>
  <c r="M481" i="4" s="1"/>
  <c r="M480" i="4" a="1"/>
  <c r="M480" i="4"/>
  <c r="M479" i="4" a="1"/>
  <c r="M479" i="4" s="1"/>
  <c r="M478" i="4" a="1"/>
  <c r="M478" i="4" s="1"/>
  <c r="M477" i="4" a="1"/>
  <c r="M477" i="4" s="1"/>
  <c r="M476" i="4" a="1"/>
  <c r="M476" i="4" s="1"/>
  <c r="M475" i="4" a="1"/>
  <c r="M475" i="4" s="1"/>
  <c r="M474" i="4" a="1"/>
  <c r="M474" i="4" s="1"/>
  <c r="M473" i="4" a="1"/>
  <c r="M473" i="4" s="1"/>
  <c r="M472" i="4" a="1"/>
  <c r="M472" i="4" s="1"/>
  <c r="M471" i="4" a="1"/>
  <c r="M471" i="4" s="1"/>
  <c r="M470" i="4" a="1"/>
  <c r="M470" i="4" s="1"/>
  <c r="M469" i="4" a="1"/>
  <c r="M469" i="4" s="1"/>
  <c r="M468" i="4" a="1"/>
  <c r="M468" i="4" s="1"/>
  <c r="M467" i="4" a="1"/>
  <c r="M467" i="4" s="1"/>
  <c r="M466" i="4" a="1"/>
  <c r="M466" i="4" s="1"/>
  <c r="M465" i="4" a="1"/>
  <c r="M465" i="4" s="1"/>
  <c r="M464" i="4" a="1"/>
  <c r="M464" i="4" s="1"/>
  <c r="M463" i="4" a="1"/>
  <c r="M463" i="4" s="1"/>
  <c r="M462" i="4" a="1"/>
  <c r="M462" i="4"/>
  <c r="M461" i="4" a="1"/>
  <c r="M461" i="4" s="1"/>
  <c r="M460" i="4" a="1"/>
  <c r="M460" i="4" s="1"/>
  <c r="M459" i="4" a="1"/>
  <c r="M459" i="4" s="1"/>
  <c r="M458" i="4" a="1"/>
  <c r="M458" i="4" s="1"/>
  <c r="M457" i="4" a="1"/>
  <c r="M457" i="4" s="1"/>
  <c r="M456" i="4" a="1"/>
  <c r="M456" i="4" s="1"/>
  <c r="M455" i="4" a="1"/>
  <c r="M455" i="4" s="1"/>
  <c r="M454" i="4" a="1"/>
  <c r="M454" i="4" s="1"/>
  <c r="M453" i="4" a="1"/>
  <c r="M453" i="4" s="1"/>
  <c r="M452" i="4" a="1"/>
  <c r="M452" i="4" s="1"/>
  <c r="M451" i="4" a="1"/>
  <c r="M451" i="4" s="1"/>
  <c r="M450" i="4" a="1"/>
  <c r="M450" i="4" s="1"/>
  <c r="M449" i="4" a="1"/>
  <c r="M449" i="4" s="1"/>
  <c r="M448" i="4" a="1"/>
  <c r="M448" i="4" s="1"/>
  <c r="M447" i="4" a="1"/>
  <c r="M447" i="4"/>
  <c r="M446" i="4" a="1"/>
  <c r="M446" i="4" s="1"/>
  <c r="M445" i="4" a="1"/>
  <c r="M445" i="4" s="1"/>
  <c r="M444" i="4" a="1"/>
  <c r="M444" i="4" s="1"/>
  <c r="M443" i="4" a="1"/>
  <c r="M443" i="4" s="1"/>
  <c r="M442" i="4" a="1"/>
  <c r="M442" i="4" s="1"/>
  <c r="M441" i="4" a="1"/>
  <c r="M441" i="4" s="1"/>
  <c r="M440" i="4" a="1"/>
  <c r="M440" i="4" s="1"/>
  <c r="M439" i="4" a="1"/>
  <c r="M439" i="4" s="1"/>
  <c r="M438" i="4" a="1"/>
  <c r="M438" i="4" s="1"/>
  <c r="M437" i="4" a="1"/>
  <c r="M437" i="4" s="1"/>
  <c r="M436" i="4" a="1"/>
  <c r="M436" i="4" s="1"/>
  <c r="M435" i="4" a="1"/>
  <c r="M435" i="4" s="1"/>
  <c r="M434" i="4" a="1"/>
  <c r="M434" i="4" s="1"/>
  <c r="M433" i="4" a="1"/>
  <c r="M433" i="4" s="1"/>
  <c r="M432" i="4" a="1"/>
  <c r="M432" i="4" s="1"/>
  <c r="M431" i="4" a="1"/>
  <c r="M431" i="4" s="1"/>
  <c r="M430" i="4" a="1"/>
  <c r="M430" i="4" s="1"/>
  <c r="M429" i="4" a="1"/>
  <c r="M429" i="4" s="1"/>
  <c r="M428" i="4" a="1"/>
  <c r="M428" i="4" s="1"/>
  <c r="M427" i="4" a="1"/>
  <c r="M427" i="4" s="1"/>
  <c r="M426" i="4" a="1"/>
  <c r="M426" i="4" s="1"/>
  <c r="M425" i="4" a="1"/>
  <c r="M425" i="4" s="1"/>
  <c r="M424" i="4" a="1"/>
  <c r="M424" i="4" s="1"/>
  <c r="M423" i="4" a="1"/>
  <c r="M423" i="4" s="1"/>
  <c r="M422" i="4" a="1"/>
  <c r="M422" i="4" s="1"/>
  <c r="M421" i="4" a="1"/>
  <c r="M421" i="4" s="1"/>
  <c r="M420" i="4" a="1"/>
  <c r="M420" i="4" s="1"/>
  <c r="M419" i="4" a="1"/>
  <c r="M419" i="4" s="1"/>
  <c r="M418" i="4" a="1"/>
  <c r="M418" i="4" s="1"/>
  <c r="M417" i="4" a="1"/>
  <c r="M417" i="4" s="1"/>
  <c r="M416" i="4" a="1"/>
  <c r="M416" i="4" s="1"/>
  <c r="M415" i="4" a="1"/>
  <c r="M415" i="4" s="1"/>
  <c r="M414" i="4" a="1"/>
  <c r="M414" i="4" s="1"/>
  <c r="M413" i="4" a="1"/>
  <c r="M413" i="4"/>
  <c r="M412" i="4" a="1"/>
  <c r="M412" i="4" s="1"/>
  <c r="M411" i="4" a="1"/>
  <c r="M411" i="4" s="1"/>
  <c r="M410" i="4" a="1"/>
  <c r="M410" i="4"/>
  <c r="M409" i="4" a="1"/>
  <c r="M409" i="4" s="1"/>
  <c r="M408" i="4" a="1"/>
  <c r="M408" i="4" s="1"/>
  <c r="M407" i="4" a="1"/>
  <c r="M407" i="4" s="1"/>
  <c r="M406" i="4" a="1"/>
  <c r="M406" i="4" s="1"/>
  <c r="M405" i="4" a="1"/>
  <c r="M405" i="4" s="1"/>
  <c r="M404" i="4" a="1"/>
  <c r="M404" i="4" s="1"/>
  <c r="M403" i="4" a="1"/>
  <c r="M403" i="4" s="1"/>
  <c r="M402" i="4" a="1"/>
  <c r="M402" i="4" s="1"/>
  <c r="M401" i="4" a="1"/>
  <c r="M401" i="4" s="1"/>
  <c r="M400" i="4" a="1"/>
  <c r="M400" i="4" s="1"/>
  <c r="M399" i="4" a="1"/>
  <c r="M399" i="4" s="1"/>
  <c r="M398" i="4" a="1"/>
  <c r="M398" i="4" s="1"/>
  <c r="M397" i="4" a="1"/>
  <c r="M397" i="4" s="1"/>
  <c r="M396" i="4" a="1"/>
  <c r="M396" i="4" s="1"/>
  <c r="M395" i="4" a="1"/>
  <c r="M395" i="4" s="1"/>
  <c r="M394" i="4" a="1"/>
  <c r="M394" i="4" s="1"/>
  <c r="M393" i="4" a="1"/>
  <c r="M393" i="4" s="1"/>
  <c r="M392" i="4" a="1"/>
  <c r="M392" i="4" s="1"/>
  <c r="M391" i="4" a="1"/>
  <c r="M391" i="4" s="1"/>
  <c r="M390" i="4" a="1"/>
  <c r="M390" i="4" s="1"/>
  <c r="M389" i="4" a="1"/>
  <c r="M389" i="4" s="1"/>
  <c r="M388" i="4" a="1"/>
  <c r="M388" i="4" s="1"/>
  <c r="M387" i="4" a="1"/>
  <c r="M387" i="4" s="1"/>
  <c r="M386" i="4" a="1"/>
  <c r="M386" i="4" s="1"/>
  <c r="M385" i="4" a="1"/>
  <c r="M385" i="4" s="1"/>
  <c r="M384" i="4" a="1"/>
  <c r="M384" i="4" s="1"/>
  <c r="M383" i="4" a="1"/>
  <c r="M383" i="4" s="1"/>
  <c r="M382" i="4" a="1"/>
  <c r="M382" i="4" s="1"/>
  <c r="M381" i="4" a="1"/>
  <c r="M381" i="4" s="1"/>
  <c r="M380" i="4" a="1"/>
  <c r="M380" i="4" s="1"/>
  <c r="M379" i="4" a="1"/>
  <c r="M379" i="4" s="1"/>
  <c r="M378" i="4" a="1"/>
  <c r="M378" i="4" s="1"/>
  <c r="M377" i="4" a="1"/>
  <c r="M377" i="4" s="1"/>
  <c r="M376" i="4" a="1"/>
  <c r="M376" i="4" s="1"/>
  <c r="M375" i="4" a="1"/>
  <c r="M375" i="4" s="1"/>
  <c r="M374" i="4" a="1"/>
  <c r="M374" i="4" s="1"/>
  <c r="M373" i="4" a="1"/>
  <c r="M373" i="4" s="1"/>
  <c r="M372" i="4" a="1"/>
  <c r="M372" i="4" s="1"/>
  <c r="M371" i="4" a="1"/>
  <c r="M371" i="4" s="1"/>
  <c r="M370" i="4" a="1"/>
  <c r="M370" i="4" s="1"/>
  <c r="M369" i="4" a="1"/>
  <c r="M369" i="4" s="1"/>
  <c r="M368" i="4" a="1"/>
  <c r="M368" i="4" s="1"/>
  <c r="M367" i="4" a="1"/>
  <c r="M367" i="4" s="1"/>
  <c r="M366" i="4" a="1"/>
  <c r="M366" i="4" s="1"/>
  <c r="M365" i="4" a="1"/>
  <c r="M365" i="4" s="1"/>
  <c r="M364" i="4" a="1"/>
  <c r="M364" i="4" s="1"/>
  <c r="M363" i="4" a="1"/>
  <c r="M363" i="4" s="1"/>
  <c r="M362" i="4" a="1"/>
  <c r="M362" i="4" s="1"/>
  <c r="M361" i="4" a="1"/>
  <c r="M361" i="4" s="1"/>
  <c r="M360" i="4" a="1"/>
  <c r="M360" i="4" s="1"/>
  <c r="M359" i="4" a="1"/>
  <c r="M359" i="4" s="1"/>
  <c r="M358" i="4" a="1"/>
  <c r="M358" i="4" s="1"/>
  <c r="M357" i="4" a="1"/>
  <c r="M357" i="4" s="1"/>
  <c r="M356" i="4" a="1"/>
  <c r="M356" i="4" s="1"/>
  <c r="M355" i="4" a="1"/>
  <c r="M355" i="4" s="1"/>
  <c r="M354" i="4" a="1"/>
  <c r="M354" i="4" s="1"/>
  <c r="M353" i="4" a="1"/>
  <c r="M353" i="4" s="1"/>
  <c r="M352" i="4" a="1"/>
  <c r="M352" i="4" s="1"/>
  <c r="M351" i="4" a="1"/>
  <c r="M351" i="4" s="1"/>
  <c r="M350" i="4" a="1"/>
  <c r="M350" i="4" s="1"/>
  <c r="M349" i="4" a="1"/>
  <c r="M349" i="4" s="1"/>
  <c r="M348" i="4" a="1"/>
  <c r="M348" i="4" s="1"/>
  <c r="M347" i="4" a="1"/>
  <c r="M347" i="4" s="1"/>
  <c r="M346" i="4" a="1"/>
  <c r="M346" i="4" s="1"/>
  <c r="M345" i="4" a="1"/>
  <c r="M345" i="4" s="1"/>
  <c r="M344" i="4" a="1"/>
  <c r="M344" i="4" s="1"/>
  <c r="M343" i="4" a="1"/>
  <c r="M343" i="4" s="1"/>
  <c r="M342" i="4" a="1"/>
  <c r="M342" i="4" s="1"/>
  <c r="M341" i="4" a="1"/>
  <c r="M341" i="4" s="1"/>
  <c r="M340" i="4" a="1"/>
  <c r="M340" i="4" s="1"/>
  <c r="M339" i="4" a="1"/>
  <c r="M339" i="4" s="1"/>
  <c r="M338" i="4" a="1"/>
  <c r="M338" i="4" s="1"/>
  <c r="M337" i="4" a="1"/>
  <c r="M337" i="4" s="1"/>
  <c r="M336" i="4" a="1"/>
  <c r="M336" i="4"/>
  <c r="M335" i="4" a="1"/>
  <c r="M335" i="4" s="1"/>
  <c r="M334" i="4" a="1"/>
  <c r="M334" i="4" s="1"/>
  <c r="M333" i="4" a="1"/>
  <c r="M333" i="4" s="1"/>
  <c r="M332" i="4" a="1"/>
  <c r="M332" i="4" s="1"/>
  <c r="M331" i="4" a="1"/>
  <c r="M331" i="4" s="1"/>
  <c r="M330" i="4" a="1"/>
  <c r="M330" i="4" s="1"/>
  <c r="M329" i="4" a="1"/>
  <c r="M329" i="4" s="1"/>
  <c r="M328" i="4" a="1"/>
  <c r="M328" i="4" s="1"/>
  <c r="M327" i="4" a="1"/>
  <c r="M327" i="4"/>
  <c r="M326" i="4" a="1"/>
  <c r="M326" i="4" s="1"/>
  <c r="M325" i="4" a="1"/>
  <c r="M325" i="4" s="1"/>
  <c r="M324" i="4" a="1"/>
  <c r="M324" i="4" s="1"/>
  <c r="M323" i="4" a="1"/>
  <c r="M323" i="4" s="1"/>
  <c r="M322" i="4" a="1"/>
  <c r="M322" i="4" s="1"/>
  <c r="M321" i="4" a="1"/>
  <c r="M321" i="4" s="1"/>
  <c r="M320" i="4" a="1"/>
  <c r="M320" i="4" s="1"/>
  <c r="M319" i="4" a="1"/>
  <c r="M319" i="4" s="1"/>
  <c r="M318" i="4" a="1"/>
  <c r="M318" i="4"/>
  <c r="M317" i="4" a="1"/>
  <c r="M317" i="4" s="1"/>
  <c r="M316" i="4" a="1"/>
  <c r="M316" i="4" s="1"/>
  <c r="M315" i="4" a="1"/>
  <c r="M315" i="4" s="1"/>
  <c r="M314" i="4" a="1"/>
  <c r="M314" i="4" s="1"/>
  <c r="M313" i="4" a="1"/>
  <c r="M313" i="4" s="1"/>
  <c r="M312" i="4" a="1"/>
  <c r="M312" i="4" s="1"/>
  <c r="M311" i="4" a="1"/>
  <c r="M311" i="4" s="1"/>
  <c r="M310" i="4" a="1"/>
  <c r="M310" i="4" s="1"/>
  <c r="M309" i="4" a="1"/>
  <c r="M309" i="4" s="1"/>
  <c r="M308" i="4" a="1"/>
  <c r="M308" i="4" s="1"/>
  <c r="M307" i="4" a="1"/>
  <c r="M307" i="4" s="1"/>
  <c r="M306" i="4" a="1"/>
  <c r="M306" i="4" s="1"/>
  <c r="M305" i="4" a="1"/>
  <c r="M305" i="4" s="1"/>
  <c r="M304" i="4" a="1"/>
  <c r="M304" i="4" s="1"/>
  <c r="M303" i="4" a="1"/>
  <c r="M303" i="4" s="1"/>
  <c r="M302" i="4" a="1"/>
  <c r="M302" i="4" s="1"/>
  <c r="M301" i="4" a="1"/>
  <c r="M301" i="4" s="1"/>
  <c r="M300" i="4" a="1"/>
  <c r="M300" i="4" s="1"/>
  <c r="M299" i="4" a="1"/>
  <c r="M299" i="4" s="1"/>
  <c r="M298" i="4" a="1"/>
  <c r="M298" i="4" s="1"/>
  <c r="M297" i="4" a="1"/>
  <c r="M297" i="4" s="1"/>
  <c r="M296" i="4" a="1"/>
  <c r="M296" i="4" s="1"/>
  <c r="M295" i="4" a="1"/>
  <c r="M295" i="4" s="1"/>
  <c r="M294" i="4" a="1"/>
  <c r="M294" i="4" s="1"/>
  <c r="M293" i="4" a="1"/>
  <c r="M293" i="4" s="1"/>
  <c r="M292" i="4" a="1"/>
  <c r="M292" i="4" s="1"/>
  <c r="M291" i="4" a="1"/>
  <c r="M291" i="4" s="1"/>
  <c r="M290" i="4" a="1"/>
  <c r="M290" i="4" s="1"/>
  <c r="M289" i="4" a="1"/>
  <c r="M289" i="4" s="1"/>
  <c r="M288" i="4" a="1"/>
  <c r="M288" i="4" s="1"/>
  <c r="M287" i="4" a="1"/>
  <c r="M287" i="4" s="1"/>
  <c r="M286" i="4" a="1"/>
  <c r="M286" i="4" s="1"/>
  <c r="M285" i="4" a="1"/>
  <c r="M285" i="4" s="1"/>
  <c r="M284" i="4" a="1"/>
  <c r="M284" i="4" s="1"/>
  <c r="M283" i="4" a="1"/>
  <c r="M283" i="4" s="1"/>
  <c r="M282" i="4" a="1"/>
  <c r="M282" i="4" s="1"/>
  <c r="M281" i="4" a="1"/>
  <c r="M281" i="4"/>
  <c r="M280" i="4" a="1"/>
  <c r="M280" i="4" s="1"/>
  <c r="M279" i="4" a="1"/>
  <c r="M279" i="4" s="1"/>
  <c r="M278" i="4" a="1"/>
  <c r="M278" i="4" s="1"/>
  <c r="M277" i="4" a="1"/>
  <c r="M277" i="4" s="1"/>
  <c r="M276" i="4" a="1"/>
  <c r="M276" i="4" s="1"/>
  <c r="M275" i="4" a="1"/>
  <c r="M275" i="4" s="1"/>
  <c r="M274" i="4" a="1"/>
  <c r="M274" i="4" s="1"/>
  <c r="M273" i="4" a="1"/>
  <c r="M273" i="4" s="1"/>
  <c r="M272" i="4" a="1"/>
  <c r="M272" i="4" s="1"/>
  <c r="M271" i="4" a="1"/>
  <c r="M271" i="4" s="1"/>
  <c r="M270" i="4" a="1"/>
  <c r="M270" i="4"/>
  <c r="M269" i="4" a="1"/>
  <c r="M269" i="4" s="1"/>
  <c r="M268" i="4" a="1"/>
  <c r="M268" i="4" s="1"/>
  <c r="M267" i="4" a="1"/>
  <c r="M267" i="4" s="1"/>
  <c r="M266" i="4" a="1"/>
  <c r="M266" i="4" s="1"/>
  <c r="M265" i="4" a="1"/>
  <c r="M265" i="4" s="1"/>
  <c r="M264" i="4" a="1"/>
  <c r="M264" i="4" s="1"/>
  <c r="M263" i="4" a="1"/>
  <c r="M263" i="4" s="1"/>
  <c r="M262" i="4" a="1"/>
  <c r="M262" i="4" s="1"/>
  <c r="M261" i="4" a="1"/>
  <c r="M261" i="4" s="1"/>
  <c r="M260" i="4" a="1"/>
  <c r="M260" i="4" s="1"/>
  <c r="M259" i="4" a="1"/>
  <c r="M259" i="4" s="1"/>
  <c r="M258" i="4" a="1"/>
  <c r="M258" i="4" s="1"/>
  <c r="M257" i="4" a="1"/>
  <c r="M257" i="4" s="1"/>
  <c r="M256" i="4" a="1"/>
  <c r="M256" i="4" s="1"/>
  <c r="M255" i="4" a="1"/>
  <c r="M255" i="4" s="1"/>
  <c r="M254" i="4" a="1"/>
  <c r="M254" i="4" s="1"/>
  <c r="M253" i="4" a="1"/>
  <c r="M253" i="4" s="1"/>
  <c r="M252" i="4" a="1"/>
  <c r="M252" i="4" s="1"/>
  <c r="M251" i="4" a="1"/>
  <c r="M251" i="4" s="1"/>
  <c r="M250" i="4" a="1"/>
  <c r="M250" i="4" s="1"/>
  <c r="M249" i="4" a="1"/>
  <c r="M249" i="4"/>
  <c r="M248" i="4" a="1"/>
  <c r="M248" i="4" s="1"/>
  <c r="M247" i="4" a="1"/>
  <c r="M247" i="4" s="1"/>
  <c r="M246" i="4" a="1"/>
  <c r="M246" i="4" s="1"/>
  <c r="M245" i="4" a="1"/>
  <c r="M245" i="4" s="1"/>
  <c r="M244" i="4" a="1"/>
  <c r="M244" i="4" s="1"/>
  <c r="M243" i="4" a="1"/>
  <c r="M243" i="4" s="1"/>
  <c r="M242" i="4" a="1"/>
  <c r="M242" i="4" s="1"/>
  <c r="M241" i="4" a="1"/>
  <c r="M241" i="4" s="1"/>
  <c r="M240" i="4" a="1"/>
  <c r="M240" i="4" s="1"/>
  <c r="M239" i="4" a="1"/>
  <c r="M239" i="4" s="1"/>
  <c r="M238" i="4" a="1"/>
  <c r="M238" i="4" s="1"/>
  <c r="M237" i="4" a="1"/>
  <c r="M237" i="4" s="1"/>
  <c r="M236" i="4" a="1"/>
  <c r="M236" i="4" s="1"/>
  <c r="M235" i="4" a="1"/>
  <c r="M235" i="4" s="1"/>
  <c r="M234" i="4" a="1"/>
  <c r="M234" i="4" s="1"/>
  <c r="M233" i="4" a="1"/>
  <c r="M233" i="4" s="1"/>
  <c r="M232" i="4" a="1"/>
  <c r="M232" i="4" s="1"/>
  <c r="M231" i="4" a="1"/>
  <c r="M231" i="4" s="1"/>
  <c r="M230" i="4" a="1"/>
  <c r="M230" i="4"/>
  <c r="M229" i="4" a="1"/>
  <c r="M229" i="4" s="1"/>
  <c r="M228" i="4" a="1"/>
  <c r="M228" i="4"/>
  <c r="M227" i="4" a="1"/>
  <c r="M227" i="4" s="1"/>
  <c r="M226" i="4" a="1"/>
  <c r="M226" i="4" s="1"/>
  <c r="M225" i="4" a="1"/>
  <c r="M225" i="4" s="1"/>
  <c r="M224" i="4" a="1"/>
  <c r="M224" i="4" s="1"/>
  <c r="M223" i="4" a="1"/>
  <c r="M223" i="4" s="1"/>
  <c r="M222" i="4" a="1"/>
  <c r="M222" i="4"/>
  <c r="M221" i="4" a="1"/>
  <c r="M221" i="4"/>
  <c r="M220" i="4" a="1"/>
  <c r="M220" i="4" s="1"/>
  <c r="M219" i="4" a="1"/>
  <c r="M219" i="4" s="1"/>
  <c r="M218" i="4" a="1"/>
  <c r="M218" i="4" s="1"/>
  <c r="M217" i="4" a="1"/>
  <c r="M217" i="4" s="1"/>
  <c r="M216" i="4" a="1"/>
  <c r="M216" i="4" s="1"/>
  <c r="M215" i="4" a="1"/>
  <c r="M215" i="4" s="1"/>
  <c r="M214" i="4" a="1"/>
  <c r="M214" i="4" s="1"/>
  <c r="M213" i="4" a="1"/>
  <c r="M213" i="4" s="1"/>
  <c r="M212" i="4" a="1"/>
  <c r="M212" i="4" s="1"/>
  <c r="M211" i="4" a="1"/>
  <c r="M211" i="4" s="1"/>
  <c r="M210" i="4" a="1"/>
  <c r="M210" i="4" s="1"/>
  <c r="M209" i="4" a="1"/>
  <c r="M209" i="4" s="1"/>
  <c r="M208" i="4" a="1"/>
  <c r="M208" i="4" s="1"/>
  <c r="M207" i="4" a="1"/>
  <c r="M207" i="4" s="1"/>
  <c r="M206" i="4" a="1"/>
  <c r="M206" i="4" s="1"/>
  <c r="M205" i="4" a="1"/>
  <c r="M205" i="4" s="1"/>
  <c r="M204" i="4" a="1"/>
  <c r="M204" i="4" s="1"/>
  <c r="M203" i="4" a="1"/>
  <c r="M203" i="4" s="1"/>
  <c r="M202" i="4" a="1"/>
  <c r="M202" i="4" s="1"/>
  <c r="M201" i="4" a="1"/>
  <c r="M201" i="4" s="1"/>
  <c r="M200" i="4" a="1"/>
  <c r="M200" i="4" s="1"/>
  <c r="M199" i="4" a="1"/>
  <c r="M199" i="4"/>
  <c r="M198" i="4" a="1"/>
  <c r="M198" i="4" s="1"/>
  <c r="M197" i="4" a="1"/>
  <c r="M197" i="4" s="1"/>
  <c r="M196" i="4" a="1"/>
  <c r="M196" i="4" s="1"/>
  <c r="M195" i="4" a="1"/>
  <c r="M195" i="4" s="1"/>
  <c r="M194" i="4" a="1"/>
  <c r="M194" i="4" s="1"/>
  <c r="M193" i="4" a="1"/>
  <c r="M193" i="4" s="1"/>
  <c r="M192" i="4" a="1"/>
  <c r="M192" i="4" s="1"/>
  <c r="M191" i="4" a="1"/>
  <c r="M191" i="4" s="1"/>
  <c r="M190" i="4" a="1"/>
  <c r="M190" i="4" s="1"/>
  <c r="M189" i="4" a="1"/>
  <c r="M189" i="4" s="1"/>
  <c r="M188" i="4" a="1"/>
  <c r="M188" i="4" s="1"/>
  <c r="M187" i="4" a="1"/>
  <c r="M187" i="4" s="1"/>
  <c r="M186" i="4" a="1"/>
  <c r="M186" i="4" s="1"/>
  <c r="M185" i="4" a="1"/>
  <c r="M185" i="4" s="1"/>
  <c r="M184" i="4" a="1"/>
  <c r="M184" i="4" s="1"/>
  <c r="M183" i="4" a="1"/>
  <c r="M183" i="4" s="1"/>
  <c r="M182" i="4" a="1"/>
  <c r="M182" i="4" s="1"/>
  <c r="M181" i="4" a="1"/>
  <c r="M181" i="4" s="1"/>
  <c r="M180" i="4" a="1"/>
  <c r="M180" i="4" s="1"/>
  <c r="M179" i="4" a="1"/>
  <c r="M179" i="4" s="1"/>
  <c r="M178" i="4" a="1"/>
  <c r="M178" i="4" s="1"/>
  <c r="M177" i="4" a="1"/>
  <c r="M177" i="4" s="1"/>
  <c r="M176" i="4" a="1"/>
  <c r="M176" i="4" s="1"/>
  <c r="M175" i="4" a="1"/>
  <c r="M175" i="4" s="1"/>
  <c r="M174" i="4" a="1"/>
  <c r="M174" i="4" s="1"/>
  <c r="M173" i="4" a="1"/>
  <c r="M173" i="4" s="1"/>
  <c r="M172" i="4" a="1"/>
  <c r="M172" i="4" s="1"/>
  <c r="M171" i="4" a="1"/>
  <c r="M171" i="4" s="1"/>
  <c r="M170" i="4" a="1"/>
  <c r="M170" i="4" s="1"/>
  <c r="M169" i="4" a="1"/>
  <c r="M169" i="4" s="1"/>
  <c r="M168" i="4" a="1"/>
  <c r="M168" i="4" s="1"/>
  <c r="M167" i="4" a="1"/>
  <c r="M167" i="4" s="1"/>
  <c r="M166" i="4" a="1"/>
  <c r="M166" i="4" s="1"/>
  <c r="M165" i="4" a="1"/>
  <c r="M165" i="4" s="1"/>
  <c r="M164" i="4" a="1"/>
  <c r="M164" i="4" s="1"/>
  <c r="M163" i="4" a="1"/>
  <c r="M163" i="4" s="1"/>
  <c r="M162" i="4" a="1"/>
  <c r="M162" i="4" s="1"/>
  <c r="M161" i="4" a="1"/>
  <c r="M161" i="4"/>
  <c r="M160" i="4" a="1"/>
  <c r="M160" i="4" s="1"/>
  <c r="M159" i="4" a="1"/>
  <c r="M159" i="4" s="1"/>
  <c r="M158" i="4" a="1"/>
  <c r="M158" i="4" s="1"/>
  <c r="M157" i="4" a="1"/>
  <c r="M157" i="4" s="1"/>
  <c r="M156" i="4" a="1"/>
  <c r="M156" i="4" s="1"/>
  <c r="M155" i="4" a="1"/>
  <c r="M155" i="4" s="1"/>
  <c r="M154" i="4" a="1"/>
  <c r="M154" i="4"/>
  <c r="M153" i="4" a="1"/>
  <c r="M153" i="4" s="1"/>
  <c r="M152" i="4" a="1"/>
  <c r="M152" i="4" s="1"/>
  <c r="M151" i="4" a="1"/>
  <c r="M151" i="4" s="1"/>
  <c r="M150" i="4" a="1"/>
  <c r="M150" i="4" s="1"/>
  <c r="M149" i="4" a="1"/>
  <c r="M149" i="4" s="1"/>
  <c r="M148" i="4" a="1"/>
  <c r="M148" i="4" s="1"/>
  <c r="M147" i="4" a="1"/>
  <c r="M147" i="4" s="1"/>
  <c r="M146" i="4" a="1"/>
  <c r="M146" i="4" s="1"/>
  <c r="M145" i="4" a="1"/>
  <c r="M145" i="4" s="1"/>
  <c r="M144" i="4" a="1"/>
  <c r="M144" i="4"/>
  <c r="M143" i="4" a="1"/>
  <c r="M143" i="4" s="1"/>
  <c r="M142" i="4" a="1"/>
  <c r="M142" i="4" s="1"/>
  <c r="M141" i="4" a="1"/>
  <c r="M141" i="4" s="1"/>
  <c r="M140" i="4" a="1"/>
  <c r="M140" i="4" s="1"/>
  <c r="M139" i="4" a="1"/>
  <c r="M139" i="4" s="1"/>
  <c r="M138" i="4" a="1"/>
  <c r="M138" i="4" s="1"/>
  <c r="M137" i="4" a="1"/>
  <c r="M137" i="4" s="1"/>
  <c r="M136" i="4" a="1"/>
  <c r="M136" i="4" s="1"/>
  <c r="M135" i="4" a="1"/>
  <c r="M135" i="4" s="1"/>
  <c r="M134" i="4" a="1"/>
  <c r="M134" i="4" s="1"/>
  <c r="M133" i="4" a="1"/>
  <c r="M133" i="4" s="1"/>
  <c r="M132" i="4" a="1"/>
  <c r="M132" i="4" s="1"/>
  <c r="M131" i="4" a="1"/>
  <c r="M131" i="4" s="1"/>
  <c r="M130" i="4" a="1"/>
  <c r="M130" i="4" s="1"/>
  <c r="M129" i="4" a="1"/>
  <c r="M129" i="4" s="1"/>
  <c r="M128" i="4" a="1"/>
  <c r="M128" i="4" s="1"/>
  <c r="M127" i="4" a="1"/>
  <c r="M127" i="4" s="1"/>
  <c r="M126" i="4" a="1"/>
  <c r="M126" i="4" s="1"/>
  <c r="M125" i="4" a="1"/>
  <c r="M125" i="4" s="1"/>
  <c r="M124" i="4" a="1"/>
  <c r="M124" i="4" s="1"/>
  <c r="M123" i="4" a="1"/>
  <c r="M123" i="4" s="1"/>
  <c r="M122" i="4" a="1"/>
  <c r="M122" i="4" s="1"/>
  <c r="M121" i="4" a="1"/>
  <c r="M121" i="4" s="1"/>
  <c r="M120" i="4" a="1"/>
  <c r="M120" i="4" s="1"/>
  <c r="M119" i="4" a="1"/>
  <c r="M119" i="4" s="1"/>
  <c r="M118" i="4" a="1"/>
  <c r="M118" i="4" s="1"/>
  <c r="M117" i="4" a="1"/>
  <c r="M117" i="4" s="1"/>
  <c r="M116" i="4" a="1"/>
  <c r="M116" i="4" s="1"/>
  <c r="M115" i="4" a="1"/>
  <c r="M115" i="4" s="1"/>
  <c r="M114" i="4" a="1"/>
  <c r="M114" i="4"/>
  <c r="M113" i="4" a="1"/>
  <c r="M113" i="4" s="1"/>
  <c r="M112" i="4" a="1"/>
  <c r="M112" i="4" s="1"/>
  <c r="M111" i="4" a="1"/>
  <c r="M111" i="4"/>
  <c r="M110" i="4" a="1"/>
  <c r="M110" i="4" s="1"/>
  <c r="M109" i="4" a="1"/>
  <c r="M109" i="4" s="1"/>
  <c r="M108" i="4" a="1"/>
  <c r="M108" i="4" s="1"/>
  <c r="M107" i="4" a="1"/>
  <c r="M107" i="4" s="1"/>
  <c r="M106" i="4" a="1"/>
  <c r="M106" i="4" s="1"/>
  <c r="M105" i="4" a="1"/>
  <c r="M105" i="4" s="1"/>
  <c r="M104" i="4" a="1"/>
  <c r="M104" i="4" s="1"/>
  <c r="M103" i="4" a="1"/>
  <c r="M103" i="4" s="1"/>
  <c r="M102" i="4" a="1"/>
  <c r="M102" i="4" s="1"/>
  <c r="M101" i="4" a="1"/>
  <c r="M101" i="4" s="1"/>
  <c r="M100" i="4" a="1"/>
  <c r="M100" i="4" s="1"/>
  <c r="M99" i="4" a="1"/>
  <c r="M99" i="4" s="1"/>
  <c r="M98" i="4" a="1"/>
  <c r="M98" i="4" s="1"/>
  <c r="M97" i="4" a="1"/>
  <c r="M97" i="4" s="1"/>
  <c r="M96" i="4" a="1"/>
  <c r="M96" i="4" s="1"/>
  <c r="M95" i="4" a="1"/>
  <c r="M95" i="4" s="1"/>
  <c r="M94" i="4" a="1"/>
  <c r="M94" i="4" s="1"/>
  <c r="M93" i="4" a="1"/>
  <c r="M93" i="4" s="1"/>
  <c r="M92" i="4" a="1"/>
  <c r="M92" i="4" s="1"/>
  <c r="M91" i="4" a="1"/>
  <c r="M91" i="4" s="1"/>
  <c r="M90" i="4" a="1"/>
  <c r="M90" i="4" s="1"/>
  <c r="M89" i="4" a="1"/>
  <c r="M89" i="4" s="1"/>
  <c r="M88" i="4" a="1"/>
  <c r="M88" i="4" s="1"/>
  <c r="M87" i="4" a="1"/>
  <c r="M87" i="4" s="1"/>
  <c r="M86" i="4" a="1"/>
  <c r="M86" i="4"/>
  <c r="M85" i="4" a="1"/>
  <c r="M85" i="4" s="1"/>
  <c r="M84" i="4" a="1"/>
  <c r="M84" i="4" s="1"/>
  <c r="M83" i="4" a="1"/>
  <c r="M83" i="4" s="1"/>
  <c r="M82" i="4" a="1"/>
  <c r="M82" i="4" s="1"/>
  <c r="M81" i="4" a="1"/>
  <c r="M81" i="4" s="1"/>
  <c r="M80" i="4" a="1"/>
  <c r="M80" i="4" s="1"/>
  <c r="M79" i="4" a="1"/>
  <c r="M79" i="4" s="1"/>
  <c r="M78" i="4" a="1"/>
  <c r="M78" i="4" s="1"/>
  <c r="M77" i="4" a="1"/>
  <c r="M77" i="4" s="1"/>
  <c r="M76" i="4" a="1"/>
  <c r="M76" i="4" s="1"/>
  <c r="M75" i="4" a="1"/>
  <c r="M75" i="4"/>
  <c r="M74" i="4" a="1"/>
  <c r="M74" i="4" s="1"/>
  <c r="M73" i="4" a="1"/>
  <c r="M73" i="4" s="1"/>
  <c r="M72" i="4" a="1"/>
  <c r="M72" i="4" s="1"/>
  <c r="M71" i="4" a="1"/>
  <c r="M71" i="4" s="1"/>
  <c r="M70" i="4" a="1"/>
  <c r="M70" i="4" s="1"/>
  <c r="M69" i="4" a="1"/>
  <c r="M69" i="4" s="1"/>
  <c r="M68" i="4" a="1"/>
  <c r="M68" i="4" s="1"/>
  <c r="M67" i="4" a="1"/>
  <c r="M67" i="4" s="1"/>
  <c r="M66" i="4" a="1"/>
  <c r="M66" i="4" s="1"/>
  <c r="M65" i="4" a="1"/>
  <c r="M65" i="4" s="1"/>
  <c r="M64" i="4" a="1"/>
  <c r="M64" i="4" s="1"/>
  <c r="M63" i="4" a="1"/>
  <c r="M63" i="4" s="1"/>
  <c r="M62" i="4" a="1"/>
  <c r="M62" i="4" s="1"/>
  <c r="M61" i="4" a="1"/>
  <c r="M61" i="4" s="1"/>
  <c r="M60" i="4" a="1"/>
  <c r="M60" i="4" s="1"/>
  <c r="M59" i="4" a="1"/>
  <c r="M59" i="4" s="1"/>
  <c r="M58" i="4" a="1"/>
  <c r="M58" i="4" s="1"/>
  <c r="M57" i="4" a="1"/>
  <c r="M57" i="4" s="1"/>
  <c r="M56" i="4" a="1"/>
  <c r="M56" i="4" s="1"/>
  <c r="M55" i="4" a="1"/>
  <c r="M55" i="4" s="1"/>
  <c r="M54" i="4" a="1"/>
  <c r="M54" i="4" s="1"/>
  <c r="M53" i="4" a="1"/>
  <c r="M53" i="4" s="1"/>
  <c r="M52" i="4" a="1"/>
  <c r="M52" i="4" s="1"/>
  <c r="M51" i="4" a="1"/>
  <c r="M51" i="4" s="1"/>
  <c r="M50" i="4" a="1"/>
  <c r="M50" i="4" s="1"/>
  <c r="M49" i="4" a="1"/>
  <c r="M49" i="4" s="1"/>
  <c r="M48" i="4" a="1"/>
  <c r="M48" i="4" s="1"/>
  <c r="M47" i="4" a="1"/>
  <c r="M47" i="4" s="1"/>
  <c r="M46" i="4" a="1"/>
  <c r="M46" i="4" s="1"/>
  <c r="M45" i="4" a="1"/>
  <c r="M45" i="4" s="1"/>
  <c r="M44" i="4" a="1"/>
  <c r="M44" i="4" s="1"/>
  <c r="M43" i="4" a="1"/>
  <c r="M43" i="4" s="1"/>
  <c r="M42" i="4" a="1"/>
  <c r="M42" i="4" s="1"/>
  <c r="M41" i="4" a="1"/>
  <c r="M41" i="4" s="1"/>
  <c r="M40" i="4" a="1"/>
  <c r="M40" i="4" s="1"/>
  <c r="M39" i="4" a="1"/>
  <c r="M39" i="4" s="1"/>
  <c r="M38" i="4" a="1"/>
  <c r="M38" i="4"/>
  <c r="M37" i="4" a="1"/>
  <c r="M37" i="4" s="1"/>
  <c r="M36" i="4" a="1"/>
  <c r="M36" i="4" s="1"/>
  <c r="M35" i="4" a="1"/>
  <c r="M35" i="4" s="1"/>
  <c r="M34" i="4" a="1"/>
  <c r="M34" i="4" s="1"/>
  <c r="M33" i="4" a="1"/>
  <c r="M33" i="4" s="1"/>
  <c r="M32" i="4" a="1"/>
  <c r="M32" i="4" s="1"/>
  <c r="M31" i="4" a="1"/>
  <c r="M31" i="4" s="1"/>
  <c r="M30" i="4" a="1"/>
  <c r="M30" i="4" s="1"/>
  <c r="M29" i="4" a="1"/>
  <c r="M29" i="4" s="1"/>
  <c r="M28" i="4" a="1"/>
  <c r="M28" i="4" s="1"/>
  <c r="M27" i="4" a="1"/>
  <c r="M27" i="4" s="1"/>
  <c r="M26" i="4" a="1"/>
  <c r="M26" i="4" s="1"/>
  <c r="M25" i="4" a="1"/>
  <c r="M25" i="4" s="1"/>
  <c r="M24" i="4" a="1"/>
  <c r="M24" i="4" s="1"/>
  <c r="M23" i="4" a="1"/>
  <c r="M23" i="4" s="1"/>
  <c r="M22" i="4" a="1"/>
  <c r="M22" i="4" s="1"/>
  <c r="M21" i="4" a="1"/>
  <c r="M21" i="4" s="1"/>
  <c r="M20" i="4" a="1"/>
  <c r="M20" i="4"/>
  <c r="M19" i="4" a="1"/>
  <c r="M19" i="4" s="1"/>
  <c r="M18" i="4" a="1"/>
  <c r="M18" i="4" s="1"/>
  <c r="M17" i="4" a="1"/>
  <c r="M17" i="4" s="1"/>
  <c r="M16" i="4" a="1"/>
  <c r="M16" i="4" s="1"/>
  <c r="M15" i="4" a="1"/>
  <c r="M15" i="4" s="1"/>
  <c r="M14" i="4" a="1"/>
  <c r="M14" i="4"/>
  <c r="M13" i="4" a="1"/>
  <c r="M13" i="4" s="1"/>
  <c r="M12" i="4" a="1"/>
  <c r="M12" i="4" s="1"/>
  <c r="M11" i="4" a="1"/>
  <c r="M11" i="4" s="1"/>
  <c r="M10" i="4" a="1"/>
  <c r="M10" i="4" s="1"/>
  <c r="M9" i="4" a="1"/>
  <c r="M9" i="4"/>
  <c r="M8" i="4" a="1"/>
  <c r="M8" i="4" s="1"/>
  <c r="M7" i="4" a="1"/>
  <c r="M7" i="4" s="1"/>
  <c r="M6" i="4" a="1"/>
  <c r="M6" i="4" s="1"/>
  <c r="M5" i="4" a="1"/>
  <c r="M5" i="4" s="1"/>
  <c r="M4" i="4" a="1"/>
  <c r="M4" i="4" s="1"/>
  <c r="M3" i="4" a="1"/>
  <c r="M3" i="4"/>
  <c r="M2" i="4" a="1"/>
  <c r="M2" i="4"/>
  <c r="T159" i="4"/>
  <c r="T191" i="4"/>
  <c r="T202" i="4"/>
  <c r="T452" i="4"/>
  <c r="T551" i="4"/>
  <c r="T599" i="4"/>
  <c r="T783" i="4"/>
  <c r="T864" i="4"/>
  <c r="T935" i="4"/>
  <c r="S2" i="4"/>
  <c r="T2" i="4" s="1"/>
  <c r="S3" i="4"/>
  <c r="T3" i="4" s="1"/>
  <c r="S4" i="4"/>
  <c r="T4" i="4" s="1"/>
  <c r="S5" i="4"/>
  <c r="T5" i="4" s="1"/>
  <c r="S6" i="4"/>
  <c r="T6" i="4" s="1"/>
  <c r="S7" i="4"/>
  <c r="T7" i="4" s="1"/>
  <c r="S8" i="4"/>
  <c r="T8" i="4" s="1"/>
  <c r="S9" i="4"/>
  <c r="T9" i="4" s="1"/>
  <c r="S10" i="4"/>
  <c r="T10" i="4" s="1"/>
  <c r="S11" i="4"/>
  <c r="T11" i="4" s="1"/>
  <c r="S12" i="4"/>
  <c r="T12" i="4" s="1"/>
  <c r="S13" i="4"/>
  <c r="T13" i="4" s="1"/>
  <c r="S14" i="4"/>
  <c r="T14" i="4" s="1"/>
  <c r="S15" i="4"/>
  <c r="T15" i="4" s="1"/>
  <c r="S16" i="4"/>
  <c r="T16" i="4" s="1"/>
  <c r="S17" i="4"/>
  <c r="T17" i="4" s="1"/>
  <c r="S18" i="4"/>
  <c r="T18" i="4" s="1"/>
  <c r="S19" i="4"/>
  <c r="T19" i="4" s="1"/>
  <c r="S20" i="4"/>
  <c r="T20" i="4" s="1"/>
  <c r="S21" i="4"/>
  <c r="T21" i="4" s="1"/>
  <c r="S22" i="4"/>
  <c r="T22" i="4" s="1"/>
  <c r="S23" i="4"/>
  <c r="T23" i="4" s="1"/>
  <c r="S24" i="4"/>
  <c r="T24" i="4" s="1"/>
  <c r="S25" i="4"/>
  <c r="T25" i="4" s="1"/>
  <c r="S26" i="4"/>
  <c r="T26" i="4" s="1"/>
  <c r="S27" i="4"/>
  <c r="T27" i="4" s="1"/>
  <c r="S28" i="4"/>
  <c r="T28" i="4" s="1"/>
  <c r="S29" i="4"/>
  <c r="T29" i="4" s="1"/>
  <c r="S30" i="4"/>
  <c r="T30" i="4" s="1"/>
  <c r="S31" i="4"/>
  <c r="T31" i="4" s="1"/>
  <c r="S32" i="4"/>
  <c r="T32" i="4" s="1"/>
  <c r="S33" i="4"/>
  <c r="T33" i="4" s="1"/>
  <c r="S34" i="4"/>
  <c r="T34" i="4" s="1"/>
  <c r="S35" i="4"/>
  <c r="T35" i="4" s="1"/>
  <c r="S36" i="4"/>
  <c r="T36" i="4" s="1"/>
  <c r="S37" i="4"/>
  <c r="T37" i="4" s="1"/>
  <c r="S38" i="4"/>
  <c r="T38" i="4" s="1"/>
  <c r="S39" i="4"/>
  <c r="T39" i="4" s="1"/>
  <c r="S40" i="4"/>
  <c r="T40" i="4" s="1"/>
  <c r="S41" i="4"/>
  <c r="T41" i="4" s="1"/>
  <c r="S42" i="4"/>
  <c r="T42" i="4" s="1"/>
  <c r="S43" i="4"/>
  <c r="T43" i="4" s="1"/>
  <c r="S44" i="4"/>
  <c r="T44" i="4" s="1"/>
  <c r="S45" i="4"/>
  <c r="T45" i="4" s="1"/>
  <c r="S46" i="4"/>
  <c r="T46" i="4" s="1"/>
  <c r="S47" i="4"/>
  <c r="T47" i="4" s="1"/>
  <c r="S48" i="4"/>
  <c r="T48" i="4" s="1"/>
  <c r="S49" i="4"/>
  <c r="T49" i="4" s="1"/>
  <c r="S50" i="4"/>
  <c r="T50" i="4" s="1"/>
  <c r="S51" i="4"/>
  <c r="T51" i="4" s="1"/>
  <c r="S52" i="4"/>
  <c r="T52" i="4" s="1"/>
  <c r="S53" i="4"/>
  <c r="T53" i="4" s="1"/>
  <c r="S54" i="4"/>
  <c r="T54" i="4" s="1"/>
  <c r="S55" i="4"/>
  <c r="T55" i="4" s="1"/>
  <c r="S56" i="4"/>
  <c r="T56" i="4" s="1"/>
  <c r="S57" i="4"/>
  <c r="T57" i="4" s="1"/>
  <c r="S58" i="4"/>
  <c r="T58" i="4" s="1"/>
  <c r="S59" i="4"/>
  <c r="T59" i="4" s="1"/>
  <c r="S60" i="4"/>
  <c r="T60" i="4" s="1"/>
  <c r="S61" i="4"/>
  <c r="T61" i="4" s="1"/>
  <c r="S62" i="4"/>
  <c r="T62" i="4" s="1"/>
  <c r="S63" i="4"/>
  <c r="T63" i="4" s="1"/>
  <c r="S64" i="4"/>
  <c r="T64" i="4" s="1"/>
  <c r="S65" i="4"/>
  <c r="T65" i="4" s="1"/>
  <c r="S66" i="4"/>
  <c r="T66" i="4" s="1"/>
  <c r="S67" i="4"/>
  <c r="T67" i="4" s="1"/>
  <c r="S68" i="4"/>
  <c r="T68" i="4" s="1"/>
  <c r="S69" i="4"/>
  <c r="T69" i="4" s="1"/>
  <c r="S70" i="4"/>
  <c r="T70" i="4" s="1"/>
  <c r="S71" i="4"/>
  <c r="T71" i="4" s="1"/>
  <c r="S72" i="4"/>
  <c r="T72" i="4" s="1"/>
  <c r="S73" i="4"/>
  <c r="T73" i="4" s="1"/>
  <c r="S74" i="4"/>
  <c r="T74" i="4" s="1"/>
  <c r="S75" i="4"/>
  <c r="T75" i="4" s="1"/>
  <c r="S76" i="4"/>
  <c r="T76" i="4" s="1"/>
  <c r="S77" i="4"/>
  <c r="T77" i="4" s="1"/>
  <c r="S78" i="4"/>
  <c r="T78" i="4" s="1"/>
  <c r="S79" i="4"/>
  <c r="T79" i="4" s="1"/>
  <c r="S80" i="4"/>
  <c r="T80" i="4" s="1"/>
  <c r="S81" i="4"/>
  <c r="T81" i="4" s="1"/>
  <c r="S82" i="4"/>
  <c r="T82" i="4" s="1"/>
  <c r="S83" i="4"/>
  <c r="T83" i="4" s="1"/>
  <c r="S84" i="4"/>
  <c r="T84" i="4" s="1"/>
  <c r="S85" i="4"/>
  <c r="T85" i="4" s="1"/>
  <c r="S86" i="4"/>
  <c r="T86" i="4" s="1"/>
  <c r="S87" i="4"/>
  <c r="T87" i="4" s="1"/>
  <c r="S88" i="4"/>
  <c r="T88" i="4" s="1"/>
  <c r="S89" i="4"/>
  <c r="T89" i="4" s="1"/>
  <c r="S90" i="4"/>
  <c r="T90" i="4" s="1"/>
  <c r="S91" i="4"/>
  <c r="T91" i="4" s="1"/>
  <c r="S92" i="4"/>
  <c r="T92" i="4" s="1"/>
  <c r="S93" i="4"/>
  <c r="T93" i="4" s="1"/>
  <c r="S94" i="4"/>
  <c r="T94" i="4" s="1"/>
  <c r="S95" i="4"/>
  <c r="T95" i="4" s="1"/>
  <c r="S96" i="4"/>
  <c r="T96" i="4" s="1"/>
  <c r="S97" i="4"/>
  <c r="T97" i="4" s="1"/>
  <c r="S98" i="4"/>
  <c r="T98" i="4" s="1"/>
  <c r="S99" i="4"/>
  <c r="T99" i="4" s="1"/>
  <c r="S100" i="4"/>
  <c r="T100" i="4" s="1"/>
  <c r="S101" i="4"/>
  <c r="T101" i="4" s="1"/>
  <c r="S102" i="4"/>
  <c r="T102" i="4" s="1"/>
  <c r="S103" i="4"/>
  <c r="T103" i="4" s="1"/>
  <c r="S104" i="4"/>
  <c r="T104" i="4" s="1"/>
  <c r="S105" i="4"/>
  <c r="T105" i="4" s="1"/>
  <c r="S106" i="4"/>
  <c r="T106" i="4" s="1"/>
  <c r="S107" i="4"/>
  <c r="T107" i="4" s="1"/>
  <c r="S108" i="4"/>
  <c r="T108" i="4" s="1"/>
  <c r="S109" i="4"/>
  <c r="T109" i="4" s="1"/>
  <c r="S110" i="4"/>
  <c r="T110" i="4" s="1"/>
  <c r="S111" i="4"/>
  <c r="T111" i="4" s="1"/>
  <c r="S112" i="4"/>
  <c r="T112" i="4" s="1"/>
  <c r="S113" i="4"/>
  <c r="T113" i="4" s="1"/>
  <c r="S114" i="4"/>
  <c r="T114" i="4" s="1"/>
  <c r="S115" i="4"/>
  <c r="T115" i="4" s="1"/>
  <c r="S116" i="4"/>
  <c r="T116" i="4" s="1"/>
  <c r="S117" i="4"/>
  <c r="T117" i="4" s="1"/>
  <c r="S118" i="4"/>
  <c r="T118" i="4" s="1"/>
  <c r="S119" i="4"/>
  <c r="T119" i="4" s="1"/>
  <c r="S120" i="4"/>
  <c r="T120" i="4" s="1"/>
  <c r="S121" i="4"/>
  <c r="T121" i="4" s="1"/>
  <c r="S122" i="4"/>
  <c r="T122" i="4" s="1"/>
  <c r="S123" i="4"/>
  <c r="T123" i="4" s="1"/>
  <c r="S124" i="4"/>
  <c r="T124" i="4" s="1"/>
  <c r="S125" i="4"/>
  <c r="T125" i="4" s="1"/>
  <c r="S126" i="4"/>
  <c r="T126" i="4" s="1"/>
  <c r="S127" i="4"/>
  <c r="T127" i="4" s="1"/>
  <c r="S128" i="4"/>
  <c r="T128" i="4" s="1"/>
  <c r="S129" i="4"/>
  <c r="T129" i="4" s="1"/>
  <c r="S130" i="4"/>
  <c r="T130" i="4" s="1"/>
  <c r="S131" i="4"/>
  <c r="T131" i="4" s="1"/>
  <c r="S132" i="4"/>
  <c r="T132" i="4" s="1"/>
  <c r="S133" i="4"/>
  <c r="T133" i="4" s="1"/>
  <c r="S134" i="4"/>
  <c r="T134" i="4" s="1"/>
  <c r="S135" i="4"/>
  <c r="T135" i="4" s="1"/>
  <c r="S136" i="4"/>
  <c r="T136" i="4" s="1"/>
  <c r="S137" i="4"/>
  <c r="T137" i="4" s="1"/>
  <c r="S138" i="4"/>
  <c r="T138" i="4" s="1"/>
  <c r="S139" i="4"/>
  <c r="T139" i="4" s="1"/>
  <c r="S140" i="4"/>
  <c r="T140" i="4" s="1"/>
  <c r="S141" i="4"/>
  <c r="T141" i="4" s="1"/>
  <c r="S142" i="4"/>
  <c r="T142" i="4" s="1"/>
  <c r="S143" i="4"/>
  <c r="T143" i="4" s="1"/>
  <c r="S144" i="4"/>
  <c r="T144" i="4" s="1"/>
  <c r="S145" i="4"/>
  <c r="T145" i="4" s="1"/>
  <c r="S146" i="4"/>
  <c r="T146" i="4" s="1"/>
  <c r="S147" i="4"/>
  <c r="T147" i="4" s="1"/>
  <c r="S148" i="4"/>
  <c r="T148" i="4" s="1"/>
  <c r="S149" i="4"/>
  <c r="T149" i="4" s="1"/>
  <c r="S150" i="4"/>
  <c r="T150" i="4" s="1"/>
  <c r="S151" i="4"/>
  <c r="T151" i="4" s="1"/>
  <c r="S152" i="4"/>
  <c r="T152" i="4" s="1"/>
  <c r="S153" i="4"/>
  <c r="T153" i="4" s="1"/>
  <c r="S154" i="4"/>
  <c r="T154" i="4" s="1"/>
  <c r="S155" i="4"/>
  <c r="T155" i="4" s="1"/>
  <c r="S156" i="4"/>
  <c r="T156" i="4" s="1"/>
  <c r="S157" i="4"/>
  <c r="T157" i="4" s="1"/>
  <c r="S158" i="4"/>
  <c r="T158" i="4" s="1"/>
  <c r="S159" i="4"/>
  <c r="S160" i="4"/>
  <c r="T160" i="4" s="1"/>
  <c r="S161" i="4"/>
  <c r="T161" i="4" s="1"/>
  <c r="S162" i="4"/>
  <c r="T162" i="4" s="1"/>
  <c r="S163" i="4"/>
  <c r="T163" i="4" s="1"/>
  <c r="S164" i="4"/>
  <c r="T164" i="4" s="1"/>
  <c r="S165" i="4"/>
  <c r="T165" i="4" s="1"/>
  <c r="S166" i="4"/>
  <c r="T166" i="4" s="1"/>
  <c r="S167" i="4"/>
  <c r="T167" i="4" s="1"/>
  <c r="S168" i="4"/>
  <c r="T168" i="4" s="1"/>
  <c r="S169" i="4"/>
  <c r="T169" i="4" s="1"/>
  <c r="S170" i="4"/>
  <c r="T170" i="4" s="1"/>
  <c r="S171" i="4"/>
  <c r="T171" i="4" s="1"/>
  <c r="S172" i="4"/>
  <c r="T172" i="4" s="1"/>
  <c r="S173" i="4"/>
  <c r="T173" i="4" s="1"/>
  <c r="S174" i="4"/>
  <c r="T174" i="4" s="1"/>
  <c r="S175" i="4"/>
  <c r="T175" i="4" s="1"/>
  <c r="S176" i="4"/>
  <c r="T176" i="4" s="1"/>
  <c r="S177" i="4"/>
  <c r="T177" i="4" s="1"/>
  <c r="S178" i="4"/>
  <c r="T178" i="4" s="1"/>
  <c r="S179" i="4"/>
  <c r="T179" i="4" s="1"/>
  <c r="S180" i="4"/>
  <c r="T180" i="4" s="1"/>
  <c r="S181" i="4"/>
  <c r="T181" i="4" s="1"/>
  <c r="S182" i="4"/>
  <c r="T182" i="4" s="1"/>
  <c r="S183" i="4"/>
  <c r="T183" i="4" s="1"/>
  <c r="S184" i="4"/>
  <c r="T184" i="4" s="1"/>
  <c r="S185" i="4"/>
  <c r="T185" i="4" s="1"/>
  <c r="S186" i="4"/>
  <c r="T186" i="4" s="1"/>
  <c r="S187" i="4"/>
  <c r="T187" i="4" s="1"/>
  <c r="S188" i="4"/>
  <c r="T188" i="4" s="1"/>
  <c r="S189" i="4"/>
  <c r="T189" i="4" s="1"/>
  <c r="S190" i="4"/>
  <c r="T190" i="4" s="1"/>
  <c r="S191" i="4"/>
  <c r="S192" i="4"/>
  <c r="T192" i="4" s="1"/>
  <c r="S193" i="4"/>
  <c r="T193" i="4" s="1"/>
  <c r="S194" i="4"/>
  <c r="T194" i="4" s="1"/>
  <c r="S195" i="4"/>
  <c r="T195" i="4" s="1"/>
  <c r="S196" i="4"/>
  <c r="T196" i="4" s="1"/>
  <c r="S197" i="4"/>
  <c r="T197" i="4" s="1"/>
  <c r="S198" i="4"/>
  <c r="T198" i="4" s="1"/>
  <c r="S199" i="4"/>
  <c r="T199" i="4" s="1"/>
  <c r="S200" i="4"/>
  <c r="T200" i="4" s="1"/>
  <c r="S201" i="4"/>
  <c r="T201" i="4" s="1"/>
  <c r="S202" i="4"/>
  <c r="S203" i="4"/>
  <c r="T203" i="4" s="1"/>
  <c r="S204" i="4"/>
  <c r="T204" i="4" s="1"/>
  <c r="S205" i="4"/>
  <c r="T205" i="4" s="1"/>
  <c r="S206" i="4"/>
  <c r="T206" i="4" s="1"/>
  <c r="S207" i="4"/>
  <c r="T207" i="4" s="1"/>
  <c r="S208" i="4"/>
  <c r="T208" i="4" s="1"/>
  <c r="S209" i="4"/>
  <c r="T209" i="4" s="1"/>
  <c r="S210" i="4"/>
  <c r="T210" i="4" s="1"/>
  <c r="S211" i="4"/>
  <c r="T211" i="4" s="1"/>
  <c r="S212" i="4"/>
  <c r="T212" i="4" s="1"/>
  <c r="S213" i="4"/>
  <c r="T213" i="4" s="1"/>
  <c r="S214" i="4"/>
  <c r="T214" i="4" s="1"/>
  <c r="S215" i="4"/>
  <c r="T215" i="4" s="1"/>
  <c r="S216" i="4"/>
  <c r="T216" i="4" s="1"/>
  <c r="S217" i="4"/>
  <c r="T217" i="4" s="1"/>
  <c r="S218" i="4"/>
  <c r="T218" i="4" s="1"/>
  <c r="S219" i="4"/>
  <c r="T219" i="4" s="1"/>
  <c r="S220" i="4"/>
  <c r="T220" i="4" s="1"/>
  <c r="S221" i="4"/>
  <c r="T221" i="4" s="1"/>
  <c r="S222" i="4"/>
  <c r="T222" i="4" s="1"/>
  <c r="S223" i="4"/>
  <c r="T223" i="4" s="1"/>
  <c r="S224" i="4"/>
  <c r="T224" i="4" s="1"/>
  <c r="S225" i="4"/>
  <c r="T225" i="4" s="1"/>
  <c r="S226" i="4"/>
  <c r="T226" i="4" s="1"/>
  <c r="S227" i="4"/>
  <c r="T227" i="4" s="1"/>
  <c r="S228" i="4"/>
  <c r="T228" i="4" s="1"/>
  <c r="S229" i="4"/>
  <c r="T229" i="4" s="1"/>
  <c r="S230" i="4"/>
  <c r="T230" i="4" s="1"/>
  <c r="S231" i="4"/>
  <c r="T231" i="4" s="1"/>
  <c r="S232" i="4"/>
  <c r="T232" i="4" s="1"/>
  <c r="S233" i="4"/>
  <c r="T233" i="4" s="1"/>
  <c r="S234" i="4"/>
  <c r="T234" i="4" s="1"/>
  <c r="S235" i="4"/>
  <c r="T235" i="4" s="1"/>
  <c r="S236" i="4"/>
  <c r="T236" i="4" s="1"/>
  <c r="S237" i="4"/>
  <c r="T237" i="4" s="1"/>
  <c r="S238" i="4"/>
  <c r="T238" i="4" s="1"/>
  <c r="S239" i="4"/>
  <c r="T239" i="4" s="1"/>
  <c r="S240" i="4"/>
  <c r="T240" i="4" s="1"/>
  <c r="S241" i="4"/>
  <c r="T241" i="4" s="1"/>
  <c r="S242" i="4"/>
  <c r="T242" i="4" s="1"/>
  <c r="S243" i="4"/>
  <c r="T243" i="4" s="1"/>
  <c r="S244" i="4"/>
  <c r="T244" i="4" s="1"/>
  <c r="S245" i="4"/>
  <c r="T245" i="4" s="1"/>
  <c r="S246" i="4"/>
  <c r="T246" i="4" s="1"/>
  <c r="S247" i="4"/>
  <c r="T247" i="4" s="1"/>
  <c r="S248" i="4"/>
  <c r="T248" i="4" s="1"/>
  <c r="S249" i="4"/>
  <c r="T249" i="4" s="1"/>
  <c r="S250" i="4"/>
  <c r="T250" i="4" s="1"/>
  <c r="S251" i="4"/>
  <c r="T251" i="4" s="1"/>
  <c r="S252" i="4"/>
  <c r="T252" i="4" s="1"/>
  <c r="S253" i="4"/>
  <c r="T253" i="4" s="1"/>
  <c r="S254" i="4"/>
  <c r="T254" i="4" s="1"/>
  <c r="S255" i="4"/>
  <c r="T255" i="4" s="1"/>
  <c r="S256" i="4"/>
  <c r="T256" i="4" s="1"/>
  <c r="S257" i="4"/>
  <c r="T257" i="4" s="1"/>
  <c r="S258" i="4"/>
  <c r="T258" i="4" s="1"/>
  <c r="S259" i="4"/>
  <c r="T259" i="4" s="1"/>
  <c r="S260" i="4"/>
  <c r="T260" i="4" s="1"/>
  <c r="S261" i="4"/>
  <c r="T261" i="4" s="1"/>
  <c r="S262" i="4"/>
  <c r="T262" i="4" s="1"/>
  <c r="S263" i="4"/>
  <c r="T263" i="4" s="1"/>
  <c r="S264" i="4"/>
  <c r="T264" i="4" s="1"/>
  <c r="S265" i="4"/>
  <c r="T265" i="4" s="1"/>
  <c r="S266" i="4"/>
  <c r="T266" i="4" s="1"/>
  <c r="S267" i="4"/>
  <c r="T267" i="4" s="1"/>
  <c r="S268" i="4"/>
  <c r="T268" i="4" s="1"/>
  <c r="S269" i="4"/>
  <c r="T269" i="4" s="1"/>
  <c r="S270" i="4"/>
  <c r="T270" i="4" s="1"/>
  <c r="S271" i="4"/>
  <c r="T271" i="4" s="1"/>
  <c r="S272" i="4"/>
  <c r="T272" i="4" s="1"/>
  <c r="S273" i="4"/>
  <c r="T273" i="4" s="1"/>
  <c r="S274" i="4"/>
  <c r="T274" i="4" s="1"/>
  <c r="S275" i="4"/>
  <c r="T275" i="4" s="1"/>
  <c r="S276" i="4"/>
  <c r="T276" i="4" s="1"/>
  <c r="S277" i="4"/>
  <c r="T277" i="4" s="1"/>
  <c r="S278" i="4"/>
  <c r="T278" i="4" s="1"/>
  <c r="S279" i="4"/>
  <c r="T279" i="4" s="1"/>
  <c r="S280" i="4"/>
  <c r="T280" i="4" s="1"/>
  <c r="S281" i="4"/>
  <c r="T281" i="4" s="1"/>
  <c r="S282" i="4"/>
  <c r="T282" i="4" s="1"/>
  <c r="S283" i="4"/>
  <c r="T283" i="4" s="1"/>
  <c r="S284" i="4"/>
  <c r="T284" i="4" s="1"/>
  <c r="S285" i="4"/>
  <c r="T285" i="4" s="1"/>
  <c r="S286" i="4"/>
  <c r="T286" i="4" s="1"/>
  <c r="S287" i="4"/>
  <c r="T287" i="4" s="1"/>
  <c r="S288" i="4"/>
  <c r="T288" i="4" s="1"/>
  <c r="S289" i="4"/>
  <c r="T289" i="4" s="1"/>
  <c r="S290" i="4"/>
  <c r="T290" i="4" s="1"/>
  <c r="S291" i="4"/>
  <c r="T291" i="4" s="1"/>
  <c r="S292" i="4"/>
  <c r="T292" i="4" s="1"/>
  <c r="S293" i="4"/>
  <c r="T293" i="4" s="1"/>
  <c r="S294" i="4"/>
  <c r="T294" i="4" s="1"/>
  <c r="S295" i="4"/>
  <c r="T295" i="4" s="1"/>
  <c r="S296" i="4"/>
  <c r="T296" i="4" s="1"/>
  <c r="S297" i="4"/>
  <c r="T297" i="4" s="1"/>
  <c r="S298" i="4"/>
  <c r="T298" i="4" s="1"/>
  <c r="S299" i="4"/>
  <c r="T299" i="4" s="1"/>
  <c r="S300" i="4"/>
  <c r="T300" i="4" s="1"/>
  <c r="S301" i="4"/>
  <c r="T301" i="4" s="1"/>
  <c r="S302" i="4"/>
  <c r="T302" i="4" s="1"/>
  <c r="S303" i="4"/>
  <c r="T303" i="4" s="1"/>
  <c r="S304" i="4"/>
  <c r="T304" i="4" s="1"/>
  <c r="S305" i="4"/>
  <c r="T305" i="4" s="1"/>
  <c r="S306" i="4"/>
  <c r="T306" i="4" s="1"/>
  <c r="S307" i="4"/>
  <c r="T307" i="4" s="1"/>
  <c r="S308" i="4"/>
  <c r="T308" i="4" s="1"/>
  <c r="S309" i="4"/>
  <c r="T309" i="4" s="1"/>
  <c r="S310" i="4"/>
  <c r="T310" i="4" s="1"/>
  <c r="S311" i="4"/>
  <c r="T311" i="4" s="1"/>
  <c r="S312" i="4"/>
  <c r="T312" i="4" s="1"/>
  <c r="S313" i="4"/>
  <c r="T313" i="4" s="1"/>
  <c r="S314" i="4"/>
  <c r="T314" i="4" s="1"/>
  <c r="S315" i="4"/>
  <c r="T315" i="4" s="1"/>
  <c r="S316" i="4"/>
  <c r="T316" i="4" s="1"/>
  <c r="S317" i="4"/>
  <c r="T317" i="4" s="1"/>
  <c r="S318" i="4"/>
  <c r="T318" i="4" s="1"/>
  <c r="S319" i="4"/>
  <c r="T319" i="4" s="1"/>
  <c r="S320" i="4"/>
  <c r="T320" i="4" s="1"/>
  <c r="S321" i="4"/>
  <c r="T321" i="4" s="1"/>
  <c r="S322" i="4"/>
  <c r="T322" i="4" s="1"/>
  <c r="S323" i="4"/>
  <c r="T323" i="4" s="1"/>
  <c r="S324" i="4"/>
  <c r="T324" i="4" s="1"/>
  <c r="S325" i="4"/>
  <c r="T325" i="4" s="1"/>
  <c r="S326" i="4"/>
  <c r="T326" i="4" s="1"/>
  <c r="S327" i="4"/>
  <c r="T327" i="4" s="1"/>
  <c r="S328" i="4"/>
  <c r="T328" i="4" s="1"/>
  <c r="S329" i="4"/>
  <c r="T329" i="4" s="1"/>
  <c r="S330" i="4"/>
  <c r="T330" i="4" s="1"/>
  <c r="S331" i="4"/>
  <c r="T331" i="4" s="1"/>
  <c r="S332" i="4"/>
  <c r="T332" i="4" s="1"/>
  <c r="S333" i="4"/>
  <c r="T333" i="4" s="1"/>
  <c r="S334" i="4"/>
  <c r="T334" i="4" s="1"/>
  <c r="S335" i="4"/>
  <c r="T335" i="4" s="1"/>
  <c r="S336" i="4"/>
  <c r="T336" i="4" s="1"/>
  <c r="S337" i="4"/>
  <c r="T337" i="4" s="1"/>
  <c r="S338" i="4"/>
  <c r="T338" i="4" s="1"/>
  <c r="S339" i="4"/>
  <c r="T339" i="4" s="1"/>
  <c r="S340" i="4"/>
  <c r="T340" i="4" s="1"/>
  <c r="S341" i="4"/>
  <c r="T341" i="4" s="1"/>
  <c r="S342" i="4"/>
  <c r="T342" i="4" s="1"/>
  <c r="S343" i="4"/>
  <c r="T343" i="4" s="1"/>
  <c r="S344" i="4"/>
  <c r="T344" i="4" s="1"/>
  <c r="S345" i="4"/>
  <c r="T345" i="4" s="1"/>
  <c r="S346" i="4"/>
  <c r="T346" i="4" s="1"/>
  <c r="S347" i="4"/>
  <c r="T347" i="4" s="1"/>
  <c r="S348" i="4"/>
  <c r="T348" i="4" s="1"/>
  <c r="S349" i="4"/>
  <c r="T349" i="4" s="1"/>
  <c r="S350" i="4"/>
  <c r="T350" i="4" s="1"/>
  <c r="S351" i="4"/>
  <c r="T351" i="4" s="1"/>
  <c r="S352" i="4"/>
  <c r="T352" i="4" s="1"/>
  <c r="S353" i="4"/>
  <c r="T353" i="4" s="1"/>
  <c r="S354" i="4"/>
  <c r="T354" i="4" s="1"/>
  <c r="S355" i="4"/>
  <c r="T355" i="4" s="1"/>
  <c r="S356" i="4"/>
  <c r="T356" i="4" s="1"/>
  <c r="S357" i="4"/>
  <c r="T357" i="4" s="1"/>
  <c r="S358" i="4"/>
  <c r="T358" i="4" s="1"/>
  <c r="S359" i="4"/>
  <c r="T359" i="4" s="1"/>
  <c r="S360" i="4"/>
  <c r="T360" i="4" s="1"/>
  <c r="S361" i="4"/>
  <c r="T361" i="4" s="1"/>
  <c r="S362" i="4"/>
  <c r="T362" i="4" s="1"/>
  <c r="S363" i="4"/>
  <c r="T363" i="4" s="1"/>
  <c r="S364" i="4"/>
  <c r="T364" i="4" s="1"/>
  <c r="S365" i="4"/>
  <c r="T365" i="4" s="1"/>
  <c r="S366" i="4"/>
  <c r="T366" i="4" s="1"/>
  <c r="S367" i="4"/>
  <c r="T367" i="4" s="1"/>
  <c r="S368" i="4"/>
  <c r="T368" i="4" s="1"/>
  <c r="S369" i="4"/>
  <c r="T369" i="4" s="1"/>
  <c r="S370" i="4"/>
  <c r="T370" i="4" s="1"/>
  <c r="S371" i="4"/>
  <c r="T371" i="4" s="1"/>
  <c r="S372" i="4"/>
  <c r="T372" i="4" s="1"/>
  <c r="S373" i="4"/>
  <c r="T373" i="4" s="1"/>
  <c r="S374" i="4"/>
  <c r="T374" i="4" s="1"/>
  <c r="S375" i="4"/>
  <c r="T375" i="4" s="1"/>
  <c r="S376" i="4"/>
  <c r="T376" i="4" s="1"/>
  <c r="S377" i="4"/>
  <c r="T377" i="4" s="1"/>
  <c r="S378" i="4"/>
  <c r="T378" i="4" s="1"/>
  <c r="S379" i="4"/>
  <c r="T379" i="4" s="1"/>
  <c r="S380" i="4"/>
  <c r="T380" i="4" s="1"/>
  <c r="S381" i="4"/>
  <c r="T381" i="4" s="1"/>
  <c r="S382" i="4"/>
  <c r="T382" i="4" s="1"/>
  <c r="S383" i="4"/>
  <c r="T383" i="4" s="1"/>
  <c r="S384" i="4"/>
  <c r="T384" i="4" s="1"/>
  <c r="S385" i="4"/>
  <c r="T385" i="4" s="1"/>
  <c r="S386" i="4"/>
  <c r="T386" i="4" s="1"/>
  <c r="S387" i="4"/>
  <c r="T387" i="4" s="1"/>
  <c r="S388" i="4"/>
  <c r="T388" i="4" s="1"/>
  <c r="S389" i="4"/>
  <c r="T389" i="4" s="1"/>
  <c r="S390" i="4"/>
  <c r="T390" i="4" s="1"/>
  <c r="S391" i="4"/>
  <c r="T391" i="4" s="1"/>
  <c r="S392" i="4"/>
  <c r="T392" i="4" s="1"/>
  <c r="S393" i="4"/>
  <c r="T393" i="4" s="1"/>
  <c r="S394" i="4"/>
  <c r="T394" i="4" s="1"/>
  <c r="S395" i="4"/>
  <c r="T395" i="4" s="1"/>
  <c r="S396" i="4"/>
  <c r="T396" i="4" s="1"/>
  <c r="S397" i="4"/>
  <c r="T397" i="4" s="1"/>
  <c r="S398" i="4"/>
  <c r="T398" i="4" s="1"/>
  <c r="S399" i="4"/>
  <c r="T399" i="4" s="1"/>
  <c r="S400" i="4"/>
  <c r="T400" i="4" s="1"/>
  <c r="S401" i="4"/>
  <c r="T401" i="4" s="1"/>
  <c r="S402" i="4"/>
  <c r="T402" i="4" s="1"/>
  <c r="S403" i="4"/>
  <c r="T403" i="4" s="1"/>
  <c r="S404" i="4"/>
  <c r="T404" i="4" s="1"/>
  <c r="S405" i="4"/>
  <c r="T405" i="4" s="1"/>
  <c r="S406" i="4"/>
  <c r="T406" i="4" s="1"/>
  <c r="S407" i="4"/>
  <c r="T407" i="4" s="1"/>
  <c r="S408" i="4"/>
  <c r="T408" i="4" s="1"/>
  <c r="S409" i="4"/>
  <c r="T409" i="4" s="1"/>
  <c r="S410" i="4"/>
  <c r="T410" i="4" s="1"/>
  <c r="S411" i="4"/>
  <c r="T411" i="4" s="1"/>
  <c r="S412" i="4"/>
  <c r="T412" i="4" s="1"/>
  <c r="S413" i="4"/>
  <c r="T413" i="4" s="1"/>
  <c r="S414" i="4"/>
  <c r="T414" i="4" s="1"/>
  <c r="S415" i="4"/>
  <c r="T415" i="4" s="1"/>
  <c r="S416" i="4"/>
  <c r="T416" i="4" s="1"/>
  <c r="S417" i="4"/>
  <c r="T417" i="4" s="1"/>
  <c r="S418" i="4"/>
  <c r="T418" i="4" s="1"/>
  <c r="S419" i="4"/>
  <c r="T419" i="4" s="1"/>
  <c r="S420" i="4"/>
  <c r="T420" i="4" s="1"/>
  <c r="S421" i="4"/>
  <c r="T421" i="4" s="1"/>
  <c r="S422" i="4"/>
  <c r="T422" i="4" s="1"/>
  <c r="S423" i="4"/>
  <c r="T423" i="4" s="1"/>
  <c r="S424" i="4"/>
  <c r="T424" i="4" s="1"/>
  <c r="S425" i="4"/>
  <c r="T425" i="4" s="1"/>
  <c r="S426" i="4"/>
  <c r="T426" i="4" s="1"/>
  <c r="S427" i="4"/>
  <c r="T427" i="4" s="1"/>
  <c r="S428" i="4"/>
  <c r="T428" i="4" s="1"/>
  <c r="S429" i="4"/>
  <c r="T429" i="4" s="1"/>
  <c r="S430" i="4"/>
  <c r="T430" i="4" s="1"/>
  <c r="S431" i="4"/>
  <c r="T431" i="4" s="1"/>
  <c r="S432" i="4"/>
  <c r="T432" i="4" s="1"/>
  <c r="S433" i="4"/>
  <c r="T433" i="4" s="1"/>
  <c r="S434" i="4"/>
  <c r="T434" i="4" s="1"/>
  <c r="S435" i="4"/>
  <c r="T435" i="4" s="1"/>
  <c r="S436" i="4"/>
  <c r="T436" i="4" s="1"/>
  <c r="S437" i="4"/>
  <c r="T437" i="4" s="1"/>
  <c r="S438" i="4"/>
  <c r="T438" i="4" s="1"/>
  <c r="S439" i="4"/>
  <c r="T439" i="4" s="1"/>
  <c r="S440" i="4"/>
  <c r="T440" i="4" s="1"/>
  <c r="S441" i="4"/>
  <c r="T441" i="4" s="1"/>
  <c r="S442" i="4"/>
  <c r="T442" i="4" s="1"/>
  <c r="S443" i="4"/>
  <c r="T443" i="4" s="1"/>
  <c r="S444" i="4"/>
  <c r="T444" i="4" s="1"/>
  <c r="S445" i="4"/>
  <c r="T445" i="4" s="1"/>
  <c r="S446" i="4"/>
  <c r="T446" i="4" s="1"/>
  <c r="S447" i="4"/>
  <c r="T447" i="4" s="1"/>
  <c r="S448" i="4"/>
  <c r="T448" i="4" s="1"/>
  <c r="S449" i="4"/>
  <c r="T449" i="4" s="1"/>
  <c r="S450" i="4"/>
  <c r="T450" i="4" s="1"/>
  <c r="S451" i="4"/>
  <c r="T451" i="4" s="1"/>
  <c r="S452" i="4"/>
  <c r="S453" i="4"/>
  <c r="T453" i="4" s="1"/>
  <c r="S454" i="4"/>
  <c r="T454" i="4" s="1"/>
  <c r="S455" i="4"/>
  <c r="T455" i="4" s="1"/>
  <c r="S456" i="4"/>
  <c r="T456" i="4" s="1"/>
  <c r="S457" i="4"/>
  <c r="T457" i="4" s="1"/>
  <c r="S458" i="4"/>
  <c r="T458" i="4" s="1"/>
  <c r="S459" i="4"/>
  <c r="T459" i="4" s="1"/>
  <c r="S460" i="4"/>
  <c r="T460" i="4" s="1"/>
  <c r="S461" i="4"/>
  <c r="T461" i="4" s="1"/>
  <c r="S462" i="4"/>
  <c r="T462" i="4" s="1"/>
  <c r="S463" i="4"/>
  <c r="T463" i="4" s="1"/>
  <c r="S464" i="4"/>
  <c r="T464" i="4" s="1"/>
  <c r="S465" i="4"/>
  <c r="T465" i="4" s="1"/>
  <c r="S466" i="4"/>
  <c r="T466" i="4" s="1"/>
  <c r="S467" i="4"/>
  <c r="T467" i="4" s="1"/>
  <c r="S468" i="4"/>
  <c r="T468" i="4" s="1"/>
  <c r="S469" i="4"/>
  <c r="T469" i="4" s="1"/>
  <c r="S470" i="4"/>
  <c r="T470" i="4" s="1"/>
  <c r="S471" i="4"/>
  <c r="T471" i="4" s="1"/>
  <c r="S472" i="4"/>
  <c r="T472" i="4" s="1"/>
  <c r="S473" i="4"/>
  <c r="T473" i="4" s="1"/>
  <c r="S474" i="4"/>
  <c r="T474" i="4" s="1"/>
  <c r="S475" i="4"/>
  <c r="T475" i="4" s="1"/>
  <c r="S476" i="4"/>
  <c r="T476" i="4" s="1"/>
  <c r="S477" i="4"/>
  <c r="T477" i="4" s="1"/>
  <c r="S478" i="4"/>
  <c r="T478" i="4" s="1"/>
  <c r="S479" i="4"/>
  <c r="T479" i="4" s="1"/>
  <c r="S480" i="4"/>
  <c r="T480" i="4" s="1"/>
  <c r="S481" i="4"/>
  <c r="T481" i="4" s="1"/>
  <c r="S482" i="4"/>
  <c r="T482" i="4" s="1"/>
  <c r="S483" i="4"/>
  <c r="T483" i="4" s="1"/>
  <c r="S484" i="4"/>
  <c r="T484" i="4" s="1"/>
  <c r="S485" i="4"/>
  <c r="T485" i="4" s="1"/>
  <c r="S486" i="4"/>
  <c r="T486" i="4" s="1"/>
  <c r="S487" i="4"/>
  <c r="T487" i="4" s="1"/>
  <c r="S488" i="4"/>
  <c r="T488" i="4" s="1"/>
  <c r="S489" i="4"/>
  <c r="T489" i="4" s="1"/>
  <c r="S490" i="4"/>
  <c r="T490" i="4" s="1"/>
  <c r="S491" i="4"/>
  <c r="T491" i="4" s="1"/>
  <c r="S492" i="4"/>
  <c r="T492" i="4" s="1"/>
  <c r="S493" i="4"/>
  <c r="T493" i="4" s="1"/>
  <c r="S494" i="4"/>
  <c r="T494" i="4" s="1"/>
  <c r="S495" i="4"/>
  <c r="T495" i="4" s="1"/>
  <c r="S496" i="4"/>
  <c r="T496" i="4" s="1"/>
  <c r="S497" i="4"/>
  <c r="T497" i="4" s="1"/>
  <c r="S498" i="4"/>
  <c r="T498" i="4" s="1"/>
  <c r="S499" i="4"/>
  <c r="T499" i="4" s="1"/>
  <c r="S500" i="4"/>
  <c r="T500" i="4" s="1"/>
  <c r="S501" i="4"/>
  <c r="T501" i="4" s="1"/>
  <c r="S502" i="4"/>
  <c r="T502" i="4" s="1"/>
  <c r="S503" i="4"/>
  <c r="T503" i="4" s="1"/>
  <c r="S504" i="4"/>
  <c r="T504" i="4" s="1"/>
  <c r="S505" i="4"/>
  <c r="T505" i="4" s="1"/>
  <c r="S506" i="4"/>
  <c r="T506" i="4" s="1"/>
  <c r="S507" i="4"/>
  <c r="T507" i="4" s="1"/>
  <c r="S508" i="4"/>
  <c r="T508" i="4" s="1"/>
  <c r="S509" i="4"/>
  <c r="T509" i="4" s="1"/>
  <c r="S510" i="4"/>
  <c r="T510" i="4" s="1"/>
  <c r="S511" i="4"/>
  <c r="T511" i="4" s="1"/>
  <c r="S512" i="4"/>
  <c r="T512" i="4" s="1"/>
  <c r="S513" i="4"/>
  <c r="T513" i="4" s="1"/>
  <c r="S514" i="4"/>
  <c r="T514" i="4" s="1"/>
  <c r="S515" i="4"/>
  <c r="T515" i="4" s="1"/>
  <c r="S516" i="4"/>
  <c r="T516" i="4" s="1"/>
  <c r="S517" i="4"/>
  <c r="T517" i="4" s="1"/>
  <c r="S518" i="4"/>
  <c r="T518" i="4" s="1"/>
  <c r="S519" i="4"/>
  <c r="T519" i="4" s="1"/>
  <c r="S520" i="4"/>
  <c r="T520" i="4" s="1"/>
  <c r="S521" i="4"/>
  <c r="T521" i="4" s="1"/>
  <c r="S522" i="4"/>
  <c r="T522" i="4" s="1"/>
  <c r="S523" i="4"/>
  <c r="T523" i="4" s="1"/>
  <c r="S524" i="4"/>
  <c r="T524" i="4" s="1"/>
  <c r="S525" i="4"/>
  <c r="T525" i="4" s="1"/>
  <c r="S526" i="4"/>
  <c r="T526" i="4" s="1"/>
  <c r="S527" i="4"/>
  <c r="T527" i="4" s="1"/>
  <c r="S528" i="4"/>
  <c r="T528" i="4" s="1"/>
  <c r="S529" i="4"/>
  <c r="T529" i="4" s="1"/>
  <c r="S530" i="4"/>
  <c r="T530" i="4" s="1"/>
  <c r="S531" i="4"/>
  <c r="T531" i="4" s="1"/>
  <c r="S532" i="4"/>
  <c r="T532" i="4" s="1"/>
  <c r="S533" i="4"/>
  <c r="T533" i="4" s="1"/>
  <c r="S534" i="4"/>
  <c r="T534" i="4" s="1"/>
  <c r="S535" i="4"/>
  <c r="T535" i="4" s="1"/>
  <c r="S536" i="4"/>
  <c r="T536" i="4" s="1"/>
  <c r="S537" i="4"/>
  <c r="T537" i="4" s="1"/>
  <c r="S538" i="4"/>
  <c r="T538" i="4" s="1"/>
  <c r="S539" i="4"/>
  <c r="T539" i="4" s="1"/>
  <c r="S540" i="4"/>
  <c r="T540" i="4" s="1"/>
  <c r="S541" i="4"/>
  <c r="T541" i="4" s="1"/>
  <c r="S542" i="4"/>
  <c r="T542" i="4" s="1"/>
  <c r="S543" i="4"/>
  <c r="T543" i="4" s="1"/>
  <c r="S544" i="4"/>
  <c r="T544" i="4" s="1"/>
  <c r="S545" i="4"/>
  <c r="T545" i="4" s="1"/>
  <c r="S546" i="4"/>
  <c r="T546" i="4" s="1"/>
  <c r="S547" i="4"/>
  <c r="T547" i="4" s="1"/>
  <c r="S548" i="4"/>
  <c r="T548" i="4" s="1"/>
  <c r="S549" i="4"/>
  <c r="T549" i="4" s="1"/>
  <c r="S550" i="4"/>
  <c r="T550" i="4" s="1"/>
  <c r="S551" i="4"/>
  <c r="S552" i="4"/>
  <c r="T552" i="4" s="1"/>
  <c r="S553" i="4"/>
  <c r="T553" i="4" s="1"/>
  <c r="S554" i="4"/>
  <c r="T554" i="4" s="1"/>
  <c r="S555" i="4"/>
  <c r="T555" i="4" s="1"/>
  <c r="S556" i="4"/>
  <c r="T556" i="4" s="1"/>
  <c r="S557" i="4"/>
  <c r="T557" i="4" s="1"/>
  <c r="S558" i="4"/>
  <c r="T558" i="4" s="1"/>
  <c r="S559" i="4"/>
  <c r="T559" i="4" s="1"/>
  <c r="S560" i="4"/>
  <c r="T560" i="4" s="1"/>
  <c r="S561" i="4"/>
  <c r="T561" i="4" s="1"/>
  <c r="S562" i="4"/>
  <c r="T562" i="4" s="1"/>
  <c r="S563" i="4"/>
  <c r="T563" i="4" s="1"/>
  <c r="S564" i="4"/>
  <c r="T564" i="4" s="1"/>
  <c r="S565" i="4"/>
  <c r="T565" i="4" s="1"/>
  <c r="S566" i="4"/>
  <c r="T566" i="4" s="1"/>
  <c r="S567" i="4"/>
  <c r="T567" i="4" s="1"/>
  <c r="S568" i="4"/>
  <c r="T568" i="4" s="1"/>
  <c r="S569" i="4"/>
  <c r="T569" i="4" s="1"/>
  <c r="S570" i="4"/>
  <c r="T570" i="4" s="1"/>
  <c r="S571" i="4"/>
  <c r="T571" i="4" s="1"/>
  <c r="S572" i="4"/>
  <c r="T572" i="4" s="1"/>
  <c r="S573" i="4"/>
  <c r="T573" i="4" s="1"/>
  <c r="S574" i="4"/>
  <c r="T574" i="4" s="1"/>
  <c r="S575" i="4"/>
  <c r="T575" i="4" s="1"/>
  <c r="S576" i="4"/>
  <c r="T576" i="4" s="1"/>
  <c r="S577" i="4"/>
  <c r="T577" i="4" s="1"/>
  <c r="S578" i="4"/>
  <c r="T578" i="4" s="1"/>
  <c r="S579" i="4"/>
  <c r="T579" i="4" s="1"/>
  <c r="S580" i="4"/>
  <c r="T580" i="4" s="1"/>
  <c r="S581" i="4"/>
  <c r="T581" i="4" s="1"/>
  <c r="S582" i="4"/>
  <c r="T582" i="4" s="1"/>
  <c r="S583" i="4"/>
  <c r="T583" i="4" s="1"/>
  <c r="S584" i="4"/>
  <c r="T584" i="4" s="1"/>
  <c r="S585" i="4"/>
  <c r="T585" i="4" s="1"/>
  <c r="S586" i="4"/>
  <c r="T586" i="4" s="1"/>
  <c r="S587" i="4"/>
  <c r="T587" i="4" s="1"/>
  <c r="S588" i="4"/>
  <c r="T588" i="4" s="1"/>
  <c r="S589" i="4"/>
  <c r="T589" i="4" s="1"/>
  <c r="S590" i="4"/>
  <c r="T590" i="4" s="1"/>
  <c r="S591" i="4"/>
  <c r="T591" i="4" s="1"/>
  <c r="S592" i="4"/>
  <c r="T592" i="4" s="1"/>
  <c r="S593" i="4"/>
  <c r="T593" i="4" s="1"/>
  <c r="S594" i="4"/>
  <c r="T594" i="4" s="1"/>
  <c r="S595" i="4"/>
  <c r="T595" i="4" s="1"/>
  <c r="S596" i="4"/>
  <c r="T596" i="4" s="1"/>
  <c r="S597" i="4"/>
  <c r="T597" i="4" s="1"/>
  <c r="S598" i="4"/>
  <c r="T598" i="4" s="1"/>
  <c r="S599" i="4"/>
  <c r="S600" i="4"/>
  <c r="T600" i="4" s="1"/>
  <c r="S601" i="4"/>
  <c r="T601" i="4" s="1"/>
  <c r="S602" i="4"/>
  <c r="T602" i="4" s="1"/>
  <c r="S603" i="4"/>
  <c r="T603" i="4" s="1"/>
  <c r="S604" i="4"/>
  <c r="T604" i="4" s="1"/>
  <c r="S605" i="4"/>
  <c r="T605" i="4" s="1"/>
  <c r="S606" i="4"/>
  <c r="T606" i="4" s="1"/>
  <c r="S607" i="4"/>
  <c r="T607" i="4" s="1"/>
  <c r="S608" i="4"/>
  <c r="T608" i="4" s="1"/>
  <c r="S609" i="4"/>
  <c r="T609" i="4" s="1"/>
  <c r="S610" i="4"/>
  <c r="T610" i="4" s="1"/>
  <c r="S611" i="4"/>
  <c r="T611" i="4" s="1"/>
  <c r="S612" i="4"/>
  <c r="T612" i="4" s="1"/>
  <c r="S613" i="4"/>
  <c r="T613" i="4" s="1"/>
  <c r="S614" i="4"/>
  <c r="T614" i="4" s="1"/>
  <c r="S615" i="4"/>
  <c r="T615" i="4" s="1"/>
  <c r="S616" i="4"/>
  <c r="T616" i="4" s="1"/>
  <c r="S617" i="4"/>
  <c r="T617" i="4" s="1"/>
  <c r="S618" i="4"/>
  <c r="T618" i="4" s="1"/>
  <c r="S619" i="4"/>
  <c r="T619" i="4" s="1"/>
  <c r="S620" i="4"/>
  <c r="T620" i="4" s="1"/>
  <c r="S621" i="4"/>
  <c r="T621" i="4" s="1"/>
  <c r="S622" i="4"/>
  <c r="T622" i="4" s="1"/>
  <c r="S623" i="4"/>
  <c r="T623" i="4" s="1"/>
  <c r="S624" i="4"/>
  <c r="T624" i="4" s="1"/>
  <c r="S625" i="4"/>
  <c r="T625" i="4" s="1"/>
  <c r="S626" i="4"/>
  <c r="T626" i="4" s="1"/>
  <c r="S627" i="4"/>
  <c r="T627" i="4" s="1"/>
  <c r="S628" i="4"/>
  <c r="T628" i="4" s="1"/>
  <c r="S629" i="4"/>
  <c r="T629" i="4" s="1"/>
  <c r="S630" i="4"/>
  <c r="T630" i="4" s="1"/>
  <c r="S631" i="4"/>
  <c r="T631" i="4" s="1"/>
  <c r="S632" i="4"/>
  <c r="T632" i="4" s="1"/>
  <c r="S633" i="4"/>
  <c r="T633" i="4" s="1"/>
  <c r="S634" i="4"/>
  <c r="T634" i="4" s="1"/>
  <c r="S635" i="4"/>
  <c r="T635" i="4" s="1"/>
  <c r="S636" i="4"/>
  <c r="T636" i="4" s="1"/>
  <c r="S637" i="4"/>
  <c r="T637" i="4" s="1"/>
  <c r="S638" i="4"/>
  <c r="T638" i="4" s="1"/>
  <c r="S639" i="4"/>
  <c r="T639" i="4" s="1"/>
  <c r="S640" i="4"/>
  <c r="T640" i="4" s="1"/>
  <c r="S641" i="4"/>
  <c r="T641" i="4" s="1"/>
  <c r="S642" i="4"/>
  <c r="T642" i="4" s="1"/>
  <c r="S643" i="4"/>
  <c r="T643" i="4" s="1"/>
  <c r="S644" i="4"/>
  <c r="T644" i="4" s="1"/>
  <c r="S645" i="4"/>
  <c r="T645" i="4" s="1"/>
  <c r="S646" i="4"/>
  <c r="T646" i="4" s="1"/>
  <c r="S647" i="4"/>
  <c r="T647" i="4" s="1"/>
  <c r="S648" i="4"/>
  <c r="T648" i="4" s="1"/>
  <c r="S649" i="4"/>
  <c r="T649" i="4" s="1"/>
  <c r="S650" i="4"/>
  <c r="T650" i="4" s="1"/>
  <c r="S651" i="4"/>
  <c r="T651" i="4" s="1"/>
  <c r="S652" i="4"/>
  <c r="T652" i="4" s="1"/>
  <c r="S653" i="4"/>
  <c r="T653" i="4" s="1"/>
  <c r="S654" i="4"/>
  <c r="T654" i="4" s="1"/>
  <c r="S655" i="4"/>
  <c r="T655" i="4" s="1"/>
  <c r="S656" i="4"/>
  <c r="T656" i="4" s="1"/>
  <c r="S657" i="4"/>
  <c r="T657" i="4" s="1"/>
  <c r="S658" i="4"/>
  <c r="T658" i="4" s="1"/>
  <c r="S659" i="4"/>
  <c r="T659" i="4" s="1"/>
  <c r="S660" i="4"/>
  <c r="T660" i="4" s="1"/>
  <c r="S661" i="4"/>
  <c r="T661" i="4" s="1"/>
  <c r="S662" i="4"/>
  <c r="T662" i="4" s="1"/>
  <c r="S663" i="4"/>
  <c r="T663" i="4" s="1"/>
  <c r="S664" i="4"/>
  <c r="T664" i="4" s="1"/>
  <c r="S665" i="4"/>
  <c r="T665" i="4" s="1"/>
  <c r="S666" i="4"/>
  <c r="T666" i="4" s="1"/>
  <c r="S667" i="4"/>
  <c r="T667" i="4" s="1"/>
  <c r="S668" i="4"/>
  <c r="T668" i="4" s="1"/>
  <c r="S669" i="4"/>
  <c r="T669" i="4" s="1"/>
  <c r="S670" i="4"/>
  <c r="T670" i="4" s="1"/>
  <c r="S671" i="4"/>
  <c r="T671" i="4" s="1"/>
  <c r="S672" i="4"/>
  <c r="T672" i="4" s="1"/>
  <c r="S673" i="4"/>
  <c r="T673" i="4" s="1"/>
  <c r="S674" i="4"/>
  <c r="T674" i="4" s="1"/>
  <c r="S675" i="4"/>
  <c r="T675" i="4" s="1"/>
  <c r="S676" i="4"/>
  <c r="T676" i="4" s="1"/>
  <c r="S677" i="4"/>
  <c r="T677" i="4" s="1"/>
  <c r="S678" i="4"/>
  <c r="T678" i="4" s="1"/>
  <c r="S679" i="4"/>
  <c r="T679" i="4" s="1"/>
  <c r="S680" i="4"/>
  <c r="T680" i="4" s="1"/>
  <c r="S681" i="4"/>
  <c r="T681" i="4" s="1"/>
  <c r="S682" i="4"/>
  <c r="T682" i="4" s="1"/>
  <c r="S683" i="4"/>
  <c r="T683" i="4" s="1"/>
  <c r="S684" i="4"/>
  <c r="T684" i="4" s="1"/>
  <c r="S685" i="4"/>
  <c r="T685" i="4" s="1"/>
  <c r="S686" i="4"/>
  <c r="T686" i="4" s="1"/>
  <c r="S687" i="4"/>
  <c r="T687" i="4" s="1"/>
  <c r="S688" i="4"/>
  <c r="T688" i="4" s="1"/>
  <c r="S689" i="4"/>
  <c r="T689" i="4" s="1"/>
  <c r="S690" i="4"/>
  <c r="T690" i="4" s="1"/>
  <c r="S691" i="4"/>
  <c r="T691" i="4" s="1"/>
  <c r="S692" i="4"/>
  <c r="T692" i="4" s="1"/>
  <c r="S693" i="4"/>
  <c r="T693" i="4" s="1"/>
  <c r="S694" i="4"/>
  <c r="T694" i="4" s="1"/>
  <c r="S695" i="4"/>
  <c r="T695" i="4" s="1"/>
  <c r="S696" i="4"/>
  <c r="T696" i="4" s="1"/>
  <c r="S697" i="4"/>
  <c r="T697" i="4" s="1"/>
  <c r="S698" i="4"/>
  <c r="T698" i="4" s="1"/>
  <c r="S699" i="4"/>
  <c r="T699" i="4" s="1"/>
  <c r="S700" i="4"/>
  <c r="T700" i="4" s="1"/>
  <c r="S701" i="4"/>
  <c r="T701" i="4" s="1"/>
  <c r="S702" i="4"/>
  <c r="T702" i="4" s="1"/>
  <c r="S703" i="4"/>
  <c r="T703" i="4" s="1"/>
  <c r="S704" i="4"/>
  <c r="T704" i="4" s="1"/>
  <c r="S705" i="4"/>
  <c r="T705" i="4" s="1"/>
  <c r="S706" i="4"/>
  <c r="T706" i="4" s="1"/>
  <c r="S707" i="4"/>
  <c r="T707" i="4" s="1"/>
  <c r="S708" i="4"/>
  <c r="T708" i="4" s="1"/>
  <c r="S709" i="4"/>
  <c r="T709" i="4" s="1"/>
  <c r="S710" i="4"/>
  <c r="T710" i="4" s="1"/>
  <c r="S711" i="4"/>
  <c r="T711" i="4" s="1"/>
  <c r="S712" i="4"/>
  <c r="T712" i="4" s="1"/>
  <c r="S713" i="4"/>
  <c r="T713" i="4" s="1"/>
  <c r="S714" i="4"/>
  <c r="T714" i="4" s="1"/>
  <c r="S715" i="4"/>
  <c r="T715" i="4" s="1"/>
  <c r="S716" i="4"/>
  <c r="T716" i="4" s="1"/>
  <c r="S717" i="4"/>
  <c r="T717" i="4" s="1"/>
  <c r="S718" i="4"/>
  <c r="T718" i="4" s="1"/>
  <c r="S719" i="4"/>
  <c r="T719" i="4" s="1"/>
  <c r="S720" i="4"/>
  <c r="T720" i="4" s="1"/>
  <c r="S721" i="4"/>
  <c r="T721" i="4" s="1"/>
  <c r="S722" i="4"/>
  <c r="T722" i="4" s="1"/>
  <c r="S723" i="4"/>
  <c r="T723" i="4" s="1"/>
  <c r="S724" i="4"/>
  <c r="T724" i="4" s="1"/>
  <c r="S725" i="4"/>
  <c r="T725" i="4" s="1"/>
  <c r="S726" i="4"/>
  <c r="T726" i="4" s="1"/>
  <c r="S727" i="4"/>
  <c r="T727" i="4" s="1"/>
  <c r="S728" i="4"/>
  <c r="T728" i="4" s="1"/>
  <c r="S729" i="4"/>
  <c r="T729" i="4" s="1"/>
  <c r="S730" i="4"/>
  <c r="T730" i="4" s="1"/>
  <c r="S731" i="4"/>
  <c r="T731" i="4" s="1"/>
  <c r="S732" i="4"/>
  <c r="T732" i="4" s="1"/>
  <c r="S733" i="4"/>
  <c r="T733" i="4" s="1"/>
  <c r="S734" i="4"/>
  <c r="T734" i="4" s="1"/>
  <c r="S735" i="4"/>
  <c r="T735" i="4" s="1"/>
  <c r="S736" i="4"/>
  <c r="T736" i="4" s="1"/>
  <c r="S737" i="4"/>
  <c r="T737" i="4" s="1"/>
  <c r="S738" i="4"/>
  <c r="T738" i="4" s="1"/>
  <c r="S739" i="4"/>
  <c r="T739" i="4" s="1"/>
  <c r="S740" i="4"/>
  <c r="T740" i="4" s="1"/>
  <c r="S741" i="4"/>
  <c r="T741" i="4" s="1"/>
  <c r="S742" i="4"/>
  <c r="T742" i="4" s="1"/>
  <c r="S743" i="4"/>
  <c r="T743" i="4" s="1"/>
  <c r="S744" i="4"/>
  <c r="T744" i="4" s="1"/>
  <c r="S745" i="4"/>
  <c r="T745" i="4" s="1"/>
  <c r="S746" i="4"/>
  <c r="T746" i="4" s="1"/>
  <c r="S747" i="4"/>
  <c r="T747" i="4" s="1"/>
  <c r="S748" i="4"/>
  <c r="T748" i="4" s="1"/>
  <c r="S749" i="4"/>
  <c r="T749" i="4" s="1"/>
  <c r="S750" i="4"/>
  <c r="T750" i="4" s="1"/>
  <c r="S751" i="4"/>
  <c r="T751" i="4" s="1"/>
  <c r="S752" i="4"/>
  <c r="T752" i="4" s="1"/>
  <c r="S753" i="4"/>
  <c r="T753" i="4" s="1"/>
  <c r="S754" i="4"/>
  <c r="T754" i="4" s="1"/>
  <c r="S755" i="4"/>
  <c r="T755" i="4" s="1"/>
  <c r="S756" i="4"/>
  <c r="T756" i="4" s="1"/>
  <c r="S757" i="4"/>
  <c r="T757" i="4" s="1"/>
  <c r="S758" i="4"/>
  <c r="T758" i="4" s="1"/>
  <c r="S759" i="4"/>
  <c r="T759" i="4" s="1"/>
  <c r="S760" i="4"/>
  <c r="T760" i="4" s="1"/>
  <c r="S761" i="4"/>
  <c r="T761" i="4" s="1"/>
  <c r="S762" i="4"/>
  <c r="T762" i="4" s="1"/>
  <c r="S763" i="4"/>
  <c r="T763" i="4" s="1"/>
  <c r="S764" i="4"/>
  <c r="T764" i="4" s="1"/>
  <c r="S765" i="4"/>
  <c r="T765" i="4" s="1"/>
  <c r="S766" i="4"/>
  <c r="T766" i="4" s="1"/>
  <c r="S767" i="4"/>
  <c r="T767" i="4" s="1"/>
  <c r="S768" i="4"/>
  <c r="T768" i="4" s="1"/>
  <c r="S769" i="4"/>
  <c r="T769" i="4" s="1"/>
  <c r="S770" i="4"/>
  <c r="T770" i="4" s="1"/>
  <c r="S771" i="4"/>
  <c r="T771" i="4" s="1"/>
  <c r="S772" i="4"/>
  <c r="T772" i="4" s="1"/>
  <c r="S773" i="4"/>
  <c r="T773" i="4" s="1"/>
  <c r="S774" i="4"/>
  <c r="T774" i="4" s="1"/>
  <c r="S775" i="4"/>
  <c r="T775" i="4" s="1"/>
  <c r="S776" i="4"/>
  <c r="T776" i="4" s="1"/>
  <c r="S777" i="4"/>
  <c r="T777" i="4" s="1"/>
  <c r="S778" i="4"/>
  <c r="T778" i="4" s="1"/>
  <c r="S779" i="4"/>
  <c r="T779" i="4" s="1"/>
  <c r="S780" i="4"/>
  <c r="T780" i="4" s="1"/>
  <c r="S781" i="4"/>
  <c r="T781" i="4" s="1"/>
  <c r="S782" i="4"/>
  <c r="T782" i="4" s="1"/>
  <c r="S783" i="4"/>
  <c r="S784" i="4"/>
  <c r="T784" i="4" s="1"/>
  <c r="S785" i="4"/>
  <c r="T785" i="4" s="1"/>
  <c r="S786" i="4"/>
  <c r="T786" i="4" s="1"/>
  <c r="S787" i="4"/>
  <c r="T787" i="4" s="1"/>
  <c r="S788" i="4"/>
  <c r="T788" i="4" s="1"/>
  <c r="S789" i="4"/>
  <c r="T789" i="4" s="1"/>
  <c r="S790" i="4"/>
  <c r="T790" i="4" s="1"/>
  <c r="S791" i="4"/>
  <c r="T791" i="4" s="1"/>
  <c r="S792" i="4"/>
  <c r="T792" i="4" s="1"/>
  <c r="S793" i="4"/>
  <c r="T793" i="4" s="1"/>
  <c r="S794" i="4"/>
  <c r="T794" i="4" s="1"/>
  <c r="S795" i="4"/>
  <c r="T795" i="4" s="1"/>
  <c r="S796" i="4"/>
  <c r="T796" i="4" s="1"/>
  <c r="S797" i="4"/>
  <c r="T797" i="4" s="1"/>
  <c r="S798" i="4"/>
  <c r="T798" i="4" s="1"/>
  <c r="S799" i="4"/>
  <c r="T799" i="4" s="1"/>
  <c r="S800" i="4"/>
  <c r="T800" i="4" s="1"/>
  <c r="S801" i="4"/>
  <c r="T801" i="4" s="1"/>
  <c r="S802" i="4"/>
  <c r="T802" i="4" s="1"/>
  <c r="S803" i="4"/>
  <c r="T803" i="4" s="1"/>
  <c r="S804" i="4"/>
  <c r="T804" i="4" s="1"/>
  <c r="S805" i="4"/>
  <c r="T805" i="4" s="1"/>
  <c r="S806" i="4"/>
  <c r="T806" i="4" s="1"/>
  <c r="S807" i="4"/>
  <c r="T807" i="4" s="1"/>
  <c r="S808" i="4"/>
  <c r="T808" i="4" s="1"/>
  <c r="S809" i="4"/>
  <c r="T809" i="4" s="1"/>
  <c r="S810" i="4"/>
  <c r="T810" i="4" s="1"/>
  <c r="S811" i="4"/>
  <c r="T811" i="4" s="1"/>
  <c r="S812" i="4"/>
  <c r="T812" i="4" s="1"/>
  <c r="S813" i="4"/>
  <c r="T813" i="4" s="1"/>
  <c r="S814" i="4"/>
  <c r="T814" i="4" s="1"/>
  <c r="S815" i="4"/>
  <c r="T815" i="4" s="1"/>
  <c r="S816" i="4"/>
  <c r="T816" i="4" s="1"/>
  <c r="S817" i="4"/>
  <c r="T817" i="4" s="1"/>
  <c r="S818" i="4"/>
  <c r="T818" i="4" s="1"/>
  <c r="S819" i="4"/>
  <c r="T819" i="4" s="1"/>
  <c r="S820" i="4"/>
  <c r="T820" i="4" s="1"/>
  <c r="S821" i="4"/>
  <c r="T821" i="4" s="1"/>
  <c r="S822" i="4"/>
  <c r="T822" i="4" s="1"/>
  <c r="S823" i="4"/>
  <c r="T823" i="4" s="1"/>
  <c r="S824" i="4"/>
  <c r="T824" i="4" s="1"/>
  <c r="S825" i="4"/>
  <c r="T825" i="4" s="1"/>
  <c r="S826" i="4"/>
  <c r="T826" i="4" s="1"/>
  <c r="S827" i="4"/>
  <c r="T827" i="4" s="1"/>
  <c r="S828" i="4"/>
  <c r="T828" i="4" s="1"/>
  <c r="S829" i="4"/>
  <c r="T829" i="4" s="1"/>
  <c r="S830" i="4"/>
  <c r="T830" i="4" s="1"/>
  <c r="S831" i="4"/>
  <c r="T831" i="4" s="1"/>
  <c r="S832" i="4"/>
  <c r="T832" i="4" s="1"/>
  <c r="S833" i="4"/>
  <c r="T833" i="4" s="1"/>
  <c r="S834" i="4"/>
  <c r="T834" i="4" s="1"/>
  <c r="S835" i="4"/>
  <c r="T835" i="4" s="1"/>
  <c r="S836" i="4"/>
  <c r="T836" i="4" s="1"/>
  <c r="S837" i="4"/>
  <c r="T837" i="4" s="1"/>
  <c r="S838" i="4"/>
  <c r="T838" i="4" s="1"/>
  <c r="S839" i="4"/>
  <c r="T839" i="4" s="1"/>
  <c r="S840" i="4"/>
  <c r="T840" i="4" s="1"/>
  <c r="S841" i="4"/>
  <c r="T841" i="4" s="1"/>
  <c r="S842" i="4"/>
  <c r="T842" i="4" s="1"/>
  <c r="S843" i="4"/>
  <c r="T843" i="4" s="1"/>
  <c r="S844" i="4"/>
  <c r="T844" i="4" s="1"/>
  <c r="S845" i="4"/>
  <c r="T845" i="4" s="1"/>
  <c r="S846" i="4"/>
  <c r="T846" i="4" s="1"/>
  <c r="S847" i="4"/>
  <c r="T847" i="4" s="1"/>
  <c r="S848" i="4"/>
  <c r="T848" i="4" s="1"/>
  <c r="S849" i="4"/>
  <c r="T849" i="4" s="1"/>
  <c r="S850" i="4"/>
  <c r="T850" i="4" s="1"/>
  <c r="S851" i="4"/>
  <c r="T851" i="4" s="1"/>
  <c r="S852" i="4"/>
  <c r="T852" i="4" s="1"/>
  <c r="S853" i="4"/>
  <c r="T853" i="4" s="1"/>
  <c r="S854" i="4"/>
  <c r="T854" i="4" s="1"/>
  <c r="S855" i="4"/>
  <c r="T855" i="4" s="1"/>
  <c r="S856" i="4"/>
  <c r="T856" i="4" s="1"/>
  <c r="S857" i="4"/>
  <c r="T857" i="4" s="1"/>
  <c r="S858" i="4"/>
  <c r="T858" i="4" s="1"/>
  <c r="S859" i="4"/>
  <c r="T859" i="4" s="1"/>
  <c r="S860" i="4"/>
  <c r="T860" i="4" s="1"/>
  <c r="S861" i="4"/>
  <c r="T861" i="4" s="1"/>
  <c r="S862" i="4"/>
  <c r="T862" i="4" s="1"/>
  <c r="S863" i="4"/>
  <c r="T863" i="4" s="1"/>
  <c r="S864" i="4"/>
  <c r="S865" i="4"/>
  <c r="T865" i="4" s="1"/>
  <c r="S866" i="4"/>
  <c r="T866" i="4" s="1"/>
  <c r="S867" i="4"/>
  <c r="T867" i="4" s="1"/>
  <c r="S868" i="4"/>
  <c r="T868" i="4" s="1"/>
  <c r="S869" i="4"/>
  <c r="T869" i="4" s="1"/>
  <c r="S870" i="4"/>
  <c r="T870" i="4" s="1"/>
  <c r="S871" i="4"/>
  <c r="T871" i="4" s="1"/>
  <c r="S872" i="4"/>
  <c r="T872" i="4" s="1"/>
  <c r="S873" i="4"/>
  <c r="T873" i="4" s="1"/>
  <c r="S874" i="4"/>
  <c r="T874" i="4" s="1"/>
  <c r="S875" i="4"/>
  <c r="T875" i="4" s="1"/>
  <c r="S876" i="4"/>
  <c r="T876" i="4" s="1"/>
  <c r="S877" i="4"/>
  <c r="T877" i="4" s="1"/>
  <c r="S878" i="4"/>
  <c r="T878" i="4" s="1"/>
  <c r="S879" i="4"/>
  <c r="T879" i="4" s="1"/>
  <c r="S880" i="4"/>
  <c r="T880" i="4" s="1"/>
  <c r="S881" i="4"/>
  <c r="T881" i="4" s="1"/>
  <c r="S882" i="4"/>
  <c r="T882" i="4" s="1"/>
  <c r="S883" i="4"/>
  <c r="T883" i="4" s="1"/>
  <c r="S884" i="4"/>
  <c r="T884" i="4" s="1"/>
  <c r="S885" i="4"/>
  <c r="T885" i="4" s="1"/>
  <c r="S886" i="4"/>
  <c r="T886" i="4" s="1"/>
  <c r="S887" i="4"/>
  <c r="T887" i="4" s="1"/>
  <c r="S888" i="4"/>
  <c r="T888" i="4" s="1"/>
  <c r="S889" i="4"/>
  <c r="T889" i="4" s="1"/>
  <c r="S890" i="4"/>
  <c r="T890" i="4" s="1"/>
  <c r="S891" i="4"/>
  <c r="T891" i="4" s="1"/>
  <c r="S892" i="4"/>
  <c r="T892" i="4" s="1"/>
  <c r="S893" i="4"/>
  <c r="T893" i="4" s="1"/>
  <c r="S894" i="4"/>
  <c r="T894" i="4" s="1"/>
  <c r="S895" i="4"/>
  <c r="T895" i="4" s="1"/>
  <c r="S896" i="4"/>
  <c r="T896" i="4" s="1"/>
  <c r="S897" i="4"/>
  <c r="T897" i="4" s="1"/>
  <c r="S898" i="4"/>
  <c r="T898" i="4" s="1"/>
  <c r="S899" i="4"/>
  <c r="T899" i="4" s="1"/>
  <c r="S900" i="4"/>
  <c r="T900" i="4" s="1"/>
  <c r="S901" i="4"/>
  <c r="T901" i="4" s="1"/>
  <c r="S902" i="4"/>
  <c r="T902" i="4" s="1"/>
  <c r="S903" i="4"/>
  <c r="T903" i="4" s="1"/>
  <c r="S904" i="4"/>
  <c r="T904" i="4" s="1"/>
  <c r="S905" i="4"/>
  <c r="T905" i="4" s="1"/>
  <c r="S906" i="4"/>
  <c r="T906" i="4" s="1"/>
  <c r="S907" i="4"/>
  <c r="T907" i="4" s="1"/>
  <c r="S908" i="4"/>
  <c r="T908" i="4" s="1"/>
  <c r="S909" i="4"/>
  <c r="T909" i="4" s="1"/>
  <c r="S910" i="4"/>
  <c r="T910" i="4" s="1"/>
  <c r="S911" i="4"/>
  <c r="T911" i="4" s="1"/>
  <c r="S912" i="4"/>
  <c r="T912" i="4" s="1"/>
  <c r="S913" i="4"/>
  <c r="T913" i="4" s="1"/>
  <c r="S914" i="4"/>
  <c r="T914" i="4" s="1"/>
  <c r="S915" i="4"/>
  <c r="T915" i="4" s="1"/>
  <c r="S916" i="4"/>
  <c r="T916" i="4" s="1"/>
  <c r="S917" i="4"/>
  <c r="T917" i="4" s="1"/>
  <c r="S918" i="4"/>
  <c r="T918" i="4" s="1"/>
  <c r="S919" i="4"/>
  <c r="T919" i="4" s="1"/>
  <c r="S920" i="4"/>
  <c r="T920" i="4" s="1"/>
  <c r="S921" i="4"/>
  <c r="T921" i="4" s="1"/>
  <c r="S922" i="4"/>
  <c r="T922" i="4" s="1"/>
  <c r="S923" i="4"/>
  <c r="T923" i="4" s="1"/>
  <c r="S924" i="4"/>
  <c r="T924" i="4" s="1"/>
  <c r="S925" i="4"/>
  <c r="T925" i="4" s="1"/>
  <c r="S926" i="4"/>
  <c r="T926" i="4" s="1"/>
  <c r="S927" i="4"/>
  <c r="T927" i="4" s="1"/>
  <c r="S928" i="4"/>
  <c r="T928" i="4" s="1"/>
  <c r="S929" i="4"/>
  <c r="T929" i="4" s="1"/>
  <c r="S930" i="4"/>
  <c r="T930" i="4" s="1"/>
  <c r="S931" i="4"/>
  <c r="T931" i="4" s="1"/>
  <c r="S932" i="4"/>
  <c r="T932" i="4" s="1"/>
  <c r="S933" i="4"/>
  <c r="T933" i="4" s="1"/>
  <c r="S934" i="4"/>
  <c r="T934" i="4" s="1"/>
  <c r="S935" i="4"/>
  <c r="S936" i="4"/>
  <c r="T936" i="4" s="1"/>
  <c r="S937" i="4"/>
  <c r="T937" i="4" s="1"/>
  <c r="S938" i="4"/>
  <c r="T938" i="4" s="1"/>
  <c r="S939" i="4"/>
  <c r="T939" i="4" s="1"/>
  <c r="S940" i="4"/>
  <c r="T940" i="4" s="1"/>
  <c r="S941" i="4"/>
  <c r="T941" i="4" s="1"/>
  <c r="S942" i="4"/>
  <c r="T942" i="4" s="1"/>
  <c r="S943" i="4"/>
  <c r="T943" i="4" s="1"/>
  <c r="S944" i="4"/>
  <c r="T944" i="4" s="1"/>
  <c r="S945" i="4"/>
  <c r="T945" i="4" s="1"/>
  <c r="S946" i="4"/>
  <c r="T946" i="4" s="1"/>
  <c r="S947" i="4"/>
  <c r="T947" i="4" s="1"/>
  <c r="S948" i="4"/>
  <c r="T948" i="4" s="1"/>
  <c r="S949" i="4"/>
  <c r="T949" i="4" s="1"/>
  <c r="S950" i="4"/>
  <c r="T950" i="4" s="1"/>
  <c r="S951" i="4"/>
  <c r="T951" i="4" s="1"/>
  <c r="S952" i="4"/>
  <c r="T952" i="4" s="1"/>
  <c r="S953" i="4"/>
  <c r="T953" i="4" s="1"/>
  <c r="S954" i="4"/>
  <c r="T954" i="4" s="1"/>
  <c r="S955" i="4"/>
  <c r="T955" i="4" s="1"/>
  <c r="S956" i="4"/>
  <c r="T956" i="4" s="1"/>
  <c r="S957" i="4"/>
  <c r="T957" i="4" s="1"/>
  <c r="S958" i="4"/>
  <c r="T958" i="4" s="1"/>
  <c r="S959" i="4"/>
  <c r="T959" i="4" s="1"/>
  <c r="S960" i="4"/>
  <c r="T960" i="4" s="1"/>
  <c r="S961" i="4"/>
  <c r="T961" i="4" s="1"/>
  <c r="S962" i="4"/>
  <c r="T962" i="4" s="1"/>
  <c r="S963" i="4"/>
  <c r="T963" i="4" s="1"/>
  <c r="S964" i="4"/>
  <c r="T964" i="4" s="1"/>
  <c r="S965" i="4"/>
  <c r="T965" i="4" s="1"/>
  <c r="S966" i="4"/>
  <c r="T966" i="4" s="1"/>
  <c r="S967" i="4"/>
  <c r="T967" i="4" s="1"/>
  <c r="S968" i="4"/>
  <c r="T968" i="4" s="1"/>
  <c r="S969" i="4"/>
  <c r="T969" i="4" s="1"/>
  <c r="S970" i="4"/>
  <c r="T970" i="4" s="1"/>
  <c r="S971" i="4"/>
  <c r="T971" i="4" s="1"/>
  <c r="S972" i="4"/>
  <c r="T972" i="4" s="1"/>
  <c r="S973" i="4"/>
  <c r="T973" i="4" s="1"/>
  <c r="S974" i="4"/>
  <c r="T974" i="4" s="1"/>
  <c r="S975" i="4"/>
  <c r="T975" i="4" s="1"/>
  <c r="S976" i="4"/>
  <c r="T976" i="4" s="1"/>
  <c r="S977" i="4"/>
  <c r="T977" i="4" s="1"/>
  <c r="S978" i="4"/>
  <c r="T978" i="4" s="1"/>
  <c r="S979" i="4"/>
  <c r="T979" i="4" s="1"/>
  <c r="S980" i="4"/>
  <c r="T980" i="4" s="1"/>
  <c r="S981" i="4"/>
  <c r="T981" i="4" s="1"/>
  <c r="S982" i="4"/>
  <c r="T982" i="4" s="1"/>
  <c r="S983" i="4"/>
  <c r="T983" i="4" s="1"/>
  <c r="S984" i="4"/>
  <c r="T984" i="4" s="1"/>
  <c r="S985" i="4"/>
  <c r="T985" i="4" s="1"/>
  <c r="S986" i="4"/>
  <c r="T986" i="4" s="1"/>
  <c r="S987" i="4"/>
  <c r="T987" i="4" s="1"/>
  <c r="S988" i="4"/>
  <c r="T988" i="4" s="1"/>
  <c r="S989" i="4"/>
  <c r="T989" i="4" s="1"/>
  <c r="S990" i="4"/>
  <c r="T990" i="4" s="1"/>
  <c r="S991" i="4"/>
  <c r="T991" i="4" s="1"/>
  <c r="S992" i="4"/>
  <c r="T992" i="4" s="1"/>
  <c r="S993" i="4"/>
  <c r="T993" i="4" s="1"/>
  <c r="S994" i="4"/>
  <c r="T994" i="4" s="1"/>
  <c r="S995" i="4"/>
  <c r="T995" i="4" s="1"/>
  <c r="S996" i="4"/>
  <c r="T996" i="4" s="1"/>
  <c r="S997" i="4"/>
  <c r="T997" i="4" s="1"/>
  <c r="S998" i="4"/>
  <c r="T998" i="4" s="1"/>
  <c r="S999" i="4"/>
  <c r="T999" i="4" s="1"/>
  <c r="S1000" i="4"/>
  <c r="T1000" i="4" s="1"/>
  <c r="S1001" i="4"/>
  <c r="T1001" i="4" s="1"/>
  <c r="S1002" i="4"/>
  <c r="T1002" i="4" s="1"/>
  <c r="S1003" i="4"/>
  <c r="T1003" i="4" s="1"/>
  <c r="S1004" i="4"/>
  <c r="T1004" i="4" s="1"/>
  <c r="S1005" i="4"/>
  <c r="T1005" i="4" s="1"/>
  <c r="S1006" i="4"/>
  <c r="T1006" i="4" s="1"/>
  <c r="S1007" i="4"/>
  <c r="T1007" i="4" s="1"/>
  <c r="S1008" i="4"/>
  <c r="T1008" i="4" s="1"/>
  <c r="S1009" i="4"/>
  <c r="T1009" i="4" s="1"/>
  <c r="S1010" i="4"/>
  <c r="T1010" i="4" s="1"/>
  <c r="S1011" i="4"/>
  <c r="T1011" i="4" s="1"/>
  <c r="S1012" i="4"/>
  <c r="T1012" i="4" s="1"/>
  <c r="S1013" i="4"/>
  <c r="T1013" i="4" s="1"/>
  <c r="S1014" i="4"/>
  <c r="T1014" i="4" s="1"/>
  <c r="S1015" i="4"/>
  <c r="T1015" i="4" s="1"/>
  <c r="S1016" i="4"/>
  <c r="T1016" i="4" s="1"/>
  <c r="S1017" i="4"/>
  <c r="T1017" i="4" s="1"/>
  <c r="S1018" i="4"/>
  <c r="T1018" i="4" s="1"/>
  <c r="S1019" i="4"/>
  <c r="T1019" i="4" s="1"/>
  <c r="S1020" i="4"/>
  <c r="T1020" i="4" s="1"/>
  <c r="S1021" i="4"/>
  <c r="T1021" i="4" s="1"/>
  <c r="S1022" i="4"/>
  <c r="T1022" i="4" s="1"/>
  <c r="S1023" i="4"/>
  <c r="T1023" i="4" s="1"/>
  <c r="S1024" i="4"/>
  <c r="T1024" i="4" s="1"/>
  <c r="S1025" i="4"/>
  <c r="T1025" i="4" s="1"/>
  <c r="S1026" i="4"/>
  <c r="T1026" i="4" s="1"/>
  <c r="S1027" i="4"/>
  <c r="T1027" i="4" s="1"/>
  <c r="S1028" i="4"/>
  <c r="T1028" i="4" s="1"/>
  <c r="S1029" i="4"/>
  <c r="T1029" i="4" s="1"/>
  <c r="S1030" i="4"/>
  <c r="T1030" i="4" s="1"/>
  <c r="S1031" i="4"/>
  <c r="T1031" i="4" s="1"/>
  <c r="S1032" i="4"/>
  <c r="T1032" i="4" s="1"/>
  <c r="S1033" i="4"/>
  <c r="T1033" i="4" s="1"/>
  <c r="S1034" i="4"/>
  <c r="T1034" i="4" s="1"/>
  <c r="S1035" i="4"/>
  <c r="T1035" i="4" s="1"/>
  <c r="S1036" i="4"/>
  <c r="T1036" i="4" s="1"/>
  <c r="S1037" i="4"/>
  <c r="T1037" i="4" s="1"/>
  <c r="S1038" i="4"/>
  <c r="T1038" i="4" s="1"/>
  <c r="S1039" i="4"/>
  <c r="T1039" i="4" s="1"/>
  <c r="S1040" i="4"/>
  <c r="T1040" i="4" s="1"/>
  <c r="S1041" i="4"/>
  <c r="T1041" i="4" s="1"/>
  <c r="S1042" i="4"/>
  <c r="T1042" i="4" s="1"/>
  <c r="S1043" i="4"/>
  <c r="T1043" i="4" s="1"/>
  <c r="S1044" i="4"/>
  <c r="T1044" i="4" s="1"/>
  <c r="S1045" i="4"/>
  <c r="T1045" i="4" s="1"/>
  <c r="S1046" i="4"/>
  <c r="T1046" i="4" s="1"/>
  <c r="S1047" i="4"/>
  <c r="T1047" i="4" s="1"/>
  <c r="S1048" i="4"/>
  <c r="T1048" i="4" s="1"/>
  <c r="S1049" i="4"/>
  <c r="T1049" i="4" s="1"/>
  <c r="S1050" i="4"/>
  <c r="T1050" i="4" s="1"/>
  <c r="S1051" i="4"/>
  <c r="T1051" i="4" s="1"/>
  <c r="S1052" i="4"/>
  <c r="T1052" i="4" s="1"/>
  <c r="S1053" i="4"/>
  <c r="T1053" i="4" s="1"/>
  <c r="S1054" i="4"/>
  <c r="T1054" i="4" s="1"/>
  <c r="S1055" i="4"/>
  <c r="T1055" i="4" s="1"/>
  <c r="S1056" i="4"/>
  <c r="T1056" i="4" s="1"/>
  <c r="S1057" i="4"/>
  <c r="T1057" i="4" s="1"/>
  <c r="S1058" i="4"/>
  <c r="T1058" i="4" s="1"/>
  <c r="S1059" i="4"/>
  <c r="T1059" i="4" s="1"/>
  <c r="S1060" i="4"/>
  <c r="T1060" i="4" s="1"/>
  <c r="S1061" i="4"/>
  <c r="T1061" i="4" s="1"/>
  <c r="S1062" i="4"/>
  <c r="T1062" i="4" s="1"/>
  <c r="S1063" i="4"/>
  <c r="T1063" i="4" s="1"/>
  <c r="S1064" i="4"/>
  <c r="T1064" i="4" s="1"/>
  <c r="S1065" i="4"/>
  <c r="T1065" i="4" s="1"/>
  <c r="S1066" i="4"/>
  <c r="T1066" i="4" s="1"/>
  <c r="S1067" i="4"/>
  <c r="T1067" i="4" s="1"/>
  <c r="S1068" i="4"/>
  <c r="T1068" i="4" s="1"/>
  <c r="S1069" i="4"/>
  <c r="T1069" i="4" s="1"/>
  <c r="S1070" i="4"/>
  <c r="T1070" i="4" s="1"/>
  <c r="S1071" i="4"/>
  <c r="T1071" i="4" s="1"/>
  <c r="S1072" i="4"/>
  <c r="T1072" i="4" s="1"/>
  <c r="S1073" i="4"/>
  <c r="T1073" i="4" s="1"/>
  <c r="S1074" i="4"/>
  <c r="T1074" i="4" s="1"/>
  <c r="S1075" i="4"/>
  <c r="T1075" i="4" s="1"/>
  <c r="S1076" i="4"/>
  <c r="T1076" i="4" s="1"/>
  <c r="S1077" i="4"/>
  <c r="T1077" i="4" s="1"/>
  <c r="S1078" i="4"/>
  <c r="T1078" i="4" s="1"/>
  <c r="S1079" i="4"/>
  <c r="T1079" i="4" s="1"/>
  <c r="S1080" i="4"/>
  <c r="T1080" i="4" s="1"/>
  <c r="S1081" i="4"/>
  <c r="T1081" i="4" s="1"/>
  <c r="S1082" i="4"/>
  <c r="T1082" i="4" s="1"/>
  <c r="S1083" i="4"/>
  <c r="T1083" i="4" s="1"/>
  <c r="S1084" i="4"/>
  <c r="T1084" i="4" s="1"/>
  <c r="S1085" i="4"/>
  <c r="T1085" i="4" s="1"/>
  <c r="S1086" i="4"/>
  <c r="T1086" i="4" s="1"/>
  <c r="S1087" i="4"/>
  <c r="T1087" i="4" s="1"/>
  <c r="S1088" i="4"/>
  <c r="T1088" i="4" s="1"/>
  <c r="S1089" i="4"/>
  <c r="T1089" i="4" s="1"/>
  <c r="S1090" i="4"/>
  <c r="T1090" i="4" s="1"/>
  <c r="S1091" i="4"/>
  <c r="T1091" i="4" s="1"/>
  <c r="S1092" i="4"/>
  <c r="T1092" i="4" s="1"/>
  <c r="S1093" i="4"/>
  <c r="T1093" i="4" s="1"/>
  <c r="S1094" i="4"/>
  <c r="T1094" i="4" s="1"/>
  <c r="S1095" i="4"/>
  <c r="T1095" i="4" s="1"/>
  <c r="S1096" i="4"/>
  <c r="T1096" i="4" s="1"/>
  <c r="S1097" i="4"/>
  <c r="T1097" i="4" s="1"/>
  <c r="S1098" i="4"/>
  <c r="T1098" i="4" s="1"/>
  <c r="S1099" i="4"/>
  <c r="T1099" i="4" s="1"/>
  <c r="S1100" i="4"/>
  <c r="T1100" i="4" s="1"/>
  <c r="S1101" i="4"/>
  <c r="T1101" i="4" s="1"/>
  <c r="S1102" i="4"/>
  <c r="T1102" i="4" s="1"/>
  <c r="S1103" i="4"/>
  <c r="T1103" i="4" s="1"/>
  <c r="S1104" i="4"/>
  <c r="T1104" i="4" s="1"/>
  <c r="S1105" i="4"/>
  <c r="T1105" i="4" s="1"/>
  <c r="S1106" i="4"/>
  <c r="T1106" i="4" s="1"/>
  <c r="S1107" i="4"/>
  <c r="T1107" i="4" s="1"/>
  <c r="S1108" i="4"/>
  <c r="T1108" i="4" s="1"/>
  <c r="S1109" i="4"/>
  <c r="T1109" i="4" s="1"/>
  <c r="S1110" i="4"/>
  <c r="T1110" i="4" s="1"/>
  <c r="S1111" i="4"/>
  <c r="T1111" i="4" s="1"/>
  <c r="S1112" i="4"/>
  <c r="T1112" i="4" s="1"/>
  <c r="S1113" i="4"/>
  <c r="T1113" i="4" s="1"/>
  <c r="S1114" i="4"/>
  <c r="T1114" i="4" s="1"/>
  <c r="S1115" i="4"/>
  <c r="T1115" i="4" s="1"/>
  <c r="S1116" i="4"/>
  <c r="T1116" i="4" s="1"/>
  <c r="S1117" i="4"/>
  <c r="T1117" i="4" s="1"/>
  <c r="S1118" i="4"/>
  <c r="T1118" i="4" s="1"/>
  <c r="S1119" i="4"/>
  <c r="T1119" i="4" s="1"/>
  <c r="S1120" i="4"/>
  <c r="T1120" i="4" s="1"/>
  <c r="S1121" i="4"/>
  <c r="T1121" i="4" s="1"/>
  <c r="S1122" i="4"/>
  <c r="T1122" i="4" s="1"/>
  <c r="S1123" i="4"/>
  <c r="T1123" i="4" s="1"/>
  <c r="S1124" i="4"/>
  <c r="T1124" i="4" s="1"/>
  <c r="S1125" i="4"/>
  <c r="T1125" i="4" s="1"/>
  <c r="S1126" i="4"/>
  <c r="T1126" i="4" s="1"/>
  <c r="S1127" i="4"/>
  <c r="T1127" i="4" s="1"/>
  <c r="S1128" i="4"/>
  <c r="T1128" i="4" s="1"/>
  <c r="S1129" i="4"/>
  <c r="T1129" i="4" s="1"/>
  <c r="S1130" i="4"/>
  <c r="T1130" i="4" s="1"/>
  <c r="S1131" i="4"/>
  <c r="T1131" i="4" s="1"/>
  <c r="S1132" i="4"/>
  <c r="T1132" i="4" s="1"/>
  <c r="S1133" i="4"/>
  <c r="T1133" i="4" s="1"/>
  <c r="S1134" i="4"/>
  <c r="T1134" i="4" s="1"/>
  <c r="S1135" i="4"/>
  <c r="T1135" i="4" s="1"/>
  <c r="S1136" i="4"/>
  <c r="T1136" i="4" s="1"/>
  <c r="S1137" i="4"/>
  <c r="T1137" i="4" s="1"/>
  <c r="S1138" i="4"/>
  <c r="T1138" i="4" s="1"/>
  <c r="S1139" i="4"/>
  <c r="T1139" i="4" s="1"/>
  <c r="S1140" i="4"/>
  <c r="T1140" i="4" s="1"/>
  <c r="S1141" i="4"/>
  <c r="T1141" i="4" s="1"/>
  <c r="S1142" i="4"/>
  <c r="T1142" i="4" s="1"/>
  <c r="S1143" i="4"/>
  <c r="T1143" i="4" s="1"/>
  <c r="S1144" i="4"/>
  <c r="T1144" i="4" s="1"/>
  <c r="S1145" i="4"/>
  <c r="T1145" i="4" s="1"/>
  <c r="S1146" i="4"/>
  <c r="T1146" i="4" s="1"/>
  <c r="S1147" i="4"/>
  <c r="T1147" i="4" s="1"/>
  <c r="S1148" i="4"/>
  <c r="T1148" i="4" s="1"/>
  <c r="S1149" i="4"/>
  <c r="T1149" i="4" s="1"/>
  <c r="S1150" i="4"/>
  <c r="T1150" i="4" s="1"/>
  <c r="S1151" i="4"/>
  <c r="T1151" i="4" s="1"/>
  <c r="S1152" i="4"/>
  <c r="T1152" i="4" s="1"/>
  <c r="S1153" i="4"/>
  <c r="T1153" i="4" s="1"/>
  <c r="S1154" i="4"/>
  <c r="T1154" i="4" s="1"/>
  <c r="S1155" i="4"/>
  <c r="T1155" i="4" s="1"/>
  <c r="S1156" i="4"/>
  <c r="T1156" i="4" s="1"/>
  <c r="S1157" i="4"/>
  <c r="T1157" i="4" s="1"/>
  <c r="S1158" i="4"/>
  <c r="T1158" i="4" s="1"/>
  <c r="S1159" i="4"/>
  <c r="T1159" i="4" s="1"/>
  <c r="S1160" i="4"/>
  <c r="T1160" i="4" s="1"/>
  <c r="S1161" i="4"/>
  <c r="T1161" i="4" s="1"/>
  <c r="S1162" i="4"/>
  <c r="T1162" i="4" s="1"/>
  <c r="S1163" i="4"/>
  <c r="T1163" i="4" s="1"/>
  <c r="S1164" i="4"/>
  <c r="T1164" i="4" s="1"/>
  <c r="S1165" i="4"/>
  <c r="T1165" i="4" s="1"/>
  <c r="S1166" i="4"/>
  <c r="T1166" i="4" s="1"/>
  <c r="S1167" i="4"/>
  <c r="T1167" i="4" s="1"/>
  <c r="S1168" i="4"/>
  <c r="T1168" i="4" s="1"/>
  <c r="S1169" i="4"/>
  <c r="T1169" i="4" s="1"/>
  <c r="S1170" i="4"/>
  <c r="T1170" i="4" s="1"/>
  <c r="S1171" i="4"/>
  <c r="T1171" i="4" s="1"/>
  <c r="S1172" i="4"/>
  <c r="T1172" i="4" s="1"/>
  <c r="S1173" i="4"/>
  <c r="T1173" i="4" s="1"/>
  <c r="S1174" i="4"/>
  <c r="T1174" i="4" s="1"/>
  <c r="S1175" i="4"/>
  <c r="T1175" i="4" s="1"/>
  <c r="S1176" i="4"/>
  <c r="T1176" i="4" s="1"/>
  <c r="S1177" i="4"/>
  <c r="T1177" i="4" s="1"/>
  <c r="S1178" i="4"/>
  <c r="T1178" i="4" s="1"/>
  <c r="S1179" i="4"/>
  <c r="T1179" i="4" s="1"/>
  <c r="S1180" i="4"/>
  <c r="T1180" i="4" s="1"/>
  <c r="S1181" i="4"/>
  <c r="T1181" i="4" s="1"/>
  <c r="S1182" i="4"/>
  <c r="T1182" i="4" s="1"/>
  <c r="S1183" i="4"/>
  <c r="T1183" i="4" s="1"/>
  <c r="S1184" i="4"/>
  <c r="T1184" i="4" s="1"/>
  <c r="S1185" i="4"/>
  <c r="T1185" i="4" s="1"/>
  <c r="S1186" i="4"/>
  <c r="T1186" i="4" s="1"/>
  <c r="S1187" i="4"/>
  <c r="T1187" i="4" s="1"/>
  <c r="S1188" i="4"/>
  <c r="T1188" i="4" s="1"/>
  <c r="S1189" i="4"/>
  <c r="T1189" i="4" s="1"/>
  <c r="S1190" i="4"/>
  <c r="T1190" i="4" s="1"/>
  <c r="S1191" i="4"/>
  <c r="T1191" i="4" s="1"/>
  <c r="S1192" i="4"/>
  <c r="T1192" i="4" s="1"/>
  <c r="S1193" i="4"/>
  <c r="T1193" i="4" s="1"/>
  <c r="S1194" i="4"/>
  <c r="T1194" i="4" s="1"/>
  <c r="S1195" i="4"/>
  <c r="T1195" i="4" s="1"/>
  <c r="S1196" i="4"/>
  <c r="T1196" i="4" s="1"/>
  <c r="S1197" i="4"/>
  <c r="T1197" i="4" s="1"/>
  <c r="S1198" i="4"/>
  <c r="T1198" i="4" s="1"/>
  <c r="S1199" i="4"/>
  <c r="T1199" i="4" s="1"/>
  <c r="S1200" i="4"/>
  <c r="T1200" i="4" s="1"/>
  <c r="S1201" i="4"/>
  <c r="T1201" i="4" s="1"/>
  <c r="S1202" i="4"/>
  <c r="T1202" i="4" s="1"/>
  <c r="S1203" i="4"/>
  <c r="T1203" i="4" s="1"/>
  <c r="S1204" i="4"/>
  <c r="T1204" i="4" s="1"/>
  <c r="S1205" i="4"/>
  <c r="T1205" i="4" s="1"/>
  <c r="S1206" i="4"/>
  <c r="T1206" i="4" s="1"/>
  <c r="S1207" i="4"/>
  <c r="T1207" i="4" s="1"/>
  <c r="S1208" i="4"/>
  <c r="T1208" i="4" s="1"/>
  <c r="S1209" i="4"/>
  <c r="T1209" i="4" s="1"/>
  <c r="S1210" i="4"/>
  <c r="T1210" i="4" s="1"/>
  <c r="S1211" i="4"/>
  <c r="T1211" i="4" s="1"/>
  <c r="S1212" i="4"/>
  <c r="T1212" i="4" s="1"/>
  <c r="S1213" i="4"/>
  <c r="T1213" i="4" s="1"/>
  <c r="S1214" i="4"/>
  <c r="T1214" i="4" s="1"/>
  <c r="S1215" i="4"/>
  <c r="T1215" i="4" s="1"/>
  <c r="S1216" i="4"/>
  <c r="T1216" i="4" s="1"/>
  <c r="S1217" i="4"/>
  <c r="T1217" i="4" s="1"/>
  <c r="S1218" i="4"/>
  <c r="T1218" i="4" s="1"/>
  <c r="S1219" i="4"/>
  <c r="T1219" i="4" s="1"/>
  <c r="S1220" i="4"/>
  <c r="T1220" i="4" s="1"/>
  <c r="S1221" i="4"/>
  <c r="T1221" i="4" s="1"/>
  <c r="S1222" i="4"/>
  <c r="T1222" i="4" s="1"/>
  <c r="S1223" i="4"/>
  <c r="T1223" i="4" s="1"/>
  <c r="S1224" i="4"/>
  <c r="T1224" i="4" s="1"/>
  <c r="S1225" i="4"/>
  <c r="T1225" i="4" s="1"/>
  <c r="S1226" i="4"/>
  <c r="T1226" i="4" s="1"/>
  <c r="S1227" i="4"/>
  <c r="T1227" i="4" s="1"/>
  <c r="S1228" i="4"/>
  <c r="T1228" i="4" s="1"/>
  <c r="S1229" i="4"/>
  <c r="T1229" i="4" s="1"/>
  <c r="S1230" i="4"/>
  <c r="T1230" i="4" s="1"/>
  <c r="S1231" i="4"/>
  <c r="T1231" i="4" s="1"/>
  <c r="S1232" i="4"/>
  <c r="T1232" i="4" s="1"/>
  <c r="S1233" i="4"/>
  <c r="T1233" i="4" s="1"/>
  <c r="S1234" i="4"/>
  <c r="T1234" i="4" s="1"/>
  <c r="S1235" i="4"/>
  <c r="T1235" i="4" s="1"/>
  <c r="S1236" i="4"/>
  <c r="T1236" i="4" s="1"/>
  <c r="S1237" i="4"/>
  <c r="T1237" i="4" s="1"/>
  <c r="S1238" i="4"/>
  <c r="T1238" i="4" s="1"/>
  <c r="S1239" i="4"/>
  <c r="T1239" i="4" s="1"/>
  <c r="S1240" i="4"/>
  <c r="T1240" i="4" s="1"/>
  <c r="S1241" i="4"/>
  <c r="T1241" i="4" s="1"/>
  <c r="S1242" i="4"/>
  <c r="T1242" i="4" s="1"/>
  <c r="S1243" i="4"/>
  <c r="T1243" i="4" s="1"/>
  <c r="S1244" i="4"/>
  <c r="T1244" i="4" s="1"/>
  <c r="S1245" i="4"/>
  <c r="T1245" i="4" s="1"/>
  <c r="S1246" i="4"/>
  <c r="T1246" i="4" s="1"/>
  <c r="S1247" i="4"/>
  <c r="T1247" i="4" s="1"/>
  <c r="S1248" i="4"/>
  <c r="T1248" i="4" s="1"/>
  <c r="S1249" i="4"/>
  <c r="T1249" i="4" s="1"/>
  <c r="S1250" i="4"/>
  <c r="T1250" i="4" s="1"/>
  <c r="S1251" i="4"/>
  <c r="T1251" i="4" s="1"/>
  <c r="S1252" i="4"/>
  <c r="T1252" i="4" s="1"/>
  <c r="S1253" i="4"/>
  <c r="T1253" i="4" s="1"/>
  <c r="S1254" i="4"/>
  <c r="T1254" i="4" s="1"/>
  <c r="S1255" i="4"/>
  <c r="T1255" i="4" s="1"/>
  <c r="S1256" i="4"/>
  <c r="T1256" i="4" s="1"/>
  <c r="S1257" i="4"/>
  <c r="T1257" i="4" s="1"/>
  <c r="S1258" i="4"/>
  <c r="T1258" i="4" s="1"/>
  <c r="S1259" i="4"/>
  <c r="T1259" i="4" s="1"/>
  <c r="S1260" i="4"/>
  <c r="T1260" i="4" s="1"/>
  <c r="S1261" i="4"/>
  <c r="T1261" i="4" s="1"/>
  <c r="S1262" i="4"/>
  <c r="T1262" i="4" s="1"/>
  <c r="S1263" i="4"/>
  <c r="T1263" i="4" s="1"/>
  <c r="S1264" i="4"/>
  <c r="T1264" i="4" s="1"/>
  <c r="S1265" i="4"/>
  <c r="T1265" i="4" s="1"/>
  <c r="S1266" i="4"/>
  <c r="T1266" i="4" s="1"/>
  <c r="S1267" i="4"/>
  <c r="T1267" i="4" s="1"/>
  <c r="S1268" i="4"/>
  <c r="T1268" i="4" s="1"/>
  <c r="S1269" i="4"/>
  <c r="T1269" i="4" s="1"/>
  <c r="S1270" i="4"/>
  <c r="T1270" i="4" s="1"/>
  <c r="S1271" i="4"/>
  <c r="T1271" i="4" s="1"/>
  <c r="S1272" i="4"/>
  <c r="T1272" i="4" s="1"/>
  <c r="S1273" i="4"/>
  <c r="T1273" i="4" s="1"/>
  <c r="S1274" i="4"/>
  <c r="T1274" i="4" s="1"/>
  <c r="S1275" i="4"/>
  <c r="T1275" i="4" s="1"/>
  <c r="S1276" i="4"/>
  <c r="T1276" i="4" s="1"/>
  <c r="S1277" i="4"/>
  <c r="T1277" i="4" s="1"/>
  <c r="S1278" i="4"/>
  <c r="T1278" i="4" s="1"/>
  <c r="S1279" i="4"/>
  <c r="T1279" i="4" s="1"/>
  <c r="S1280" i="4"/>
  <c r="T1280" i="4" s="1"/>
  <c r="S1281" i="4"/>
  <c r="T1281" i="4" s="1"/>
  <c r="S1282" i="4"/>
  <c r="T1282" i="4" s="1"/>
  <c r="S1283" i="4"/>
  <c r="T1283" i="4" s="1"/>
  <c r="S1284" i="4"/>
  <c r="T1284" i="4" s="1"/>
  <c r="S1285" i="4"/>
  <c r="T1285" i="4" s="1"/>
  <c r="S1286" i="4"/>
  <c r="T1286" i="4" s="1"/>
  <c r="S1287" i="4"/>
  <c r="T1287" i="4" s="1"/>
  <c r="S1288" i="4"/>
  <c r="T1288" i="4" s="1"/>
  <c r="S1289" i="4"/>
  <c r="T1289" i="4" s="1"/>
  <c r="S1290" i="4"/>
  <c r="T1290" i="4" s="1"/>
  <c r="S1291" i="4"/>
  <c r="T1291" i="4" s="1"/>
  <c r="S1292" i="4"/>
  <c r="T1292" i="4" s="1"/>
  <c r="S1293" i="4"/>
  <c r="T1293" i="4" s="1"/>
  <c r="S1294" i="4"/>
  <c r="T1294" i="4" s="1"/>
  <c r="S1295" i="4"/>
  <c r="T1295" i="4" s="1"/>
  <c r="S1296" i="4"/>
  <c r="T1296" i="4" s="1"/>
  <c r="S1297" i="4"/>
  <c r="T1297" i="4" s="1"/>
  <c r="S1298" i="4"/>
  <c r="T1298" i="4" s="1"/>
  <c r="S1299" i="4"/>
  <c r="T1299" i="4" s="1"/>
  <c r="S1300" i="4"/>
  <c r="T1300" i="4" s="1"/>
  <c r="S1301" i="4"/>
  <c r="T1301" i="4" s="1"/>
  <c r="S1302" i="4"/>
  <c r="T1302" i="4" s="1"/>
  <c r="S1303" i="4"/>
  <c r="T1303" i="4" s="1"/>
  <c r="S1304" i="4"/>
  <c r="T1304" i="4" s="1"/>
  <c r="S1305" i="4"/>
  <c r="T1305" i="4" s="1"/>
  <c r="S1306" i="4"/>
  <c r="T1306" i="4" s="1"/>
  <c r="S1307" i="4"/>
  <c r="T1307" i="4" s="1"/>
  <c r="S1308" i="4"/>
  <c r="T1308" i="4" s="1"/>
  <c r="S1309" i="4"/>
  <c r="T1309" i="4" s="1"/>
  <c r="S1310" i="4"/>
  <c r="T1310" i="4" s="1"/>
  <c r="S1311" i="4"/>
  <c r="T1311" i="4" s="1"/>
  <c r="S1312" i="4"/>
  <c r="T1312" i="4" s="1"/>
  <c r="S1313" i="4"/>
  <c r="T1313" i="4" s="1"/>
  <c r="S1314" i="4"/>
  <c r="T1314" i="4" s="1"/>
  <c r="S1315" i="4"/>
  <c r="T1315" i="4" s="1"/>
  <c r="S1316" i="4"/>
  <c r="T1316" i="4" s="1"/>
  <c r="S1317" i="4"/>
  <c r="T1317" i="4" s="1"/>
  <c r="S1318" i="4"/>
  <c r="T1318" i="4" s="1"/>
  <c r="S1319" i="4"/>
  <c r="T1319" i="4" s="1"/>
  <c r="S1320" i="4"/>
  <c r="T1320" i="4" s="1"/>
  <c r="S1321" i="4"/>
  <c r="T1321" i="4" s="1"/>
  <c r="S1322" i="4"/>
  <c r="T1322" i="4" s="1"/>
  <c r="S1323" i="4"/>
  <c r="T1323" i="4" s="1"/>
  <c r="S1324" i="4"/>
  <c r="T1324" i="4" s="1"/>
  <c r="S1325" i="4"/>
  <c r="T1325" i="4" s="1"/>
  <c r="S1326" i="4"/>
  <c r="T1326" i="4" s="1"/>
  <c r="S1327" i="4"/>
  <c r="T1327" i="4" s="1"/>
  <c r="S1328" i="4"/>
  <c r="T1328" i="4" s="1"/>
  <c r="S1329" i="4"/>
  <c r="T1329" i="4" s="1"/>
  <c r="S1330" i="4"/>
  <c r="T1330" i="4" s="1"/>
  <c r="S1331" i="4"/>
  <c r="T1331" i="4" s="1"/>
  <c r="S1332" i="4"/>
  <c r="T1332" i="4" s="1"/>
  <c r="S1333" i="4"/>
  <c r="T1333" i="4" s="1"/>
  <c r="S1334" i="4"/>
  <c r="T1334" i="4" s="1"/>
  <c r="S1335" i="4"/>
  <c r="T1335" i="4" s="1"/>
  <c r="S1336" i="4"/>
  <c r="T1336" i="4" s="1"/>
  <c r="S1337" i="4"/>
  <c r="T1337" i="4" s="1"/>
  <c r="S1338" i="4"/>
  <c r="T1338" i="4" s="1"/>
  <c r="S1339" i="4"/>
  <c r="T1339" i="4" s="1"/>
  <c r="S1340" i="4"/>
  <c r="T1340" i="4" s="1"/>
  <c r="S1341" i="4"/>
  <c r="T1341" i="4" s="1"/>
  <c r="S1342" i="4"/>
  <c r="T1342" i="4" s="1"/>
  <c r="S1343" i="4"/>
  <c r="T1343" i="4" s="1"/>
  <c r="S1344" i="4"/>
  <c r="T1344" i="4" s="1"/>
  <c r="S1345" i="4"/>
  <c r="T1345" i="4" s="1"/>
  <c r="S1346" i="4"/>
  <c r="T1346" i="4" s="1"/>
  <c r="S1347" i="4"/>
  <c r="T1347" i="4" s="1"/>
  <c r="S1348" i="4"/>
  <c r="T1348" i="4" s="1"/>
  <c r="S1349" i="4"/>
  <c r="T1349" i="4" s="1"/>
  <c r="S1350" i="4"/>
  <c r="T1350" i="4" s="1"/>
  <c r="S1351" i="4"/>
  <c r="T1351" i="4" s="1"/>
  <c r="S1352" i="4"/>
  <c r="T1352" i="4" s="1"/>
  <c r="S1353" i="4"/>
  <c r="T1353" i="4" s="1"/>
  <c r="S1354" i="4"/>
  <c r="T1354" i="4" s="1"/>
  <c r="S1355" i="4"/>
  <c r="T1355" i="4" s="1"/>
  <c r="S1356" i="4"/>
  <c r="T1356" i="4" s="1"/>
  <c r="S1357" i="4"/>
  <c r="T1357" i="4" s="1"/>
  <c r="S1358" i="4"/>
  <c r="T1358" i="4" s="1"/>
  <c r="S1359" i="4"/>
  <c r="T1359" i="4" s="1"/>
  <c r="S1360" i="4"/>
  <c r="T1360" i="4" s="1"/>
  <c r="S1361" i="4"/>
  <c r="T1361" i="4" s="1"/>
  <c r="S1362" i="4"/>
  <c r="T1362" i="4" s="1"/>
  <c r="S1363" i="4"/>
  <c r="T1363" i="4" s="1"/>
  <c r="S1364" i="4"/>
  <c r="T1364" i="4" s="1"/>
  <c r="S1365" i="4"/>
  <c r="T1365" i="4" s="1"/>
  <c r="S1366" i="4"/>
  <c r="T1366" i="4" s="1"/>
  <c r="S1367" i="4"/>
  <c r="T1367" i="4" s="1"/>
  <c r="S1368" i="4"/>
  <c r="T1368" i="4" s="1"/>
  <c r="S1369" i="4"/>
  <c r="T1369" i="4" s="1"/>
  <c r="S1370" i="4"/>
  <c r="T1370" i="4" s="1"/>
  <c r="S1371" i="4"/>
  <c r="T1371" i="4" s="1"/>
  <c r="S1372" i="4"/>
  <c r="T1372" i="4" s="1"/>
  <c r="S1373" i="4"/>
  <c r="T1373" i="4" s="1"/>
  <c r="S1374" i="4"/>
  <c r="T1374" i="4" s="1"/>
  <c r="S1375" i="4"/>
  <c r="T1375" i="4" s="1"/>
  <c r="S1376" i="4"/>
  <c r="T1376" i="4" s="1"/>
  <c r="S1377" i="4"/>
  <c r="T1377" i="4" s="1"/>
  <c r="S1378" i="4"/>
  <c r="T1378" i="4" s="1"/>
  <c r="S1379" i="4"/>
  <c r="T1379" i="4" s="1"/>
  <c r="S1380" i="4"/>
  <c r="T1380" i="4" s="1"/>
  <c r="S1381" i="4"/>
  <c r="T1381" i="4" s="1"/>
  <c r="S1382" i="4"/>
  <c r="T1382" i="4" s="1"/>
  <c r="S1383" i="4"/>
  <c r="T1383" i="4" s="1"/>
  <c r="S1384" i="4"/>
  <c r="T1384" i="4" s="1"/>
  <c r="S1385" i="4"/>
  <c r="T1385" i="4" s="1"/>
  <c r="S1386" i="4"/>
  <c r="T1386" i="4" s="1"/>
  <c r="S1387" i="4"/>
  <c r="T1387" i="4" s="1"/>
  <c r="S1388" i="4"/>
  <c r="T1388" i="4" s="1"/>
  <c r="S1389" i="4"/>
  <c r="T1389" i="4" s="1"/>
  <c r="S1390" i="4"/>
  <c r="T1390" i="4" s="1"/>
  <c r="S1391" i="4"/>
  <c r="T1391" i="4" s="1"/>
  <c r="S1392" i="4"/>
  <c r="T1392" i="4" s="1"/>
  <c r="S1393" i="4"/>
  <c r="T1393" i="4" s="1"/>
  <c r="S1394" i="4"/>
  <c r="T1394" i="4" s="1"/>
  <c r="S1395" i="4"/>
  <c r="T1395" i="4" s="1"/>
  <c r="S1396" i="4"/>
  <c r="T1396" i="4" s="1"/>
  <c r="S1397" i="4"/>
  <c r="T1397" i="4" s="1"/>
  <c r="S1398" i="4"/>
  <c r="T1398" i="4" s="1"/>
  <c r="S1399" i="4"/>
  <c r="T1399" i="4" s="1"/>
  <c r="S1400" i="4"/>
  <c r="T1400" i="4" s="1"/>
  <c r="S1401" i="4"/>
  <c r="T1401" i="4" s="1"/>
  <c r="S1402" i="4"/>
  <c r="T1402" i="4" s="1"/>
  <c r="S1403" i="4"/>
  <c r="T1403" i="4" s="1"/>
  <c r="S1404" i="4"/>
  <c r="T1404" i="4" s="1"/>
  <c r="S1405" i="4"/>
  <c r="T1405" i="4" s="1"/>
  <c r="S1406" i="4"/>
  <c r="T1406" i="4" s="1"/>
  <c r="S1407" i="4"/>
  <c r="T1407" i="4" s="1"/>
  <c r="S1408" i="4"/>
  <c r="T1408" i="4" s="1"/>
  <c r="S1409" i="4"/>
  <c r="T1409" i="4" s="1"/>
  <c r="S1410" i="4"/>
  <c r="T1410" i="4" s="1"/>
  <c r="S1411" i="4"/>
  <c r="T1411" i="4" s="1"/>
  <c r="S1412" i="4"/>
  <c r="T1412" i="4" s="1"/>
  <c r="S1413" i="4"/>
  <c r="T1413" i="4" s="1"/>
  <c r="S1414" i="4"/>
  <c r="T1414" i="4" s="1"/>
  <c r="S1415" i="4"/>
  <c r="T1415" i="4" s="1"/>
  <c r="S1416" i="4"/>
  <c r="T1416" i="4" s="1"/>
  <c r="S1417" i="4"/>
  <c r="T1417" i="4" s="1"/>
  <c r="S1418" i="4"/>
  <c r="T1418" i="4" s="1"/>
  <c r="S1419" i="4"/>
  <c r="T1419" i="4" s="1"/>
  <c r="S1420" i="4"/>
  <c r="T1420" i="4" s="1"/>
  <c r="S1421" i="4"/>
  <c r="T1421" i="4" s="1"/>
  <c r="S1422" i="4"/>
  <c r="T1422" i="4" s="1"/>
  <c r="S1423" i="4"/>
  <c r="T1423" i="4" s="1"/>
  <c r="S1424" i="4"/>
  <c r="T1424" i="4" s="1"/>
  <c r="S1425" i="4"/>
  <c r="T1425" i="4" s="1"/>
  <c r="S1426" i="4"/>
  <c r="T1426" i="4" s="1"/>
  <c r="S1427" i="4"/>
  <c r="T1427" i="4" s="1"/>
  <c r="S1428" i="4"/>
  <c r="T1428" i="4" s="1"/>
  <c r="S1429" i="4"/>
  <c r="T1429" i="4" s="1"/>
  <c r="S1430" i="4"/>
  <c r="T1430" i="4" s="1"/>
  <c r="S1431" i="4"/>
  <c r="T1431" i="4" s="1"/>
  <c r="S1432" i="4"/>
  <c r="T1432" i="4" s="1"/>
  <c r="S1433" i="4"/>
  <c r="T1433" i="4" s="1"/>
  <c r="S1434" i="4"/>
  <c r="T1434" i="4" s="1"/>
  <c r="S1435" i="4"/>
  <c r="T1435" i="4" s="1"/>
  <c r="S1436" i="4"/>
  <c r="T1436" i="4" s="1"/>
  <c r="S1437" i="4"/>
  <c r="T1437" i="4" s="1"/>
  <c r="S1438" i="4"/>
  <c r="T1438" i="4" s="1"/>
  <c r="S1439" i="4"/>
  <c r="T1439" i="4" s="1"/>
  <c r="S1440" i="4"/>
  <c r="T1440" i="4" s="1"/>
  <c r="S1441" i="4"/>
  <c r="T1441" i="4" s="1"/>
  <c r="S1442" i="4"/>
  <c r="T1442" i="4" s="1"/>
  <c r="S1443" i="4"/>
  <c r="T1443" i="4" s="1"/>
  <c r="S1444" i="4"/>
  <c r="T1444" i="4" s="1"/>
  <c r="S1445" i="4"/>
  <c r="T1445" i="4" s="1"/>
  <c r="S1446" i="4"/>
  <c r="T1446" i="4" s="1"/>
  <c r="S1447" i="4"/>
  <c r="T1447" i="4" s="1"/>
  <c r="S1448" i="4"/>
  <c r="T1448" i="4" s="1"/>
  <c r="S1449" i="4"/>
  <c r="T1449" i="4" s="1"/>
  <c r="S1450" i="4"/>
  <c r="T1450" i="4" s="1"/>
  <c r="S1451" i="4"/>
  <c r="T1451" i="4" s="1"/>
  <c r="S1452" i="4"/>
  <c r="T1452" i="4" s="1"/>
  <c r="S1453" i="4"/>
  <c r="T1453" i="4" s="1"/>
  <c r="S1454" i="4"/>
  <c r="T1454" i="4" s="1"/>
  <c r="S1455" i="4"/>
  <c r="T1455" i="4" s="1"/>
  <c r="S1456" i="4"/>
  <c r="T1456" i="4" s="1"/>
  <c r="S1457" i="4"/>
  <c r="T1457" i="4" s="1"/>
  <c r="S1458" i="4"/>
  <c r="T1458" i="4" s="1"/>
  <c r="S1459" i="4"/>
  <c r="T1459" i="4" s="1"/>
  <c r="S1460" i="4"/>
  <c r="T1460" i="4" s="1"/>
  <c r="S1461" i="4"/>
  <c r="T1461" i="4" s="1"/>
  <c r="S1462" i="4"/>
  <c r="T1462" i="4" s="1"/>
  <c r="S1463" i="4"/>
  <c r="T1463" i="4" s="1"/>
  <c r="S1464" i="4"/>
  <c r="T1464" i="4" s="1"/>
  <c r="S1465" i="4"/>
  <c r="T1465" i="4" s="1"/>
  <c r="S1466" i="4"/>
  <c r="T1466" i="4" s="1"/>
  <c r="S1467" i="4"/>
  <c r="T1467" i="4" s="1"/>
  <c r="S1468" i="4"/>
  <c r="T1468" i="4" s="1"/>
  <c r="S1469" i="4"/>
  <c r="T1469" i="4" s="1"/>
  <c r="S1470" i="4"/>
  <c r="T1470" i="4" s="1"/>
  <c r="S1471" i="4"/>
  <c r="T1471" i="4" s="1"/>
  <c r="S1472" i="4"/>
  <c r="T1472" i="4" s="1"/>
  <c r="S1473" i="4"/>
  <c r="T1473" i="4" s="1"/>
  <c r="S1474" i="4"/>
  <c r="T1474" i="4" s="1"/>
  <c r="S1475" i="4"/>
  <c r="T1475" i="4" s="1"/>
  <c r="S1476" i="4"/>
  <c r="T1476" i="4" s="1"/>
  <c r="S1477" i="4"/>
  <c r="T1477" i="4" s="1"/>
  <c r="S1478" i="4"/>
  <c r="T1478" i="4" s="1"/>
  <c r="S1479" i="4"/>
  <c r="T1479" i="4" s="1"/>
  <c r="S1480" i="4"/>
  <c r="T1480" i="4" s="1"/>
  <c r="S1481" i="4"/>
  <c r="T1481" i="4" s="1"/>
  <c r="S1482" i="4"/>
  <c r="T1482" i="4" s="1"/>
  <c r="S1483" i="4"/>
  <c r="T1483" i="4" s="1"/>
  <c r="S1484" i="4"/>
  <c r="T1484" i="4" s="1"/>
  <c r="S1485" i="4"/>
  <c r="T1485" i="4" s="1"/>
  <c r="S1486" i="4"/>
  <c r="T1486" i="4" s="1"/>
  <c r="S1487" i="4"/>
  <c r="T1487" i="4" s="1"/>
  <c r="S1488" i="4"/>
  <c r="T1488" i="4" s="1"/>
  <c r="S1489" i="4"/>
  <c r="T1489" i="4" s="1"/>
  <c r="S1490" i="4"/>
  <c r="T1490" i="4" s="1"/>
  <c r="S1491" i="4"/>
  <c r="T1491" i="4" s="1"/>
  <c r="S1492" i="4"/>
  <c r="T1492" i="4" s="1"/>
  <c r="S1493" i="4"/>
  <c r="T1493" i="4" s="1"/>
  <c r="S1494" i="4"/>
  <c r="T1494" i="4" s="1"/>
  <c r="S1495" i="4"/>
  <c r="T1495" i="4" s="1"/>
  <c r="S1496" i="4"/>
  <c r="T1496" i="4" s="1"/>
  <c r="S1497" i="4"/>
  <c r="T1497" i="4" s="1"/>
  <c r="S1498" i="4"/>
  <c r="T1498" i="4" s="1"/>
  <c r="S1499" i="4"/>
  <c r="T1499" i="4" s="1"/>
  <c r="S1500" i="4"/>
  <c r="T1500" i="4" s="1"/>
  <c r="S1501" i="4"/>
  <c r="T1501" i="4" s="1"/>
  <c r="S1502" i="4"/>
  <c r="T1502" i="4" s="1"/>
  <c r="S1503" i="4"/>
  <c r="T1503" i="4" s="1"/>
  <c r="S1504" i="4"/>
  <c r="T1504" i="4" s="1"/>
  <c r="S1505" i="4"/>
  <c r="T1505" i="4" s="1"/>
  <c r="S1506" i="4"/>
  <c r="T1506" i="4" s="1"/>
  <c r="S1507" i="4"/>
  <c r="T1507" i="4" s="1"/>
  <c r="S1508" i="4"/>
  <c r="T1508" i="4" s="1"/>
  <c r="S1509" i="4"/>
  <c r="T1509" i="4" s="1"/>
  <c r="S1510" i="4"/>
  <c r="T1510" i="4" s="1"/>
  <c r="S1511" i="4"/>
  <c r="T1511" i="4" s="1"/>
  <c r="S1512" i="4"/>
  <c r="T1512" i="4" s="1"/>
  <c r="S1513" i="4"/>
  <c r="T1513" i="4" s="1"/>
  <c r="S1514" i="4"/>
  <c r="T1514" i="4" s="1"/>
  <c r="S1515" i="4"/>
  <c r="T1515" i="4" s="1"/>
  <c r="S1516" i="4"/>
  <c r="T1516" i="4" s="1"/>
  <c r="S1517" i="4"/>
  <c r="T1517" i="4" s="1"/>
  <c r="S1518" i="4"/>
  <c r="T1518" i="4" s="1"/>
  <c r="S1519" i="4"/>
  <c r="T1519" i="4" s="1"/>
  <c r="S1520" i="4"/>
  <c r="T1520" i="4" s="1"/>
  <c r="S1521" i="4"/>
  <c r="T1521" i="4" s="1"/>
  <c r="S1522" i="4"/>
  <c r="T1522" i="4" s="1"/>
  <c r="S1523" i="4"/>
  <c r="T1523" i="4" s="1"/>
  <c r="S1524" i="4"/>
  <c r="T1524" i="4" s="1"/>
  <c r="S1525" i="4"/>
  <c r="T1525" i="4" s="1"/>
  <c r="S1526" i="4"/>
  <c r="T1526" i="4" s="1"/>
  <c r="S1527" i="4"/>
  <c r="T1527" i="4" s="1"/>
  <c r="S1528" i="4"/>
  <c r="T1528" i="4" s="1"/>
  <c r="S1529" i="4"/>
  <c r="T1529" i="4" s="1"/>
  <c r="S1530" i="4"/>
  <c r="T1530" i="4" s="1"/>
  <c r="S1531" i="4"/>
  <c r="T1531" i="4" s="1"/>
  <c r="S1532" i="4"/>
  <c r="T1532" i="4" s="1"/>
  <c r="S1533" i="4"/>
  <c r="T1533" i="4" s="1"/>
  <c r="S1534" i="4"/>
  <c r="T1534" i="4" s="1"/>
  <c r="S1535" i="4"/>
  <c r="T1535" i="4" s="1"/>
  <c r="S1536" i="4"/>
  <c r="T1536" i="4" s="1"/>
  <c r="S1537" i="4"/>
  <c r="T1537" i="4" s="1"/>
  <c r="S1538" i="4"/>
  <c r="T1538" i="4" s="1"/>
  <c r="S1539" i="4"/>
  <c r="T1539" i="4" s="1"/>
  <c r="S1540" i="4"/>
  <c r="T1540" i="4" s="1"/>
  <c r="S1541" i="4"/>
  <c r="T1541" i="4" s="1"/>
  <c r="S1542" i="4"/>
  <c r="T1542" i="4" s="1"/>
  <c r="S1543" i="4"/>
  <c r="T1543" i="4" s="1"/>
  <c r="S1544" i="4"/>
  <c r="T1544" i="4" s="1"/>
  <c r="S1545" i="4"/>
  <c r="T1545" i="4" s="1"/>
  <c r="S1546" i="4"/>
  <c r="T1546" i="4" s="1"/>
  <c r="S1547" i="4"/>
  <c r="T1547" i="4" s="1"/>
  <c r="S1548" i="4"/>
  <c r="T1548" i="4" s="1"/>
  <c r="S1549" i="4"/>
  <c r="T1549" i="4" s="1"/>
  <c r="S1550" i="4"/>
  <c r="T1550" i="4" s="1"/>
  <c r="S1551" i="4"/>
  <c r="T1551" i="4" s="1"/>
  <c r="S1552" i="4"/>
  <c r="T1552" i="4" s="1"/>
  <c r="S1553" i="4"/>
  <c r="T1553" i="4" s="1"/>
  <c r="S1554" i="4"/>
  <c r="T1554" i="4" s="1"/>
  <c r="S1555" i="4"/>
  <c r="T1555" i="4" s="1"/>
  <c r="S1556" i="4"/>
  <c r="T1556" i="4" s="1"/>
  <c r="S1557" i="4"/>
  <c r="T1557" i="4" s="1"/>
  <c r="S1558" i="4"/>
  <c r="T1558" i="4" s="1"/>
  <c r="S1559" i="4"/>
  <c r="T1559" i="4" s="1"/>
  <c r="S1560" i="4"/>
  <c r="T1560" i="4" s="1"/>
  <c r="S1561" i="4"/>
  <c r="T1561" i="4" s="1"/>
  <c r="S1562" i="4"/>
  <c r="T1562" i="4" s="1"/>
  <c r="S1563" i="4"/>
  <c r="T1563" i="4" s="1"/>
  <c r="S1564" i="4"/>
  <c r="T1564" i="4" s="1"/>
  <c r="S1565" i="4"/>
  <c r="T1565" i="4" s="1"/>
  <c r="S1566" i="4"/>
  <c r="T1566" i="4" s="1"/>
  <c r="S1567" i="4"/>
  <c r="T1567" i="4" s="1"/>
  <c r="S1568" i="4"/>
  <c r="T1568" i="4" s="1"/>
  <c r="S1569" i="4"/>
  <c r="T1569" i="4" s="1"/>
  <c r="S1570" i="4"/>
  <c r="T1570" i="4" s="1"/>
  <c r="S1571" i="4"/>
  <c r="T1571" i="4" s="1"/>
  <c r="S1572" i="4"/>
  <c r="T1572" i="4" s="1"/>
  <c r="S1573" i="4"/>
  <c r="T1573" i="4" s="1"/>
  <c r="S1574" i="4"/>
  <c r="T1574" i="4" s="1"/>
  <c r="S1575" i="4"/>
  <c r="T1575" i="4" s="1"/>
  <c r="S1576" i="4"/>
  <c r="T1576" i="4" s="1"/>
  <c r="S1577" i="4"/>
  <c r="T1577" i="4" s="1"/>
  <c r="S1578" i="4"/>
  <c r="T1578" i="4" s="1"/>
  <c r="S1579" i="4"/>
  <c r="T1579" i="4" s="1"/>
  <c r="S1580" i="4"/>
  <c r="T1580" i="4" s="1"/>
  <c r="S1581" i="4"/>
  <c r="T1581" i="4" s="1"/>
  <c r="S1582" i="4"/>
  <c r="T1582" i="4" s="1"/>
  <c r="S1583" i="4"/>
  <c r="T1583" i="4" s="1"/>
  <c r="S1584" i="4"/>
  <c r="T1584" i="4" s="1"/>
  <c r="S1585" i="4"/>
  <c r="T1585" i="4" s="1"/>
  <c r="S1586" i="4"/>
  <c r="T1586" i="4" s="1"/>
  <c r="S1587" i="4"/>
  <c r="T1587" i="4" s="1"/>
  <c r="S1588" i="4"/>
  <c r="T1588" i="4" s="1"/>
  <c r="S1589" i="4"/>
  <c r="T1589" i="4" s="1"/>
  <c r="S1590" i="4"/>
  <c r="T1590" i="4" s="1"/>
  <c r="S1591" i="4"/>
  <c r="T1591" i="4" s="1"/>
  <c r="S1592" i="4"/>
  <c r="T1592" i="4" s="1"/>
  <c r="S1593" i="4"/>
  <c r="T1593" i="4" s="1"/>
  <c r="S1594" i="4"/>
  <c r="T1594" i="4" s="1"/>
  <c r="S1595" i="4"/>
  <c r="T1595" i="4" s="1"/>
  <c r="S1596" i="4"/>
  <c r="T1596" i="4" s="1"/>
  <c r="S1597" i="4"/>
  <c r="T1597" i="4" s="1"/>
  <c r="S1598" i="4"/>
  <c r="T1598" i="4" s="1"/>
  <c r="S1599" i="4"/>
  <c r="T1599" i="4" s="1"/>
  <c r="S1600" i="4"/>
  <c r="T1600" i="4" s="1"/>
  <c r="S1601" i="4"/>
  <c r="T1601" i="4" s="1"/>
  <c r="S1602" i="4"/>
  <c r="T1602" i="4" s="1"/>
  <c r="S1603" i="4"/>
  <c r="T1603" i="4" s="1"/>
  <c r="S1604" i="4"/>
  <c r="T1604" i="4" s="1"/>
  <c r="S1605" i="4"/>
  <c r="T1605" i="4" s="1"/>
  <c r="S1606" i="4"/>
  <c r="T1606" i="4" s="1"/>
  <c r="S1607" i="4"/>
  <c r="T1607" i="4" s="1"/>
  <c r="S1608" i="4"/>
  <c r="T1608" i="4" s="1"/>
  <c r="S1609" i="4"/>
  <c r="T1609" i="4" s="1"/>
  <c r="S1610" i="4"/>
  <c r="T1610" i="4" s="1"/>
  <c r="S1611" i="4"/>
  <c r="T1611" i="4" s="1"/>
  <c r="S1612" i="4"/>
  <c r="T1612" i="4" s="1"/>
  <c r="S1613" i="4"/>
  <c r="T1613" i="4" s="1"/>
  <c r="S1614" i="4"/>
  <c r="T1614" i="4" s="1"/>
  <c r="S1615" i="4"/>
  <c r="T1615" i="4" s="1"/>
  <c r="S1616" i="4"/>
  <c r="T1616" i="4" s="1"/>
  <c r="S1617" i="4"/>
  <c r="T1617" i="4" s="1"/>
  <c r="S1618" i="4"/>
  <c r="T1618" i="4" s="1"/>
  <c r="S1619" i="4"/>
  <c r="T1619" i="4" s="1"/>
  <c r="S1620" i="4"/>
  <c r="T1620" i="4" s="1"/>
  <c r="S1621" i="4"/>
  <c r="T1621" i="4" s="1"/>
  <c r="S1622" i="4"/>
  <c r="T1622" i="4" s="1"/>
  <c r="S1623" i="4"/>
  <c r="T1623" i="4" s="1"/>
  <c r="S1624" i="4"/>
  <c r="T1624" i="4" s="1"/>
  <c r="S1625" i="4"/>
  <c r="T1625" i="4" s="1"/>
  <c r="S1626" i="4"/>
  <c r="T1626" i="4" s="1"/>
  <c r="S1627" i="4"/>
  <c r="T1627" i="4" s="1"/>
  <c r="S1628" i="4"/>
  <c r="T1628" i="4" s="1"/>
  <c r="S1629" i="4"/>
  <c r="T1629" i="4" s="1"/>
  <c r="S1630" i="4"/>
  <c r="T1630" i="4" s="1"/>
  <c r="S1631" i="4"/>
  <c r="T1631" i="4" s="1"/>
  <c r="S1632" i="4"/>
  <c r="T1632" i="4" s="1"/>
  <c r="S1633" i="4"/>
  <c r="T1633" i="4" s="1"/>
  <c r="S1634" i="4"/>
  <c r="T1634" i="4" s="1"/>
  <c r="S1635" i="4"/>
  <c r="T1635" i="4" s="1"/>
  <c r="S1636" i="4"/>
  <c r="T1636" i="4" s="1"/>
  <c r="S1637" i="4"/>
  <c r="T1637" i="4" s="1"/>
  <c r="S1638" i="4"/>
  <c r="T1638" i="4" s="1"/>
  <c r="S1639" i="4"/>
  <c r="T1639" i="4" s="1"/>
  <c r="S1640" i="4"/>
  <c r="T1640" i="4" s="1"/>
  <c r="S1641" i="4"/>
  <c r="T1641" i="4" s="1"/>
  <c r="S1642" i="4"/>
  <c r="T1642" i="4" s="1"/>
  <c r="S1643" i="4"/>
  <c r="T1643" i="4" s="1"/>
  <c r="S1644" i="4"/>
  <c r="T1644" i="4" s="1"/>
  <c r="S1645" i="4"/>
  <c r="T1645" i="4" s="1"/>
  <c r="S1646" i="4"/>
  <c r="T1646" i="4" s="1"/>
  <c r="S1647" i="4"/>
  <c r="T1647" i="4" s="1"/>
  <c r="S1648" i="4"/>
  <c r="T1648" i="4" s="1"/>
  <c r="S1649" i="4"/>
  <c r="T1649" i="4" s="1"/>
  <c r="S1650" i="4"/>
  <c r="T1650" i="4" s="1"/>
  <c r="S1651" i="4"/>
  <c r="T1651" i="4" s="1"/>
  <c r="S1652" i="4"/>
  <c r="T1652" i="4" s="1"/>
  <c r="S1653" i="4"/>
  <c r="T1653" i="4" s="1"/>
  <c r="S1654" i="4"/>
  <c r="T1654" i="4" s="1"/>
  <c r="S1655" i="4"/>
  <c r="T1655" i="4" s="1"/>
  <c r="S1656" i="4"/>
  <c r="T1656" i="4" s="1"/>
  <c r="S1657" i="4"/>
  <c r="T1657" i="4" s="1"/>
  <c r="S1658" i="4"/>
  <c r="T1658" i="4" s="1"/>
  <c r="S1659" i="4"/>
  <c r="T1659" i="4" s="1"/>
  <c r="S1660" i="4"/>
  <c r="T1660" i="4" s="1"/>
  <c r="S1661" i="4"/>
  <c r="T1661" i="4" s="1"/>
  <c r="S1662" i="4"/>
  <c r="T1662" i="4" s="1"/>
  <c r="S1663" i="4"/>
  <c r="T1663" i="4" s="1"/>
  <c r="S1664" i="4"/>
  <c r="T1664" i="4" s="1"/>
  <c r="S1665" i="4"/>
  <c r="T1665" i="4" s="1"/>
  <c r="S1666" i="4"/>
  <c r="T1666" i="4" s="1"/>
  <c r="S1667" i="4"/>
  <c r="T1667" i="4" s="1"/>
  <c r="S1668" i="4"/>
  <c r="T1668" i="4" s="1"/>
  <c r="S1669" i="4"/>
  <c r="T1669" i="4" s="1"/>
  <c r="S1670" i="4"/>
  <c r="T1670" i="4" s="1"/>
  <c r="S1671" i="4"/>
  <c r="T1671" i="4" s="1"/>
  <c r="S1672" i="4"/>
  <c r="T1672" i="4" s="1"/>
  <c r="S1673" i="4"/>
  <c r="T1673" i="4" s="1"/>
  <c r="S1674" i="4"/>
  <c r="T1674" i="4" s="1"/>
  <c r="S1675" i="4"/>
  <c r="T1675" i="4" s="1"/>
  <c r="S1676" i="4"/>
  <c r="T1676" i="4" s="1"/>
  <c r="S1677" i="4"/>
  <c r="T1677" i="4" s="1"/>
  <c r="S1678" i="4"/>
  <c r="T1678" i="4" s="1"/>
  <c r="S1679" i="4"/>
  <c r="T1679" i="4" s="1"/>
  <c r="S1680" i="4"/>
  <c r="T1680" i="4" s="1"/>
  <c r="S1681" i="4"/>
  <c r="T1681" i="4" s="1"/>
  <c r="S1682" i="4"/>
  <c r="T1682" i="4" s="1"/>
  <c r="S1683" i="4"/>
  <c r="T1683" i="4" s="1"/>
  <c r="S1684" i="4"/>
  <c r="T1684" i="4" s="1"/>
  <c r="S1685" i="4"/>
  <c r="T1685" i="4" s="1"/>
  <c r="S1686" i="4"/>
  <c r="T1686" i="4" s="1"/>
  <c r="S1687" i="4"/>
  <c r="T1687" i="4" s="1"/>
  <c r="S1688" i="4"/>
  <c r="T1688" i="4" s="1"/>
  <c r="S1689" i="4"/>
  <c r="T1689" i="4" s="1"/>
  <c r="S1690" i="4"/>
  <c r="T1690" i="4" s="1"/>
  <c r="S1691" i="4"/>
  <c r="T1691" i="4" s="1"/>
  <c r="S1692" i="4"/>
  <c r="T1692" i="4" s="1"/>
  <c r="S1693" i="4"/>
  <c r="T1693" i="4" s="1"/>
  <c r="S1694" i="4"/>
  <c r="T1694" i="4" s="1"/>
  <c r="S1695" i="4"/>
  <c r="T1695" i="4" s="1"/>
  <c r="S1696" i="4"/>
  <c r="T1696" i="4" s="1"/>
  <c r="S1697" i="4"/>
  <c r="T1697" i="4" s="1"/>
  <c r="S1698" i="4"/>
  <c r="T1698" i="4" s="1"/>
  <c r="S1699" i="4"/>
  <c r="T1699" i="4" s="1"/>
  <c r="S1700" i="4"/>
  <c r="T1700" i="4" s="1"/>
  <c r="S1701" i="4"/>
  <c r="T1701" i="4" s="1"/>
  <c r="S1702" i="4"/>
  <c r="T1702" i="4" s="1"/>
  <c r="S1703" i="4"/>
  <c r="T1703" i="4" s="1"/>
  <c r="S1704" i="4"/>
  <c r="T1704" i="4" s="1"/>
  <c r="S1705" i="4"/>
  <c r="T1705" i="4" s="1"/>
  <c r="S1706" i="4"/>
  <c r="T1706" i="4" s="1"/>
  <c r="S1707" i="4"/>
  <c r="T1707" i="4" s="1"/>
  <c r="S1708" i="4"/>
  <c r="T1708" i="4" s="1"/>
  <c r="S1709" i="4"/>
  <c r="T1709" i="4" s="1"/>
  <c r="S1710" i="4"/>
  <c r="T1710" i="4" s="1"/>
  <c r="S1711" i="4"/>
  <c r="T1711" i="4" s="1"/>
  <c r="S1712" i="4"/>
  <c r="T1712" i="4" s="1"/>
  <c r="S1713" i="4"/>
  <c r="T1713" i="4" s="1"/>
  <c r="S1714" i="4"/>
  <c r="T1714" i="4" s="1"/>
  <c r="S1715" i="4"/>
  <c r="T1715" i="4" s="1"/>
  <c r="S1716" i="4"/>
  <c r="T1716" i="4" s="1"/>
  <c r="S1717" i="4"/>
  <c r="T1717" i="4" s="1"/>
  <c r="S1718" i="4"/>
  <c r="T1718" i="4" s="1"/>
  <c r="S1719" i="4"/>
  <c r="T1719" i="4" s="1"/>
  <c r="S1720" i="4"/>
  <c r="T1720" i="4" s="1"/>
  <c r="S1721" i="4"/>
  <c r="T1721" i="4" s="1"/>
  <c r="S1722" i="4"/>
  <c r="T1722" i="4" s="1"/>
  <c r="S1723" i="4"/>
  <c r="T1723" i="4" s="1"/>
  <c r="S1724" i="4"/>
  <c r="T1724" i="4" s="1"/>
  <c r="S1725" i="4"/>
  <c r="T1725" i="4" s="1"/>
  <c r="S1726" i="4"/>
  <c r="T1726" i="4" s="1"/>
  <c r="S1727" i="4"/>
  <c r="T1727" i="4" s="1"/>
  <c r="S1728" i="4"/>
  <c r="T1728" i="4" s="1"/>
  <c r="S1729" i="4"/>
  <c r="T1729" i="4" s="1"/>
  <c r="S1730" i="4"/>
  <c r="T1730" i="4" s="1"/>
  <c r="S1731" i="4"/>
  <c r="T1731" i="4" s="1"/>
  <c r="S1732" i="4"/>
  <c r="T1732" i="4" s="1"/>
  <c r="S1733" i="4"/>
  <c r="T1733" i="4" s="1"/>
  <c r="S1734" i="4"/>
  <c r="T1734" i="4" s="1"/>
  <c r="S1735" i="4"/>
  <c r="T1735" i="4" s="1"/>
  <c r="S1736" i="4"/>
  <c r="T1736" i="4" s="1"/>
  <c r="S1737" i="4"/>
  <c r="T1737" i="4" s="1"/>
  <c r="S1738" i="4"/>
  <c r="T1738" i="4" s="1"/>
  <c r="S1739" i="4"/>
  <c r="T1739" i="4" s="1"/>
  <c r="S1740" i="4"/>
  <c r="T1740" i="4" s="1"/>
  <c r="S1741" i="4"/>
  <c r="T1741" i="4" s="1"/>
  <c r="S1742" i="4"/>
  <c r="T1742" i="4" s="1"/>
  <c r="S1743" i="4"/>
  <c r="T1743" i="4" s="1"/>
  <c r="S1744" i="4"/>
  <c r="T1744" i="4" s="1"/>
  <c r="S1745" i="4"/>
  <c r="T1745" i="4" s="1"/>
  <c r="S1746" i="4"/>
  <c r="T1746" i="4" s="1"/>
  <c r="S1747" i="4"/>
  <c r="T1747" i="4" s="1"/>
  <c r="S1748" i="4"/>
  <c r="T1748" i="4" s="1"/>
  <c r="S1749" i="4"/>
  <c r="T1749" i="4" s="1"/>
  <c r="S1750" i="4"/>
  <c r="T1750" i="4" s="1"/>
  <c r="S1751" i="4"/>
  <c r="T1751" i="4" s="1"/>
  <c r="S1752" i="4"/>
  <c r="T1752" i="4" s="1"/>
  <c r="S1753" i="4"/>
  <c r="T1753" i="4" s="1"/>
  <c r="S1754" i="4"/>
  <c r="T1754" i="4" s="1"/>
  <c r="S1755" i="4"/>
  <c r="T1755" i="4" s="1"/>
  <c r="S1756" i="4"/>
  <c r="T1756" i="4" s="1"/>
  <c r="S1757" i="4"/>
  <c r="T1757" i="4" s="1"/>
  <c r="S1758" i="4"/>
  <c r="T1758" i="4" s="1"/>
  <c r="S1759" i="4"/>
  <c r="T1759" i="4" s="1"/>
  <c r="S1760" i="4"/>
  <c r="T1760" i="4" s="1"/>
  <c r="S1761" i="4"/>
  <c r="T1761" i="4" s="1"/>
  <c r="S1762" i="4"/>
  <c r="T1762" i="4" s="1"/>
  <c r="S1763" i="4"/>
  <c r="T1763" i="4" s="1"/>
  <c r="S1764" i="4"/>
  <c r="T1764" i="4" s="1"/>
  <c r="S1765" i="4"/>
  <c r="T1765" i="4" s="1"/>
  <c r="S1766" i="4"/>
  <c r="T1766" i="4" s="1"/>
  <c r="S1767" i="4"/>
  <c r="T1767" i="4" s="1"/>
  <c r="S1768" i="4"/>
  <c r="T1768" i="4" s="1"/>
  <c r="S1769" i="4"/>
  <c r="T1769" i="4" s="1"/>
  <c r="S1770" i="4"/>
  <c r="T1770" i="4" s="1"/>
  <c r="S1771" i="4"/>
  <c r="T1771" i="4" s="1"/>
  <c r="S1772" i="4"/>
  <c r="T1772" i="4" s="1"/>
  <c r="S1773" i="4"/>
  <c r="T1773" i="4" s="1"/>
  <c r="S1774" i="4"/>
  <c r="T1774" i="4" s="1"/>
  <c r="S1775" i="4"/>
  <c r="T1775" i="4" s="1"/>
  <c r="S1776" i="4"/>
  <c r="T1776" i="4" s="1"/>
  <c r="S1777" i="4"/>
  <c r="T1777" i="4" s="1"/>
  <c r="S1778" i="4"/>
  <c r="T1778" i="4" s="1"/>
  <c r="S1779" i="4"/>
  <c r="T1779" i="4" s="1"/>
  <c r="S1780" i="4"/>
  <c r="T1780" i="4" s="1"/>
  <c r="S1781" i="4"/>
  <c r="T1781" i="4" s="1"/>
  <c r="S1782" i="4"/>
  <c r="T1782" i="4" s="1"/>
  <c r="S1783" i="4"/>
  <c r="T1783" i="4" s="1"/>
  <c r="S1784" i="4"/>
  <c r="T1784" i="4" s="1"/>
  <c r="S1785" i="4"/>
  <c r="T1785" i="4" s="1"/>
  <c r="S1786" i="4"/>
  <c r="T1786" i="4" s="1"/>
  <c r="S1787" i="4"/>
  <c r="T1787" i="4" s="1"/>
  <c r="S1788" i="4"/>
  <c r="T1788" i="4" s="1"/>
  <c r="S1789" i="4"/>
  <c r="T1789" i="4" s="1"/>
  <c r="S1790" i="4"/>
  <c r="T1790" i="4" s="1"/>
  <c r="S1791" i="4"/>
  <c r="T1791" i="4" s="1"/>
  <c r="S1792" i="4"/>
  <c r="T1792" i="4" s="1"/>
  <c r="S1793" i="4"/>
  <c r="T1793" i="4" s="1"/>
  <c r="S1794" i="4"/>
  <c r="T1794" i="4" s="1"/>
  <c r="S1795" i="4"/>
  <c r="T1795" i="4" s="1"/>
  <c r="S1796" i="4"/>
  <c r="T1796" i="4" s="1"/>
  <c r="S1797" i="4"/>
  <c r="T1797" i="4" s="1"/>
  <c r="S1798" i="4"/>
  <c r="T1798" i="4" s="1"/>
  <c r="S1799" i="4"/>
  <c r="T1799" i="4" s="1"/>
  <c r="S1800" i="4"/>
  <c r="T1800" i="4" s="1"/>
  <c r="S1801" i="4"/>
  <c r="T1801" i="4" s="1"/>
  <c r="S1802" i="4"/>
  <c r="T1802" i="4" s="1"/>
  <c r="S1803" i="4"/>
  <c r="T1803" i="4" s="1"/>
  <c r="S1804" i="4"/>
  <c r="T1804" i="4" s="1"/>
  <c r="S1805" i="4"/>
  <c r="T1805" i="4" s="1"/>
  <c r="S1806" i="4"/>
  <c r="T1806" i="4" s="1"/>
  <c r="S1807" i="4"/>
  <c r="T1807" i="4" s="1"/>
  <c r="S1808" i="4"/>
  <c r="T1808" i="4" s="1"/>
  <c r="S1809" i="4"/>
  <c r="T1809" i="4" s="1"/>
  <c r="S1810" i="4"/>
  <c r="T1810" i="4" s="1"/>
  <c r="S1811" i="4"/>
  <c r="T1811" i="4" s="1"/>
  <c r="S1812" i="4"/>
  <c r="T1812" i="4" s="1"/>
  <c r="S1813" i="4"/>
  <c r="T1813" i="4" s="1"/>
  <c r="S1814" i="4"/>
  <c r="T1814" i="4" s="1"/>
  <c r="S1815" i="4"/>
  <c r="T1815" i="4" s="1"/>
  <c r="S1816" i="4"/>
  <c r="T1816" i="4" s="1"/>
  <c r="S1817" i="4"/>
  <c r="T1817" i="4" s="1"/>
  <c r="S1818" i="4"/>
  <c r="T1818" i="4" s="1"/>
  <c r="S1819" i="4"/>
  <c r="T1819" i="4" s="1"/>
  <c r="S1820" i="4"/>
  <c r="T1820" i="4" s="1"/>
  <c r="S1821" i="4"/>
  <c r="T1821" i="4" s="1"/>
  <c r="S1822" i="4"/>
  <c r="T1822" i="4" s="1"/>
  <c r="S1823" i="4"/>
  <c r="T1823" i="4" s="1"/>
  <c r="S1824" i="4"/>
  <c r="T1824" i="4" s="1"/>
  <c r="S1825" i="4"/>
  <c r="T1825" i="4" s="1"/>
  <c r="S1826" i="4"/>
  <c r="T1826" i="4" s="1"/>
  <c r="S1827" i="4"/>
  <c r="T1827" i="4" s="1"/>
  <c r="S1828" i="4"/>
  <c r="T1828" i="4" s="1"/>
  <c r="S1829" i="4"/>
  <c r="T1829" i="4" s="1"/>
  <c r="S1830" i="4"/>
  <c r="T1830" i="4" s="1"/>
  <c r="S1831" i="4"/>
  <c r="T1831" i="4" s="1"/>
  <c r="S1832" i="4"/>
  <c r="T1832" i="4" s="1"/>
  <c r="S1833" i="4"/>
  <c r="T1833" i="4" s="1"/>
  <c r="S1834" i="4"/>
  <c r="T1834" i="4" s="1"/>
  <c r="S1835" i="4"/>
  <c r="T1835" i="4" s="1"/>
  <c r="S1836" i="4"/>
  <c r="T1836" i="4" s="1"/>
  <c r="S1837" i="4"/>
  <c r="T1837" i="4" s="1"/>
  <c r="S1838" i="4"/>
  <c r="T1838" i="4" s="1"/>
  <c r="S1839" i="4"/>
  <c r="T1839" i="4" s="1"/>
  <c r="S1840" i="4"/>
  <c r="T1840" i="4" s="1"/>
  <c r="S1841" i="4"/>
  <c r="T1841" i="4" s="1"/>
  <c r="S1842" i="4"/>
  <c r="T1842" i="4" s="1"/>
  <c r="S1843" i="4"/>
  <c r="T1843" i="4" s="1"/>
  <c r="S1844" i="4"/>
  <c r="T1844" i="4" s="1"/>
  <c r="S1845" i="4"/>
  <c r="T1845" i="4" s="1"/>
  <c r="S1846" i="4"/>
  <c r="T1846" i="4" s="1"/>
  <c r="S1847" i="4"/>
  <c r="T1847" i="4" s="1"/>
  <c r="S1848" i="4"/>
  <c r="T1848" i="4" s="1"/>
  <c r="S1849" i="4"/>
  <c r="T1849" i="4" s="1"/>
  <c r="S1850" i="4"/>
  <c r="T1850" i="4" s="1"/>
  <c r="S1851" i="4"/>
  <c r="T1851" i="4" s="1"/>
  <c r="S1852" i="4"/>
  <c r="T1852" i="4" s="1"/>
  <c r="S1853" i="4"/>
  <c r="T1853" i="4" s="1"/>
  <c r="S1854" i="4"/>
  <c r="T1854" i="4" s="1"/>
  <c r="S1855" i="4"/>
  <c r="T1855" i="4" s="1"/>
  <c r="S1856" i="4"/>
  <c r="T1856" i="4" s="1"/>
  <c r="S1857" i="4"/>
  <c r="T1857" i="4" s="1"/>
  <c r="S1858" i="4"/>
  <c r="T1858" i="4" s="1"/>
  <c r="S1859" i="4"/>
  <c r="T1859" i="4" s="1"/>
  <c r="S1860" i="4"/>
  <c r="T1860" i="4" s="1"/>
  <c r="S1861" i="4"/>
  <c r="T1861" i="4" s="1"/>
  <c r="S1862" i="4"/>
  <c r="T1862" i="4" s="1"/>
  <c r="S1863" i="4"/>
  <c r="T1863" i="4" s="1"/>
  <c r="S1864" i="4"/>
  <c r="T1864" i="4" s="1"/>
  <c r="S1865" i="4"/>
  <c r="T1865" i="4" s="1"/>
  <c r="S1866" i="4"/>
  <c r="T1866" i="4" s="1"/>
  <c r="S1867" i="4"/>
  <c r="T1867" i="4" s="1"/>
  <c r="S1868" i="4"/>
  <c r="T1868" i="4" s="1"/>
  <c r="S1869" i="4"/>
  <c r="T1869" i="4" s="1"/>
  <c r="S1870" i="4"/>
  <c r="T1870" i="4" s="1"/>
  <c r="S1871" i="4"/>
  <c r="T1871" i="4" s="1"/>
  <c r="S1872" i="4"/>
  <c r="T1872" i="4" s="1"/>
  <c r="S1873" i="4"/>
  <c r="T1873" i="4" s="1"/>
  <c r="S1874" i="4"/>
  <c r="T1874" i="4" s="1"/>
  <c r="S1875" i="4"/>
  <c r="T1875" i="4" s="1"/>
  <c r="S1876" i="4"/>
  <c r="T1876" i="4" s="1"/>
  <c r="S1877" i="4"/>
  <c r="T1877" i="4" s="1"/>
  <c r="S1878" i="4"/>
  <c r="T1878" i="4" s="1"/>
  <c r="S1879" i="4"/>
  <c r="T1879" i="4" s="1"/>
  <c r="S1880" i="4"/>
  <c r="T1880" i="4" s="1"/>
  <c r="S1881" i="4"/>
  <c r="T1881" i="4" s="1"/>
  <c r="S1882" i="4"/>
  <c r="T1882" i="4" s="1"/>
  <c r="S1883" i="4"/>
  <c r="T1883" i="4" s="1"/>
  <c r="S1884" i="4"/>
  <c r="T1884" i="4" s="1"/>
  <c r="S1885" i="4"/>
  <c r="T1885" i="4" s="1"/>
  <c r="S1886" i="4"/>
  <c r="T1886" i="4" s="1"/>
  <c r="S1887" i="4"/>
  <c r="T1887" i="4" s="1"/>
  <c r="S1888" i="4"/>
  <c r="T1888" i="4" s="1"/>
  <c r="S1889" i="4"/>
  <c r="T1889" i="4" s="1"/>
  <c r="S1890" i="4"/>
  <c r="T1890" i="4" s="1"/>
  <c r="S1891" i="4"/>
  <c r="T1891" i="4" s="1"/>
  <c r="S1892" i="4"/>
  <c r="T1892" i="4" s="1"/>
  <c r="S1893" i="4"/>
  <c r="T1893" i="4" s="1"/>
  <c r="S1894" i="4"/>
  <c r="T1894" i="4" s="1"/>
  <c r="S1895" i="4"/>
  <c r="T1895" i="4" s="1"/>
  <c r="S1896" i="4"/>
  <c r="T1896" i="4" s="1"/>
  <c r="S1897" i="4"/>
  <c r="T1897" i="4" s="1"/>
  <c r="S1898" i="4"/>
  <c r="T1898" i="4" s="1"/>
  <c r="S1899" i="4"/>
  <c r="T1899" i="4" s="1"/>
  <c r="S1900" i="4"/>
  <c r="T1900" i="4" s="1"/>
  <c r="S1901" i="4"/>
  <c r="T1901" i="4" s="1"/>
  <c r="S1902" i="4"/>
  <c r="T1902" i="4" s="1"/>
  <c r="S1903" i="4"/>
  <c r="T1903" i="4" s="1"/>
  <c r="S1904" i="4"/>
  <c r="T1904" i="4" s="1"/>
  <c r="S1905" i="4"/>
  <c r="T1905" i="4" s="1"/>
  <c r="S1906" i="4"/>
  <c r="T1906" i="4" s="1"/>
  <c r="S1907" i="4"/>
  <c r="T1907" i="4" s="1"/>
  <c r="S1908" i="4"/>
  <c r="T1908" i="4" s="1"/>
  <c r="S1909" i="4"/>
  <c r="T1909" i="4" s="1"/>
  <c r="S1910" i="4"/>
  <c r="T1910" i="4" s="1"/>
  <c r="S1911" i="4"/>
  <c r="T1911" i="4" s="1"/>
  <c r="S1912" i="4"/>
  <c r="T1912" i="4" s="1"/>
  <c r="S1913" i="4"/>
  <c r="T1913" i="4" s="1"/>
  <c r="S1914" i="4"/>
  <c r="T1914" i="4" s="1"/>
  <c r="S1915" i="4"/>
  <c r="T1915" i="4" s="1"/>
  <c r="S1916" i="4"/>
  <c r="T1916" i="4" s="1"/>
  <c r="S1917" i="4"/>
  <c r="T1917" i="4" s="1"/>
  <c r="S1918" i="4"/>
  <c r="T1918" i="4" s="1"/>
  <c r="S1919" i="4"/>
  <c r="T1919" i="4" s="1"/>
  <c r="S1920" i="4"/>
  <c r="T1920" i="4" s="1"/>
  <c r="S1921" i="4"/>
  <c r="T1921" i="4" s="1"/>
  <c r="S1922" i="4"/>
  <c r="T1922" i="4" s="1"/>
  <c r="S1923" i="4"/>
  <c r="T1923" i="4" s="1"/>
  <c r="S1924" i="4"/>
  <c r="T1924" i="4" s="1"/>
  <c r="S1925" i="4"/>
  <c r="T1925" i="4" s="1"/>
  <c r="S1926" i="4"/>
  <c r="T1926" i="4" s="1"/>
  <c r="S1927" i="4"/>
  <c r="T1927" i="4" s="1"/>
  <c r="S1928" i="4"/>
  <c r="T1928" i="4" s="1"/>
  <c r="S1929" i="4"/>
  <c r="T1929" i="4" s="1"/>
  <c r="S1930" i="4"/>
  <c r="T1930" i="4" s="1"/>
  <c r="S1931" i="4"/>
  <c r="T1931" i="4" s="1"/>
  <c r="S1932" i="4"/>
  <c r="T1932" i="4" s="1"/>
  <c r="S1933" i="4"/>
  <c r="T1933" i="4" s="1"/>
  <c r="S1934" i="4"/>
  <c r="T1934" i="4" s="1"/>
  <c r="S1935" i="4"/>
  <c r="T1935" i="4" s="1"/>
  <c r="S1936" i="4"/>
  <c r="T1936" i="4" s="1"/>
  <c r="S1937" i="4"/>
  <c r="T1937" i="4" s="1"/>
  <c r="S1938" i="4"/>
  <c r="T1938" i="4" s="1"/>
  <c r="S1939" i="4"/>
  <c r="T1939" i="4" s="1"/>
  <c r="S1940" i="4"/>
  <c r="T1940" i="4" s="1"/>
  <c r="S1941" i="4"/>
  <c r="T1941" i="4" s="1"/>
  <c r="S1942" i="4"/>
  <c r="T1942" i="4" s="1"/>
  <c r="S1943" i="4"/>
  <c r="T1943" i="4" s="1"/>
  <c r="S1944" i="4"/>
  <c r="T1944" i="4" s="1"/>
  <c r="S1945" i="4"/>
  <c r="T1945" i="4" s="1"/>
  <c r="S1946" i="4"/>
  <c r="T1946" i="4" s="1"/>
  <c r="S1947" i="4"/>
  <c r="T1947" i="4" s="1"/>
  <c r="S1948" i="4"/>
  <c r="T1948" i="4" s="1"/>
  <c r="S1949" i="4"/>
  <c r="T1949" i="4" s="1"/>
  <c r="S1950" i="4"/>
  <c r="T1950" i="4" s="1"/>
  <c r="S1951" i="4"/>
  <c r="T1951" i="4" s="1"/>
  <c r="S1952" i="4"/>
  <c r="T1952" i="4" s="1"/>
  <c r="S1953" i="4"/>
  <c r="T1953" i="4" s="1"/>
  <c r="S1954" i="4"/>
  <c r="T1954" i="4" s="1"/>
  <c r="S1955" i="4"/>
  <c r="T1955" i="4" s="1"/>
  <c r="S1956" i="4"/>
  <c r="T1956" i="4" s="1"/>
  <c r="S1957" i="4"/>
  <c r="T1957" i="4" s="1"/>
  <c r="S1958" i="4"/>
  <c r="T1958" i="4" s="1"/>
  <c r="S1959" i="4"/>
  <c r="T1959" i="4" s="1"/>
  <c r="S1960" i="4"/>
  <c r="T1960" i="4" s="1"/>
  <c r="S1961" i="4"/>
  <c r="T1961" i="4" s="1"/>
  <c r="S1962" i="4"/>
  <c r="T1962" i="4" s="1"/>
  <c r="S1963" i="4"/>
  <c r="T1963" i="4" s="1"/>
  <c r="S1964" i="4"/>
  <c r="T1964" i="4" s="1"/>
  <c r="S1965" i="4"/>
  <c r="T1965" i="4" s="1"/>
  <c r="S1966" i="4"/>
  <c r="T1966" i="4" s="1"/>
  <c r="S1967" i="4"/>
  <c r="T1967" i="4" s="1"/>
  <c r="S1968" i="4"/>
  <c r="T1968" i="4" s="1"/>
  <c r="S1969" i="4"/>
  <c r="T1969" i="4" s="1"/>
  <c r="S1970" i="4"/>
  <c r="T1970" i="4" s="1"/>
  <c r="S1971" i="4"/>
  <c r="T1971" i="4" s="1"/>
  <c r="S1972" i="4"/>
  <c r="T1972" i="4" s="1"/>
  <c r="S1973" i="4"/>
  <c r="T1973" i="4" s="1"/>
  <c r="S1974" i="4"/>
  <c r="T1974" i="4" s="1"/>
  <c r="S1975" i="4"/>
  <c r="T1975" i="4" s="1"/>
  <c r="S1976" i="4"/>
  <c r="T1976" i="4" s="1"/>
  <c r="S1977" i="4"/>
  <c r="T1977" i="4" s="1"/>
  <c r="S1978" i="4"/>
  <c r="T1978" i="4" s="1"/>
  <c r="S1979" i="4"/>
  <c r="T1979" i="4" s="1"/>
  <c r="S1980" i="4"/>
  <c r="T1980" i="4" s="1"/>
  <c r="S1981" i="4"/>
  <c r="T1981" i="4" s="1"/>
  <c r="S1982" i="4"/>
  <c r="T1982" i="4" s="1"/>
  <c r="S1983" i="4"/>
  <c r="T1983" i="4" s="1"/>
  <c r="S1984" i="4"/>
  <c r="T1984" i="4" s="1"/>
  <c r="S1985" i="4"/>
  <c r="T1985" i="4" s="1"/>
  <c r="S1986" i="4"/>
  <c r="T1986" i="4" s="1"/>
  <c r="S1987" i="4"/>
  <c r="T1987" i="4" s="1"/>
  <c r="S1988" i="4"/>
  <c r="T1988" i="4" s="1"/>
  <c r="S1989" i="4"/>
  <c r="T1989" i="4" s="1"/>
  <c r="S1990" i="4"/>
  <c r="T1990" i="4" s="1"/>
  <c r="S1991" i="4"/>
  <c r="T1991" i="4" s="1"/>
  <c r="S1992" i="4"/>
  <c r="T1992" i="4" s="1"/>
  <c r="S1993" i="4"/>
  <c r="T1993" i="4" s="1"/>
  <c r="S1994" i="4"/>
  <c r="T1994" i="4" s="1"/>
  <c r="S1995" i="4"/>
  <c r="T1995" i="4" s="1"/>
  <c r="S1996" i="4"/>
  <c r="T1996" i="4" s="1"/>
  <c r="S1997" i="4"/>
  <c r="T1997" i="4" s="1"/>
  <c r="S1998" i="4"/>
  <c r="T1998" i="4" s="1"/>
  <c r="S1999" i="4"/>
  <c r="T1999" i="4" s="1"/>
  <c r="S2000" i="4"/>
  <c r="T2000" i="4" s="1"/>
  <c r="S2001" i="4"/>
  <c r="T200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99092C-C1DE-484B-AED2-F8196AC98983}" keepAlive="1" name="Query - Excel_Advanced_Sales_Dataset_2000" description="Connection to the 'Excel_Advanced_Sales_Dataset_2000' query in the workbook." type="5" refreshedVersion="8" background="1" saveData="1">
    <dbPr connection="Provider=Microsoft.Mashup.OleDb.1;Data Source=$Workbook$;Location=Excel_Advanced_Sales_Dataset_2000;Extended Properties=&quot;&quot;" command="SELECT * FROM [Excel_Advanced_Sales_Dataset_2000]"/>
  </connection>
  <connection id="2" xr16:uid="{5D3FCD57-455B-41A3-9B69-F4B77C489492}" keepAlive="1" name="Query - Excel_Advanced_Sales_Dataset_2000 (2)" description="Connection to the 'Excel_Advanced_Sales_Dataset_2000 (2)' query in the workbook." type="5" refreshedVersion="0" background="1">
    <dbPr connection="Provider=Microsoft.Mashup.OleDb.1;Data Source=$Workbook$;Location=&quot;Excel_Advanced_Sales_Dataset_2000 (2)&quot;;Extended Properties=&quot;&quot;" command="SELECT * FROM [Excel_Advanced_Sales_Dataset_2000 (2)]"/>
  </connection>
  <connection id="3" xr16:uid="{57E01E01-74FF-40FD-A0B3-440DA57AF982}" keepAlive="1" name="Query - Excel_Advanced_Sales_Dataset_2000 (3)" description="Connection to the 'Excel_Advanced_Sales_Dataset_2000 (3)' query in the workbook." type="5" refreshedVersion="8" background="1" saveData="1">
    <dbPr connection="Provider=Microsoft.Mashup.OleDb.1;Data Source=$Workbook$;Location=&quot;Excel_Advanced_Sales_Dataset_2000 (3)&quot;;Extended Properties=&quot;&quot;" command="SELECT * FROM [Excel_Advanced_Sales_Dataset_2000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<sst xmlns="http://schemas.openxmlformats.org/spreadsheetml/2006/main" count="44036" uniqueCount="4597">
  <si>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</si>
  <si>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</si>
  <si>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</si>
  <si>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</si>
  <si>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</si>
  <si>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</si>
  <si>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</si>
  <si>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</si>
  <si>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</si>
  <si>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</si>
  <si>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</si>
  <si>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</si>
  <si>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</si>
  <si>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</si>
  <si>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</si>
  <si>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</si>
  <si>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</si>
  <si>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</si>
  <si>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</si>
  <si>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</si>
  <si>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</si>
  <si>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</si>
  <si>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</si>
  <si>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</si>
  <si>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</si>
  <si>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</si>
  <si>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</si>
  <si>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</si>
  <si>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</si>
  <si>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</si>
  <si>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</si>
  <si>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</si>
  <si>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</si>
  <si>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</si>
  <si>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</si>
  <si>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</si>
  <si>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</si>
  <si>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</si>
  <si>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</si>
  <si>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</si>
  <si>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</si>
  <si>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</si>
  <si>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</si>
  <si>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</si>
  <si>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</si>
  <si>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</si>
  <si>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</si>
  <si>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</si>
  <si>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</si>
  <si>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</si>
  <si>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</si>
  <si>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</si>
  <si>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</si>
  <si>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</si>
  <si>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</si>
  <si>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</si>
  <si>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</si>
  <si>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</si>
  <si>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</si>
  <si>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</si>
  <si>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</si>
  <si>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</si>
  <si>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</si>
  <si>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</si>
  <si>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</si>
  <si>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</si>
  <si>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</si>
  <si>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</si>
  <si>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</si>
  <si>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</si>
  <si>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</si>
  <si>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</si>
  <si>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</si>
  <si>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</si>
  <si>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</si>
  <si>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</si>
  <si>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</si>
  <si>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</si>
  <si>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</si>
  <si>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</si>
  <si>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</si>
  <si>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</si>
  <si>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</si>
  <si>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</si>
  <si>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</si>
  <si>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</si>
  <si>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</si>
  <si>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</si>
  <si>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</si>
  <si>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</si>
  <si>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</si>
  <si>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</si>
  <si>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</si>
  <si>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</si>
  <si>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</si>
  <si>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</si>
  <si>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</si>
  <si>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</si>
  <si>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</si>
  <si>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</si>
  <si>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</si>
  <si>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</si>
  <si>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</si>
  <si>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</si>
  <si>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</si>
  <si>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</si>
  <si>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</si>
  <si>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</si>
  <si>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</si>
  <si>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</si>
  <si>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</si>
  <si>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</si>
  <si>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</si>
  <si>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</si>
  <si>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</si>
  <si>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</si>
  <si>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</si>
  <si>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</si>
  <si>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</si>
  <si>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</si>
  <si>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</si>
  <si>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</si>
  <si>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</si>
  <si>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</si>
  <si>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</si>
  <si>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</si>
  <si>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</si>
  <si>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</si>
  <si>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</si>
  <si>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</si>
  <si>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</si>
  <si>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</si>
  <si>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</si>
  <si>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</si>
  <si>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</si>
  <si>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</si>
  <si>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</si>
  <si>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</si>
  <si>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</si>
  <si>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</si>
  <si>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</si>
  <si>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</si>
  <si>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</si>
  <si>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</si>
  <si>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</si>
  <si>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</si>
  <si>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</si>
  <si>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</si>
  <si>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</si>
  <si>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</si>
  <si>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</si>
  <si>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</si>
  <si>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</si>
  <si>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</si>
  <si>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</si>
  <si>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</si>
  <si>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</si>
  <si>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</si>
  <si>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</si>
  <si>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</si>
  <si>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</si>
  <si>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</si>
  <si>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</si>
  <si>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</si>
  <si>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</si>
  <si>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</si>
  <si>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</si>
  <si>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</si>
  <si>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</si>
  <si>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</si>
  <si>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</si>
  <si>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</si>
  <si>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</si>
  <si>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</si>
  <si>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</si>
  <si>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</si>
  <si>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</si>
  <si>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</si>
  <si>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</si>
  <si>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</si>
  <si>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</si>
  <si>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</si>
  <si>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</si>
  <si>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</si>
  <si>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</si>
  <si>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</si>
  <si>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</si>
  <si>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</si>
  <si>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</si>
  <si>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</si>
  <si>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</si>
  <si>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</si>
  <si>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</si>
  <si>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</si>
  <si>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</si>
  <si>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</si>
  <si>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</si>
  <si>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</si>
  <si>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</si>
  <si>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</si>
  <si>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</si>
  <si>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</si>
  <si>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</si>
  <si>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</si>
  <si>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</si>
  <si>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</si>
  <si>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</si>
  <si>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</si>
  <si>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</si>
  <si>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</si>
  <si>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</si>
  <si>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</si>
  <si>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</si>
  <si>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</si>
  <si>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</si>
  <si>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</si>
  <si>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</si>
  <si>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</si>
  <si>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</si>
  <si>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</si>
  <si>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</si>
  <si>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</si>
  <si>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</si>
  <si>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</si>
  <si>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</si>
  <si>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</si>
  <si>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</si>
  <si>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</si>
  <si>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</si>
  <si>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</si>
  <si>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</si>
  <si>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</si>
  <si>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</si>
  <si>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</si>
  <si>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</si>
  <si>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</si>
  <si>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</si>
  <si>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</si>
  <si>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</si>
  <si>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</si>
  <si>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</si>
  <si>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</si>
  <si>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</si>
  <si>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</si>
  <si>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</si>
  <si>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</si>
  <si>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</si>
  <si>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</si>
  <si>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</si>
  <si>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</si>
  <si>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</si>
  <si>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</si>
  <si>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</si>
  <si>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</si>
  <si>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</si>
  <si>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</si>
  <si>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</si>
  <si>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</si>
  <si>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</si>
  <si>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</si>
  <si>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</si>
  <si>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</si>
  <si>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</si>
  <si>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</si>
  <si>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</si>
  <si>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</si>
  <si>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</si>
  <si>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</si>
  <si>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</si>
  <si>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</si>
  <si>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</si>
  <si>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</si>
  <si>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</si>
  <si>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</si>
  <si>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</si>
  <si>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</si>
  <si>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</si>
  <si>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</si>
  <si>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</si>
  <si>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</si>
  <si>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</si>
  <si>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</si>
  <si>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</si>
  <si>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</si>
  <si>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</si>
  <si>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</si>
  <si>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</si>
  <si>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</si>
  <si>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</si>
  <si>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</si>
  <si>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</si>
  <si>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</si>
  <si>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</si>
  <si>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</si>
  <si>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</si>
  <si>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</si>
  <si>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</si>
  <si>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</si>
  <si>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</si>
  <si>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</si>
  <si>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</si>
  <si>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</si>
  <si>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</si>
  <si>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</si>
  <si>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</si>
  <si>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</si>
  <si>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</si>
  <si>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</si>
  <si>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</si>
  <si>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</si>
  <si>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</si>
  <si>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</si>
  <si>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</si>
  <si>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</si>
  <si>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</si>
  <si>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</si>
  <si>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</si>
  <si>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</si>
  <si>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</si>
  <si>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</si>
  <si>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</si>
  <si>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</si>
  <si>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</si>
  <si>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</si>
  <si>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</si>
  <si>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</si>
  <si>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</si>
  <si>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</si>
  <si>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</si>
  <si>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</si>
  <si>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</si>
  <si>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</si>
  <si>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</si>
  <si>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</si>
  <si>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</si>
  <si>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</si>
  <si>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</si>
  <si>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</si>
  <si>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</si>
  <si>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</si>
  <si>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</si>
  <si>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</si>
  <si>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</si>
  <si>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</si>
  <si>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</si>
  <si>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</si>
  <si>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</si>
  <si>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</si>
  <si>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</si>
  <si>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</si>
  <si>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</si>
  <si>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</si>
  <si>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</si>
  <si>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</si>
  <si>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</si>
  <si>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</si>
  <si>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</si>
  <si>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</si>
  <si>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</si>
  <si>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</si>
  <si>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</si>
  <si>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</si>
  <si>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</si>
  <si>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</si>
  <si>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</si>
  <si>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</si>
  <si>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</si>
  <si>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</si>
  <si>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</si>
  <si>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</si>
  <si>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</si>
  <si>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</si>
  <si>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</si>
  <si>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</si>
  <si>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</si>
  <si>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</si>
  <si>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</si>
  <si>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</si>
  <si>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</si>
  <si>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</si>
  <si>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</si>
  <si>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</si>
  <si>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</si>
  <si>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</si>
  <si>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</si>
  <si>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</si>
  <si>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</si>
  <si>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</si>
  <si>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</si>
  <si>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</si>
  <si>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</si>
  <si>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</si>
  <si>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</si>
  <si>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</si>
  <si>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</si>
  <si>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</si>
  <si>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</si>
  <si>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</si>
  <si>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</si>
  <si>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</si>
  <si>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</si>
  <si>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</si>
  <si>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</si>
  <si>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</si>
  <si>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</si>
  <si>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</si>
  <si>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</si>
  <si>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</si>
  <si>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</si>
  <si>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</si>
  <si>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</si>
  <si>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</si>
  <si>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</si>
  <si>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</si>
  <si>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</si>
  <si>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</si>
  <si>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</si>
  <si>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</si>
  <si>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</si>
  <si>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</si>
  <si>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</si>
  <si>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</si>
  <si>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</si>
  <si>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</si>
  <si>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</si>
  <si>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</si>
  <si>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</si>
  <si>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</si>
  <si>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</si>
  <si>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</si>
  <si>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</si>
  <si>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</si>
  <si>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</si>
  <si>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</si>
  <si>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</si>
  <si>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</si>
  <si>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</si>
  <si>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</si>
  <si>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</si>
  <si>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</si>
  <si>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</si>
  <si>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</si>
  <si>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</si>
  <si>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</si>
  <si>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</si>
  <si>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</si>
  <si>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</si>
  <si>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</si>
  <si>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</si>
  <si>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</si>
  <si>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</si>
  <si>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</si>
  <si>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</si>
  <si>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</si>
  <si>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</si>
  <si>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</si>
  <si>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</si>
  <si>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</si>
  <si>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</si>
  <si>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</si>
  <si>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</si>
  <si>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</si>
  <si>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</si>
  <si>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</si>
  <si>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</si>
  <si>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</si>
  <si>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</si>
  <si>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</si>
  <si>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</si>
  <si>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</si>
  <si>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</si>
  <si>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</si>
  <si>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</si>
  <si>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</si>
  <si>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</si>
  <si>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</si>
  <si>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</si>
  <si>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</si>
  <si>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</si>
  <si>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</si>
  <si>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</si>
  <si>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</si>
  <si>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</si>
  <si>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</si>
  <si>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</si>
  <si>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</si>
  <si>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</si>
  <si>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</si>
  <si>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</si>
  <si>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</si>
  <si>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</si>
  <si>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</si>
  <si>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</si>
  <si>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</si>
  <si>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</si>
  <si>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</si>
  <si>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</si>
  <si>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</si>
  <si>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</si>
  <si>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</si>
  <si>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</si>
  <si>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</si>
  <si>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</si>
  <si>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</si>
  <si>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</si>
  <si>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</si>
  <si>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</si>
  <si>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</si>
  <si>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</si>
  <si>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</si>
  <si>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</si>
  <si>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</si>
  <si>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</si>
  <si>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</si>
  <si>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</si>
  <si>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</si>
  <si>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</si>
  <si>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</si>
  <si>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</si>
  <si>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</si>
  <si>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</si>
  <si>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</si>
  <si>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</si>
  <si>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</si>
  <si>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</si>
  <si>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</si>
  <si>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</si>
  <si>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</si>
  <si>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</si>
  <si>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</si>
  <si>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</si>
  <si>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</si>
  <si>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</si>
  <si>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</si>
  <si>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</si>
  <si>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</si>
  <si>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</si>
  <si>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</si>
  <si>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</si>
  <si>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</si>
  <si>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</si>
  <si>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</si>
  <si>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</si>
  <si>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</si>
  <si>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</si>
  <si>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</si>
  <si>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</si>
  <si>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</si>
  <si>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</si>
  <si>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</si>
  <si>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</si>
  <si>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</si>
  <si>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</si>
  <si>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</si>
  <si>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</si>
  <si>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</si>
  <si>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</si>
  <si>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</si>
  <si>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</si>
  <si>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</si>
  <si>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</si>
  <si>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</si>
  <si>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</si>
  <si>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</si>
  <si>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</si>
  <si>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</si>
  <si>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</si>
  <si>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</si>
  <si>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</si>
  <si>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</si>
  <si>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</si>
  <si>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</si>
  <si>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</si>
  <si>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</si>
  <si>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</si>
  <si>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</si>
  <si>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</si>
  <si>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</si>
  <si>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</si>
  <si>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</si>
  <si>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</si>
  <si>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</si>
  <si>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</si>
  <si>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</si>
  <si>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</si>
  <si>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</si>
  <si>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</si>
  <si>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</si>
  <si>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</si>
  <si>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</si>
  <si>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</si>
  <si>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</si>
  <si>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</si>
  <si>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</si>
  <si>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</si>
  <si>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</si>
  <si>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</si>
  <si>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</si>
  <si>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</si>
  <si>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</si>
  <si>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</si>
  <si>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</si>
  <si>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</si>
  <si>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</si>
  <si>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</si>
  <si>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</si>
  <si>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</si>
  <si>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</si>
  <si>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</si>
  <si>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</si>
  <si>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</si>
  <si>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</si>
  <si>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</si>
  <si>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</si>
  <si>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</si>
  <si>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</si>
  <si>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</si>
  <si>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</si>
  <si>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</si>
  <si>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</si>
  <si>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</si>
  <si>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</si>
  <si>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</si>
  <si>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</si>
  <si>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</si>
  <si>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</si>
  <si>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</si>
  <si>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</si>
  <si>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</si>
  <si>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</si>
  <si>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</si>
  <si>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</si>
  <si>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</si>
  <si>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</si>
  <si>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</si>
  <si>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</si>
  <si>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</si>
  <si>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</si>
  <si>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</si>
  <si>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</si>
  <si>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</si>
  <si>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</si>
  <si>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</si>
  <si>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</si>
  <si>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</si>
  <si>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</si>
  <si>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</si>
  <si>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</si>
  <si>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</si>
  <si>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</si>
  <si>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</si>
  <si>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</si>
  <si>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</si>
  <si>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</si>
  <si>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</si>
  <si>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</si>
  <si>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</si>
  <si>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</si>
  <si>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</si>
  <si>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</si>
  <si>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</si>
  <si>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</si>
  <si>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</si>
  <si>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</si>
  <si>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</si>
  <si>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</si>
  <si>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</si>
  <si>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</si>
  <si>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</si>
  <si>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</si>
  <si>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</si>
  <si>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</si>
  <si>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</si>
  <si>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</si>
  <si>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</si>
  <si>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</si>
  <si>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</si>
  <si>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</si>
  <si>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</si>
  <si>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</si>
  <si>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</si>
  <si>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</si>
  <si>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</si>
  <si>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</si>
  <si>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</si>
  <si>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</si>
  <si>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</si>
  <si>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</si>
  <si>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</si>
  <si>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</si>
  <si>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</si>
  <si>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</si>
  <si>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</si>
  <si>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</si>
  <si>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</si>
  <si>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</si>
  <si>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</si>
  <si>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</si>
  <si>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</si>
  <si>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</si>
  <si>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</si>
  <si>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</si>
  <si>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</si>
  <si>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</si>
  <si>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</si>
  <si>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</si>
  <si>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</si>
  <si>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</si>
  <si>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</si>
  <si>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</si>
  <si>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</si>
  <si>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</si>
  <si>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</si>
  <si>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</si>
  <si>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</si>
  <si>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</si>
  <si>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</si>
  <si>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</si>
  <si>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</si>
  <si>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</si>
  <si>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</si>
  <si>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</si>
  <si>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</si>
  <si>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</si>
  <si>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</si>
  <si>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</si>
  <si>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</si>
  <si>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</si>
  <si>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</si>
  <si>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</si>
  <si>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</si>
  <si>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</si>
  <si>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</si>
  <si>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</si>
  <si>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</si>
  <si>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</si>
  <si>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</si>
  <si>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</si>
  <si>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</si>
  <si>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</si>
  <si>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</si>
  <si>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</si>
  <si>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</si>
  <si>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</si>
  <si>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</si>
  <si>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</si>
  <si>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</si>
  <si>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</si>
  <si>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</si>
  <si>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</si>
  <si>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</si>
  <si>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</si>
  <si>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</si>
  <si>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</si>
  <si>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</si>
  <si>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</si>
  <si>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</si>
  <si>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</si>
  <si>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</si>
  <si>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</si>
  <si>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</si>
  <si>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</si>
  <si>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</si>
  <si>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</si>
  <si>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</si>
  <si>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</si>
  <si>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</si>
  <si>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</si>
  <si>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</si>
  <si>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</si>
  <si>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</si>
  <si>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</si>
  <si>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</si>
  <si>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</si>
  <si>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</si>
  <si>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</si>
  <si>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</si>
  <si>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</si>
  <si>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</si>
  <si>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</si>
  <si>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</si>
  <si>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</si>
  <si>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</si>
  <si>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</si>
  <si>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</si>
  <si>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</si>
  <si>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</si>
  <si>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</si>
  <si>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</si>
  <si>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</si>
  <si>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</si>
  <si>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</si>
  <si>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</si>
  <si>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</si>
  <si>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</si>
  <si>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</si>
  <si>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</si>
  <si>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</si>
  <si>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</si>
  <si>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</si>
  <si>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</si>
  <si>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</si>
  <si>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</si>
  <si>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</si>
  <si>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</si>
  <si>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</si>
  <si>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</si>
  <si>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</si>
  <si>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</si>
  <si>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</si>
  <si>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</si>
  <si>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</si>
  <si>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</si>
  <si>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</si>
  <si>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</si>
  <si>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</si>
  <si>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</si>
  <si>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</si>
  <si>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</si>
  <si>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</si>
  <si>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</si>
  <si>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</si>
  <si>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</si>
  <si>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</si>
  <si>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</si>
  <si>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</si>
  <si>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</si>
  <si>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</si>
  <si>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</si>
  <si>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</si>
  <si>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</si>
  <si>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</si>
  <si>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</si>
  <si>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</si>
  <si>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</si>
  <si>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</si>
  <si>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</si>
  <si>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</si>
  <si>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</si>
  <si>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</si>
  <si>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</si>
  <si>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</si>
  <si>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</si>
  <si>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</si>
  <si>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</si>
  <si>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</si>
  <si>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</si>
  <si>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</si>
  <si>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</si>
  <si>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</si>
  <si>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</si>
  <si>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</si>
  <si>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</si>
  <si>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</si>
  <si>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</si>
  <si>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</si>
  <si>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</si>
  <si>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</si>
  <si>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</si>
  <si>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</si>
  <si>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</si>
  <si>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</si>
  <si>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</si>
  <si>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</si>
  <si>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</si>
  <si>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</si>
  <si>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</si>
  <si>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</si>
  <si>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</si>
  <si>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</si>
  <si>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</si>
  <si>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</si>
  <si>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</si>
  <si>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</si>
  <si>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</si>
  <si>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</si>
  <si>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</si>
  <si>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</si>
  <si>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</si>
  <si>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</si>
  <si>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</si>
  <si>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</si>
  <si>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</si>
  <si>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</si>
  <si>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</si>
  <si>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</si>
  <si>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</si>
  <si>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</si>
  <si>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</si>
  <si>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</si>
  <si>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</si>
  <si>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</si>
  <si>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</si>
  <si>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</si>
  <si>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</si>
  <si>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</si>
  <si>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</si>
  <si>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</si>
  <si>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</si>
  <si>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</si>
  <si>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</si>
  <si>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</si>
  <si>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</si>
  <si>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</si>
  <si>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</si>
  <si>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</si>
  <si>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</si>
  <si>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</si>
  <si>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</si>
  <si>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</si>
  <si>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</si>
  <si>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</si>
  <si>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</si>
  <si>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</si>
  <si>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</si>
  <si>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</si>
  <si>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</si>
  <si>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</si>
  <si>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</si>
  <si>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</si>
  <si>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</si>
  <si>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</si>
  <si>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</si>
  <si>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</si>
  <si>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</si>
  <si>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</si>
  <si>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</si>
  <si>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</si>
  <si>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</si>
  <si>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</si>
  <si>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</si>
  <si>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</si>
  <si>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</si>
  <si>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</si>
  <si>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</si>
  <si>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</si>
  <si>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</si>
  <si>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</si>
  <si>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</si>
  <si>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</si>
  <si>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</si>
  <si>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</si>
  <si>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</si>
  <si>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</si>
  <si>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</si>
  <si>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</si>
  <si>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</si>
  <si>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</si>
  <si>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</si>
  <si>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</si>
  <si>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</si>
  <si>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</si>
  <si>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</si>
  <si>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</si>
  <si>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</si>
  <si>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</si>
  <si>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</si>
  <si>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</si>
  <si>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</si>
  <si>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</si>
  <si>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</si>
  <si>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</si>
  <si>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</si>
  <si>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</si>
  <si>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</si>
  <si>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</si>
  <si>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</si>
  <si>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</si>
  <si>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</si>
  <si>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</si>
  <si>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</si>
  <si>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</si>
  <si>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</si>
  <si>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</si>
  <si>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</si>
  <si>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</si>
  <si>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</si>
  <si>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</si>
  <si>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</si>
  <si>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</si>
  <si>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</si>
  <si>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</si>
  <si>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</si>
  <si>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</si>
  <si>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</si>
  <si>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</si>
  <si>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</si>
  <si>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</si>
  <si>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</si>
  <si>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</si>
  <si>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</si>
  <si>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</si>
  <si>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</si>
  <si>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</si>
  <si>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</si>
  <si>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</si>
  <si>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</si>
  <si>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</si>
  <si>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</si>
  <si>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</si>
  <si>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</si>
  <si>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</si>
  <si>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</si>
  <si>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</si>
  <si>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</si>
  <si>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</si>
  <si>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</si>
  <si>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</si>
  <si>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</si>
  <si>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</si>
  <si>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</si>
  <si>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</si>
  <si>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</si>
  <si>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</si>
  <si>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</si>
  <si>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</si>
  <si>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</si>
  <si>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</si>
  <si>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</si>
  <si>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</si>
  <si>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</si>
  <si>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</si>
  <si>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</si>
  <si>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</si>
  <si>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</si>
  <si>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</si>
  <si>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</si>
  <si>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</si>
  <si>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</si>
  <si>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</si>
  <si>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</si>
  <si>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</si>
  <si>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</si>
  <si>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</si>
  <si>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</si>
  <si>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</si>
  <si>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</si>
  <si>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</si>
  <si>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</si>
  <si>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</si>
  <si>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</si>
  <si>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</si>
  <si>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</si>
  <si>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</si>
  <si>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</si>
  <si>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</si>
  <si>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</si>
  <si>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</si>
  <si>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</si>
  <si>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</si>
  <si>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</si>
  <si>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</si>
  <si>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</si>
  <si>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</si>
  <si>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</si>
  <si>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</si>
  <si>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</si>
  <si>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</si>
  <si>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</si>
  <si>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</si>
  <si>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</si>
  <si>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</si>
  <si>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</si>
  <si>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</si>
  <si>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</si>
  <si>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</si>
  <si>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</si>
  <si>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</si>
  <si>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</si>
  <si>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</si>
  <si>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</si>
  <si>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</si>
  <si>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</si>
  <si>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</si>
  <si>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</si>
  <si>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</si>
  <si>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</si>
  <si>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</si>
  <si>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</si>
  <si>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</si>
  <si>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</si>
  <si>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</si>
  <si>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</si>
  <si>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</si>
  <si>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</si>
  <si>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</si>
  <si>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</si>
  <si>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</si>
  <si>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</si>
  <si>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</si>
  <si>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</si>
  <si>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</si>
  <si>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</si>
  <si>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</si>
  <si>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</si>
  <si>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</si>
  <si>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</si>
  <si>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</si>
  <si>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</si>
  <si>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</si>
  <si>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</si>
  <si>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</si>
  <si>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</si>
  <si>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</si>
  <si>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</si>
  <si>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</si>
  <si>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</si>
  <si>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</si>
  <si>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</si>
  <si>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</si>
  <si>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</si>
  <si>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</si>
  <si>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</si>
  <si>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</si>
  <si>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</si>
  <si>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</si>
  <si>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</si>
  <si>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</si>
  <si>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</si>
  <si>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</si>
  <si>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</si>
  <si>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</si>
  <si>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</si>
  <si>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</si>
  <si>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</si>
  <si>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</si>
  <si>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</si>
  <si>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</si>
  <si>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</si>
  <si>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</si>
  <si>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</si>
  <si>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</si>
  <si>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</si>
  <si>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</si>
  <si>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</si>
  <si>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</si>
  <si>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</si>
  <si>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</si>
  <si>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</si>
  <si>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</si>
  <si>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</si>
  <si>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</si>
  <si>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</si>
  <si>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</si>
  <si>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</si>
  <si>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</si>
  <si>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</si>
  <si>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</si>
  <si>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</si>
  <si>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</si>
  <si>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</si>
  <si>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</si>
  <si>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</si>
  <si>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</si>
  <si>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</si>
  <si>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</si>
  <si>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</si>
  <si>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</si>
  <si>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</si>
  <si>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</si>
  <si>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</si>
  <si>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</si>
  <si>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</si>
  <si>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</si>
  <si>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</si>
  <si>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</si>
  <si>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</si>
  <si>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</si>
  <si>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</si>
  <si>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</si>
  <si>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</si>
  <si>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</si>
  <si>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</si>
  <si>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</si>
  <si>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</si>
  <si>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</si>
  <si>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</si>
  <si>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</si>
  <si>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</si>
  <si>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</si>
  <si>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</si>
  <si>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</si>
  <si>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</si>
  <si>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</si>
  <si>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</si>
  <si>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</si>
  <si>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</si>
  <si>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</si>
  <si>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</si>
  <si>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</si>
  <si>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</si>
  <si>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</si>
  <si>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</si>
  <si>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</si>
  <si>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</si>
  <si>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</si>
  <si>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</si>
  <si>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</si>
  <si>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</si>
  <si>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</si>
  <si>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</si>
  <si>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</si>
  <si>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</si>
  <si>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</si>
  <si>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</si>
  <si>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</si>
  <si>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</si>
  <si>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</si>
  <si>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</si>
  <si>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</si>
  <si>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</si>
  <si>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</si>
  <si>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</si>
  <si>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</si>
  <si>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</si>
  <si>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</si>
  <si>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</si>
  <si>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</si>
  <si>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</si>
  <si>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</si>
  <si>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</si>
  <si>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</si>
  <si>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</si>
  <si>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</si>
  <si>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</si>
  <si>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</si>
  <si>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</si>
  <si>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</si>
  <si>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</si>
  <si>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</si>
  <si>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</si>
  <si>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</si>
  <si>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</si>
  <si>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</si>
  <si>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</si>
  <si>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</si>
  <si>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</si>
  <si>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</si>
  <si>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</si>
  <si>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</si>
  <si>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</si>
  <si>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</si>
  <si>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</si>
  <si>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</si>
  <si>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</si>
  <si>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</si>
  <si>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</si>
  <si>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</si>
  <si>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</si>
  <si>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</si>
  <si>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</si>
  <si>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</si>
  <si>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</si>
  <si>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</si>
  <si>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</si>
  <si>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</si>
  <si>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</si>
  <si>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</si>
  <si>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</si>
  <si>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</si>
  <si>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</si>
  <si>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</si>
  <si>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</si>
  <si>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</si>
  <si>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</si>
  <si>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</si>
  <si>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</si>
  <si>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</si>
  <si>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</si>
  <si>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</si>
  <si>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</si>
  <si>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</si>
  <si>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</si>
  <si>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</si>
  <si>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</si>
  <si>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</si>
  <si>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</si>
  <si>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</si>
  <si>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</si>
  <si>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</si>
  <si>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</si>
  <si>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</si>
  <si>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</si>
  <si>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</si>
  <si>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</si>
  <si>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</si>
  <si>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</si>
  <si>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</si>
  <si>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</si>
  <si>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</si>
  <si>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</si>
  <si>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</si>
  <si>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</si>
  <si>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</si>
  <si>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</si>
  <si>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</si>
  <si>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</si>
  <si>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</si>
  <si>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</si>
  <si>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</si>
  <si>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</si>
  <si>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</si>
  <si>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</si>
  <si>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</si>
  <si>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</si>
  <si>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</si>
  <si>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</si>
  <si>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</si>
  <si>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</si>
  <si>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</si>
  <si>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</si>
  <si>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</si>
  <si>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</si>
  <si>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</si>
  <si>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</si>
  <si>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</si>
  <si>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</si>
  <si>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</si>
  <si>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</si>
  <si>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</si>
  <si>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</si>
  <si>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</si>
  <si>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</si>
  <si>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</si>
  <si>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</si>
  <si>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</si>
  <si>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</si>
  <si>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</si>
  <si>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</si>
  <si>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</si>
  <si>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</si>
  <si>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</si>
  <si>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</si>
  <si>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</si>
  <si>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</si>
  <si>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</si>
  <si>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</si>
  <si>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</si>
  <si>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</si>
  <si>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</si>
  <si>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</si>
  <si>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</si>
  <si>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</si>
  <si>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</si>
  <si>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</si>
  <si>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</si>
  <si>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</si>
  <si>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</si>
  <si>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</si>
  <si>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</si>
  <si>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</si>
  <si>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</si>
  <si>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</si>
  <si>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</si>
  <si>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</si>
  <si>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</si>
  <si>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</si>
  <si>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</si>
  <si>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</si>
  <si>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</si>
  <si>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</si>
  <si>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</si>
  <si>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</si>
  <si>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</si>
  <si>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</si>
  <si>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</si>
  <si>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</si>
  <si>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</si>
  <si>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</si>
  <si>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</si>
  <si>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</si>
  <si>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</si>
  <si>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</si>
  <si>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</si>
  <si>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</si>
  <si>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</si>
  <si>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</si>
  <si>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</si>
  <si>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</si>
  <si>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</si>
  <si>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</si>
  <si>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</si>
  <si>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</si>
  <si>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</si>
  <si>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</si>
  <si>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</si>
  <si>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</si>
  <si>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</si>
  <si>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</si>
  <si>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</si>
  <si>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</si>
  <si>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</si>
  <si>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</si>
  <si>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</si>
  <si>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</si>
  <si>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</si>
  <si>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</si>
  <si>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</si>
  <si>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</si>
  <si>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</si>
  <si>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</si>
  <si>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</si>
  <si>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</si>
  <si>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</si>
  <si>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</si>
  <si>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</si>
  <si>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</si>
  <si>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</si>
  <si>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</si>
  <si>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</si>
  <si>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</si>
  <si>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</si>
  <si>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</si>
  <si>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</si>
  <si>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</si>
  <si>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</si>
  <si>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</si>
  <si>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</si>
  <si>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</si>
  <si>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</si>
  <si>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</si>
  <si>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</si>
  <si>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</si>
  <si>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</si>
  <si>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</si>
  <si>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</si>
  <si>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</si>
  <si>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</si>
  <si>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</si>
  <si>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</si>
  <si>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</si>
  <si>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</si>
  <si>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</si>
  <si>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</si>
  <si>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</si>
  <si>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</si>
  <si>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</si>
  <si>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</si>
  <si>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</si>
  <si>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</si>
  <si>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</si>
  <si>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</si>
  <si>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</si>
  <si>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</si>
  <si>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</si>
  <si>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</si>
  <si>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</si>
  <si>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</si>
  <si>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</si>
  <si>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</si>
  <si>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</si>
  <si>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</si>
  <si>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</si>
  <si>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</si>
  <si>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</si>
  <si>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</si>
  <si>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</si>
  <si>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</si>
  <si>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</si>
  <si>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</si>
  <si>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</si>
  <si>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</si>
  <si>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</si>
  <si>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</si>
  <si>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</si>
  <si>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</si>
  <si>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</si>
  <si>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</si>
  <si>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</si>
  <si>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</si>
  <si>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</si>
  <si>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</si>
  <si>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</si>
  <si>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</si>
  <si>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</si>
  <si>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</si>
  <si>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</si>
  <si>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</si>
  <si>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</si>
  <si>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</si>
  <si>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</si>
  <si>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</si>
  <si>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</si>
  <si>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</si>
  <si>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</si>
  <si>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</si>
  <si>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</si>
  <si>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</si>
  <si>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</si>
  <si>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</si>
  <si>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</si>
  <si>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</si>
  <si>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</si>
  <si>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</si>
  <si>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</si>
  <si>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</si>
  <si>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</si>
  <si>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</si>
  <si>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</si>
  <si>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</si>
  <si>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</si>
  <si>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</si>
  <si>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</si>
  <si>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</si>
  <si>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</si>
  <si>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</si>
  <si>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</si>
  <si>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</si>
  <si>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</si>
  <si>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</si>
  <si>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</si>
  <si>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</si>
  <si>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</si>
  <si>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</si>
  <si>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</si>
  <si>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</si>
  <si>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</si>
  <si>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</si>
  <si>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</si>
  <si>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</si>
  <si>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</si>
  <si>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</si>
  <si>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</si>
  <si>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</si>
  <si>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</si>
  <si>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</si>
  <si>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</si>
  <si>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</si>
  <si>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</si>
  <si>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</si>
  <si>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</si>
  <si>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</si>
  <si>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</si>
  <si>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</si>
  <si>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</si>
  <si>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</si>
  <si>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</si>
  <si>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</si>
  <si>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</si>
  <si>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</si>
  <si>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</si>
  <si>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</si>
  <si>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</si>
  <si>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</si>
  <si>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</si>
  <si>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</si>
  <si>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</si>
  <si>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</si>
  <si>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</si>
  <si>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</si>
  <si>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</si>
  <si>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</si>
  <si>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</si>
  <si>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</si>
  <si>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</si>
  <si>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</si>
  <si>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</si>
  <si>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</si>
  <si>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</si>
  <si>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</si>
  <si>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</si>
  <si>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</si>
  <si>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</si>
  <si>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</si>
  <si>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</si>
  <si>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</si>
  <si>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</si>
  <si>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</si>
  <si>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</si>
  <si>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</si>
  <si>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</si>
  <si>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</si>
  <si>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</si>
  <si>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</si>
  <si>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</si>
  <si>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</si>
  <si>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</si>
  <si>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</si>
  <si>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</si>
  <si>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</si>
  <si>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</si>
  <si>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</si>
  <si>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</si>
  <si>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</si>
  <si>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</si>
  <si>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</si>
  <si>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</si>
  <si>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</si>
  <si>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</si>
  <si>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</si>
  <si>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</si>
  <si>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</si>
  <si>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</si>
  <si>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</si>
  <si>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</si>
  <si>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</si>
  <si>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</si>
  <si>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</si>
  <si>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</si>
  <si>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</si>
  <si>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</si>
  <si>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</si>
  <si>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</si>
  <si>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</si>
  <si>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</si>
  <si>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</si>
  <si>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</si>
  <si>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</si>
  <si>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</si>
  <si>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</si>
  <si>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</si>
  <si>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</si>
  <si>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</si>
  <si>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</si>
  <si>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</si>
  <si>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</si>
  <si>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</si>
  <si>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</si>
  <si>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</si>
  <si>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</si>
  <si>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</si>
  <si>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</si>
  <si>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</si>
  <si>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</si>
  <si>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</si>
  <si>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</si>
  <si>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</si>
  <si>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</si>
  <si>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</si>
  <si>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</si>
  <si>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</si>
  <si>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</si>
  <si>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</si>
  <si>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</si>
  <si>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</si>
  <si>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</si>
  <si>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</si>
  <si>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</si>
  <si>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</si>
  <si>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</si>
  <si>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</si>
  <si>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</si>
  <si>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</si>
  <si>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</si>
  <si>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</si>
  <si>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</si>
  <si>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</si>
  <si>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</si>
  <si>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</si>
  <si>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</si>
  <si>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</si>
  <si>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</si>
  <si>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</si>
  <si>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</si>
  <si>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</si>
  <si>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</si>
  <si>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</si>
  <si>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</si>
  <si>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</si>
  <si>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</si>
  <si>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</si>
  <si>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</si>
  <si>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</si>
  <si>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</si>
  <si>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</si>
  <si>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</si>
  <si>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</si>
  <si>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</si>
  <si>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</si>
  <si>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</si>
  <si>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</si>
  <si>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</si>
  <si>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</si>
  <si>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</si>
  <si>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</si>
  <si>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</si>
  <si>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</si>
  <si>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</si>
  <si>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</si>
  <si>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</si>
  <si>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</si>
  <si>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</si>
  <si>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</si>
  <si>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</si>
  <si>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</si>
  <si>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</si>
  <si>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</si>
  <si>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</si>
  <si>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</si>
  <si>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</si>
  <si>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</si>
  <si>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</si>
  <si>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</si>
  <si>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</si>
  <si>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</si>
  <si>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</si>
  <si>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</si>
  <si>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</si>
  <si>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</si>
  <si>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</si>
  <si>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</si>
  <si>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</si>
  <si>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</si>
  <si>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</si>
  <si>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</si>
  <si>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</si>
  <si>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</si>
  <si>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</si>
  <si>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</si>
  <si>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</si>
  <si>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</si>
  <si>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</si>
  <si>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</si>
  <si>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</si>
  <si>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</si>
  <si>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</si>
  <si>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</si>
  <si>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</si>
  <si>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</si>
  <si>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</si>
  <si>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</si>
  <si>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</si>
  <si>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</si>
  <si>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</si>
  <si>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</si>
  <si>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</si>
  <si>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</si>
  <si>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</si>
  <si>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</si>
  <si>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</si>
  <si>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</si>
  <si>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</si>
  <si>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</si>
  <si>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</si>
  <si>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</si>
  <si>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</si>
  <si>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</si>
  <si>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</si>
  <si>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</si>
  <si>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</si>
  <si>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</si>
  <si>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</si>
  <si>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</si>
  <si>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</si>
  <si>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</si>
  <si>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</si>
  <si>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</si>
  <si>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</si>
  <si>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</si>
  <si>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</si>
  <si>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</si>
  <si>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</si>
  <si>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</si>
  <si>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</si>
  <si>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</si>
  <si>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</si>
  <si>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</si>
  <si>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</si>
  <si>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</si>
  <si>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</si>
  <si>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</si>
  <si>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</si>
  <si>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</si>
  <si>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</si>
  <si>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</si>
  <si>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</si>
  <si>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</si>
  <si>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</si>
  <si>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</si>
  <si>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</si>
  <si>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</si>
  <si>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</si>
  <si>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</si>
  <si>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</si>
  <si>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</si>
  <si>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</si>
  <si>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</si>
  <si>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</si>
  <si>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</si>
  <si>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</si>
  <si>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</si>
  <si>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</si>
  <si>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</si>
  <si>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</si>
  <si>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</si>
  <si>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</si>
  <si>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</si>
  <si>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</si>
  <si>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</si>
  <si>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</si>
  <si>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</si>
  <si>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</si>
  <si>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</si>
  <si>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</si>
  <si>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</si>
  <si>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</si>
  <si>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</si>
  <si>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</si>
  <si>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</si>
  <si>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</si>
  <si>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</si>
  <si>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</si>
  <si>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</si>
  <si>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</si>
  <si>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</si>
  <si>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</si>
  <si>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</si>
  <si>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</si>
  <si>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</si>
  <si>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</si>
  <si>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</si>
  <si>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</si>
  <si>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</si>
  <si>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</si>
  <si>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</si>
  <si>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</si>
  <si>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</si>
  <si>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</si>
  <si>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</si>
  <si>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</si>
  <si>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</si>
  <si>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</si>
  <si>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</si>
  <si>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</si>
  <si>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</si>
  <si>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</si>
  <si>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</si>
  <si>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</si>
  <si>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</si>
  <si>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</si>
  <si>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</si>
  <si>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</si>
  <si>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</si>
  <si>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</si>
  <si>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</si>
  <si>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</si>
  <si>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</si>
  <si>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</si>
  <si>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</si>
  <si>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</si>
  <si>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</si>
  <si>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</si>
  <si>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</si>
  <si>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</si>
  <si>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</si>
  <si>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</si>
  <si>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</si>
  <si>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</si>
  <si>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</si>
  <si>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</si>
  <si>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</si>
  <si>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</si>
  <si>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</si>
  <si>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</si>
  <si>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</si>
  <si>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</si>
  <si>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</si>
  <si>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</si>
  <si>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</si>
  <si>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</si>
  <si>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</si>
  <si>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</si>
  <si>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</si>
  <si>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</si>
  <si>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</si>
  <si>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</si>
  <si>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</si>
  <si>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</si>
  <si>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</si>
  <si>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</si>
  <si>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</si>
  <si>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</si>
  <si>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</si>
  <si>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</si>
  <si>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</si>
  <si>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</si>
  <si>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</si>
  <si>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</si>
  <si>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</si>
  <si>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</si>
  <si>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</si>
  <si>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</si>
  <si>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</si>
  <si>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</si>
  <si>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</si>
  <si>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</si>
  <si>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</si>
  <si>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</si>
  <si>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</si>
  <si>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</si>
  <si>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</si>
  <si>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</si>
  <si>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</si>
  <si>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</si>
  <si>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</si>
  <si>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</si>
  <si>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</si>
  <si>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</si>
  <si>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</si>
  <si>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</si>
  <si>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</si>
  <si>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</si>
  <si>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</si>
  <si>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</si>
  <si>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</si>
  <si>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</si>
  <si>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</si>
  <si>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</si>
  <si>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</si>
  <si>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</si>
  <si>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</si>
  <si>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</si>
  <si>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</si>
  <si>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</si>
  <si>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</si>
  <si>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</si>
  <si>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</si>
  <si>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</si>
  <si>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</si>
  <si>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</si>
  <si>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</si>
  <si>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</si>
  <si>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</si>
  <si>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</si>
  <si>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</si>
  <si>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</si>
  <si>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</si>
  <si>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</si>
  <si>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</si>
  <si>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</si>
  <si>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</si>
  <si>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</si>
  <si>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</si>
  <si>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</si>
  <si>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</si>
  <si>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</si>
  <si>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</si>
  <si>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</si>
  <si>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</si>
  <si>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</si>
  <si>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</si>
  <si>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</si>
  <si>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</si>
  <si>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</si>
  <si>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</si>
  <si>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</si>
  <si>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</si>
  <si>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</si>
  <si>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</si>
  <si>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</si>
  <si>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</si>
  <si>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</si>
  <si>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</si>
  <si>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</si>
  <si>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</si>
  <si>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</si>
  <si>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</si>
  <si>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</si>
  <si>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</si>
  <si>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</si>
  <si>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</si>
  <si>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</si>
  <si>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</si>
  <si>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</si>
  <si>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</si>
  <si>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</si>
  <si>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</si>
  <si>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</si>
  <si>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</si>
  <si>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</si>
  <si>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</si>
  <si>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</si>
  <si>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</si>
  <si>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</si>
  <si>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</si>
  <si>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</si>
  <si>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</si>
  <si>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</si>
  <si>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</si>
  <si>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</si>
  <si>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</si>
  <si>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</si>
  <si>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</si>
  <si>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</si>
  <si>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</si>
  <si>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</si>
  <si>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</si>
  <si>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</si>
  <si>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</si>
  <si>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</si>
  <si>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</si>
  <si>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</si>
  <si>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</si>
  <si>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</si>
  <si>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</si>
  <si>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</si>
  <si>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</si>
  <si>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</si>
  <si>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</si>
  <si>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</si>
  <si>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</si>
  <si>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</si>
  <si>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</si>
  <si>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</si>
  <si>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</si>
  <si>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</si>
  <si>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</si>
  <si>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</si>
  <si>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</si>
  <si>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</si>
  <si>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</si>
  <si>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</si>
  <si>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</si>
  <si>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</si>
  <si>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</si>
  <si>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</si>
  <si>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</si>
  <si>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</si>
  <si>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</si>
  <si>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</si>
  <si>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</si>
  <si>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</si>
  <si>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</si>
  <si>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</si>
  <si>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</si>
  <si>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</si>
  <si>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</si>
  <si>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</si>
  <si>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</si>
  <si>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</si>
  <si>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</si>
  <si>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</si>
  <si>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</si>
  <si>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</si>
  <si>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</si>
  <si>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</si>
  <si>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</si>
  <si>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</si>
  <si>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</si>
  <si>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</si>
  <si>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</si>
  <si>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</si>
  <si>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</si>
  <si>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</si>
  <si>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</si>
  <si>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</si>
  <si>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</si>
  <si>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</si>
  <si>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</si>
  <si>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</si>
  <si>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</si>
  <si>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</si>
  <si>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</si>
  <si>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</si>
  <si>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</si>
  <si>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</si>
  <si>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</si>
  <si>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</si>
  <si>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</si>
  <si>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</si>
  <si>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</si>
  <si>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</si>
  <si>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</si>
  <si>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</si>
  <si>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</si>
  <si>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</si>
  <si>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</si>
  <si>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</si>
  <si>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</si>
  <si>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</si>
  <si>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</si>
  <si>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</si>
  <si>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</si>
  <si>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</si>
  <si>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</si>
  <si>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</si>
  <si>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</si>
  <si>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</si>
  <si>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</si>
  <si>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</si>
  <si>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</si>
  <si>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</si>
  <si>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</si>
  <si>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</si>
  <si>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</si>
  <si>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</si>
  <si>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</si>
  <si>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</si>
  <si>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</si>
  <si>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</si>
  <si>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</si>
  <si>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</si>
  <si>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</si>
  <si>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</si>
  <si>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</si>
  <si>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</si>
  <si>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</si>
  <si>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</si>
  <si>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</si>
  <si>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</si>
  <si>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</si>
  <si>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</si>
  <si>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</si>
  <si>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</si>
  <si>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</si>
  <si>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</si>
  <si>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</si>
  <si>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</si>
  <si>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</si>
  <si>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</si>
  <si>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</si>
  <si>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</si>
  <si>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</si>
  <si>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</si>
  <si>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</si>
  <si>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</si>
  <si>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</si>
  <si>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</si>
  <si>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</si>
  <si>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</si>
  <si>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</si>
  <si>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</si>
  <si>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</si>
  <si>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</si>
  <si>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</si>
  <si>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</si>
  <si>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</si>
  <si>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</si>
  <si>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</si>
  <si>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</si>
  <si>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</si>
  <si>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</si>
  <si>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</si>
  <si>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</si>
  <si>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</si>
  <si>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</si>
  <si>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</si>
  <si>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</si>
  <si>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</si>
  <si>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</si>
  <si>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</si>
  <si>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</si>
  <si>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</si>
  <si>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</si>
  <si>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</si>
  <si>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</si>
  <si>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</si>
  <si>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</si>
  <si>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</si>
  <si>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</si>
  <si>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</si>
  <si>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</si>
  <si>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</si>
  <si>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</si>
  <si>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</si>
  <si>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</si>
  <si>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</si>
  <si>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</si>
  <si>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</si>
  <si>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</si>
  <si>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</si>
  <si>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</si>
  <si>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</si>
  <si>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</si>
  <si>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</si>
  <si>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</si>
  <si>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</si>
  <si>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</si>
  <si>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</si>
  <si>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</si>
  <si>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</si>
  <si>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</si>
  <si>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</si>
  <si>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</si>
  <si>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</si>
  <si>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</si>
  <si>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</si>
  <si>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</si>
  <si>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</si>
  <si>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</si>
  <si>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</si>
  <si>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</si>
  <si>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</si>
  <si>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</si>
  <si>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</si>
  <si>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</si>
  <si>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</si>
  <si>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</si>
  <si>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</si>
  <si>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</si>
  <si>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</si>
  <si>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</si>
  <si>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</si>
  <si>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</si>
  <si>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</si>
  <si>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</si>
  <si>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</si>
  <si>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</si>
  <si>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</si>
  <si>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</si>
  <si>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</si>
  <si>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</si>
  <si>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</si>
  <si>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</si>
  <si>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</si>
  <si>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</si>
  <si>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</si>
  <si>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</si>
  <si>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</si>
  <si>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</si>
  <si>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</si>
  <si>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</si>
  <si>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</si>
  <si>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</si>
  <si>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</si>
  <si>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</si>
  <si>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</si>
  <si>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</si>
  <si>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</si>
  <si>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</si>
  <si>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</si>
  <si>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</si>
  <si>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</si>
  <si>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</si>
  <si>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</si>
  <si>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</si>
  <si>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</si>
  <si>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</si>
  <si>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</si>
  <si>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</si>
  <si>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</si>
  <si>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</si>
  <si>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</si>
  <si>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</si>
  <si>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</si>
  <si>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</si>
  <si>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</si>
  <si>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</si>
  <si>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</si>
  <si>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</si>
  <si>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</si>
  <si>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</si>
  <si>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</si>
  <si>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</si>
  <si>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</si>
  <si>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</si>
  <si>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</si>
  <si>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</si>
  <si>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</si>
  <si>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</si>
  <si>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</si>
  <si>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</si>
  <si>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</si>
  <si>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</si>
  <si>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</si>
  <si>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</si>
  <si>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</si>
  <si>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</si>
  <si>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</si>
  <si>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</si>
  <si>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</si>
  <si>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</si>
  <si>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</si>
  <si>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</si>
  <si>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</si>
  <si>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</si>
  <si>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</si>
  <si>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</si>
  <si>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</si>
  <si>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</si>
  <si>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</si>
  <si>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</si>
  <si>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</si>
  <si>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</si>
  <si>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</si>
  <si>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</si>
  <si>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</si>
  <si>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</si>
  <si>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</si>
  <si>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</si>
  <si>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</si>
  <si>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</si>
  <si>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</si>
  <si>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</si>
  <si>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</si>
  <si>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</si>
  <si>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</si>
  <si>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</si>
  <si>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</si>
  <si>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</si>
  <si>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</si>
  <si>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</si>
  <si>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</si>
  <si>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</si>
  <si>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</si>
  <si>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</si>
  <si>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</si>
  <si>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</si>
  <si>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</si>
  <si>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</si>
  <si>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</si>
  <si>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</si>
  <si>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</si>
  <si>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</si>
  <si>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</si>
  <si>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</si>
  <si>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</si>
  <si>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</si>
  <si>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</si>
  <si>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</si>
  <si>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</si>
  <si>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</si>
  <si>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</si>
  <si>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</si>
  <si>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</si>
  <si>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</si>
  <si>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</si>
  <si>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</si>
  <si>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</si>
  <si>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</si>
  <si>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</si>
  <si>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</si>
  <si>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</si>
  <si>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</si>
  <si>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</si>
  <si>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</si>
  <si>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</si>
  <si>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</si>
  <si>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</si>
  <si>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</si>
  <si>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</si>
  <si>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</si>
  <si>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</si>
  <si>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</si>
  <si>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</si>
  <si>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</si>
  <si>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</si>
  <si>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</si>
  <si>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</si>
  <si>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</si>
  <si>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</si>
  <si>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</si>
  <si>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</si>
  <si>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</si>
  <si>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</si>
  <si>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</si>
  <si>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</si>
  <si>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</si>
  <si>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</si>
  <si>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</si>
  <si>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</si>
  <si>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</si>
  <si>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</si>
  <si>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</si>
  <si>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</si>
  <si>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</si>
  <si>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</si>
  <si>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</si>
  <si>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</si>
  <si>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</si>
  <si>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</si>
  <si>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</si>
  <si>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</si>
  <si>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</si>
  <si>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</si>
  <si>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</si>
  <si>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</si>
  <si>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</si>
  <si>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</si>
  <si>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</si>
  <si>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</si>
  <si>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</si>
  <si>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</si>
  <si>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</si>
  <si>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</si>
  <si>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</si>
  <si>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</si>
  <si>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</si>
  <si>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</si>
  <si>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</si>
  <si>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</si>
  <si>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</si>
  <si>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</si>
  <si>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</si>
  <si>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</si>
  <si>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</si>
  <si>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</si>
  <si>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</si>
  <si>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</si>
  <si>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</si>
  <si>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</si>
  <si>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</si>
  <si>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</si>
  <si>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</si>
  <si>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</si>
  <si>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</si>
  <si>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</si>
  <si>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</si>
  <si>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</si>
  <si>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</si>
  <si>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</si>
  <si>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</si>
  <si>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</si>
  <si>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</si>
  <si>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</si>
  <si>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</si>
  <si>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</si>
  <si>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</si>
  <si>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</si>
  <si>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</si>
  <si>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</si>
  <si>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</si>
  <si>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</si>
  <si>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</si>
  <si>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</si>
  <si>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</si>
  <si>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</si>
  <si>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</si>
  <si>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</si>
  <si>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</si>
  <si>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</si>
  <si>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</si>
  <si>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</si>
  <si>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</si>
  <si>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</si>
  <si>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</si>
  <si>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</si>
  <si>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</si>
  <si>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</si>
  <si>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</si>
  <si>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</si>
  <si>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</si>
  <si>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</si>
  <si>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</si>
  <si>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</si>
  <si>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</si>
  <si>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</si>
  <si>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</si>
  <si>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</si>
  <si>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</si>
  <si>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</si>
  <si>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</si>
  <si>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</si>
  <si>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</si>
  <si>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</si>
  <si>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</si>
  <si>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</si>
  <si>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</si>
  <si>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</si>
  <si>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</si>
  <si>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</si>
  <si>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</si>
  <si>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</si>
  <si>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</si>
  <si>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</si>
  <si>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</si>
  <si>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</si>
  <si>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</si>
  <si>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</si>
  <si>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</si>
  <si>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</si>
  <si>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</si>
  <si>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</si>
  <si>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</si>
  <si>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</si>
  <si>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</si>
  <si>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</si>
  <si>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</si>
  <si>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</si>
  <si>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</si>
  <si>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</si>
  <si>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</si>
  <si>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</si>
  <si>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</si>
  <si>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</si>
  <si>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</si>
  <si>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</si>
  <si>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</si>
  <si>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</si>
  <si>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</si>
  <si>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</si>
  <si>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</si>
  <si>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</si>
  <si>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</si>
  <si>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</si>
  <si>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</si>
  <si>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</si>
  <si>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</si>
  <si>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</si>
  <si>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</si>
  <si>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</si>
  <si>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</si>
  <si>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</si>
  <si>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</si>
  <si>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</si>
  <si>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</si>
  <si>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</si>
  <si>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</si>
  <si>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</si>
  <si>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</si>
  <si>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</si>
  <si>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</si>
  <si>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</si>
  <si>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</si>
  <si>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</si>
  <si>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</si>
  <si>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</si>
  <si>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</si>
  <si>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</si>
  <si>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</si>
  <si>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</si>
  <si>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</si>
  <si>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</si>
  <si>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</si>
  <si>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</si>
  <si>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</si>
  <si>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</si>
  <si>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</si>
  <si>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</si>
  <si>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</si>
  <si>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</si>
  <si>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</si>
  <si>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</si>
  <si>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</si>
  <si>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</si>
  <si>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</si>
  <si>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</si>
  <si>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</si>
  <si>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</si>
  <si>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</si>
  <si>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</si>
  <si>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</si>
  <si>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</si>
  <si>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</si>
  <si>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</si>
  <si>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</si>
  <si>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</si>
  <si>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</si>
  <si>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</si>
  <si>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</si>
  <si>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</si>
  <si>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</si>
  <si>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</si>
  <si>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</si>
  <si>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</si>
  <si>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</si>
  <si>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</si>
  <si>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</si>
  <si>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</si>
  <si>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</si>
  <si>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</si>
  <si>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</si>
  <si>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</si>
  <si>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</si>
  <si>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</si>
  <si>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</si>
  <si>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</si>
  <si>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</si>
  <si>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</si>
  <si>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</si>
  <si>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</si>
  <si>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</si>
  <si>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</si>
  <si>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</si>
  <si>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</si>
  <si>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</si>
  <si>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</si>
  <si>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</si>
  <si>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</si>
  <si>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</si>
  <si>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</si>
  <si>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</si>
  <si>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</si>
  <si>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</si>
  <si>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</si>
  <si>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</si>
  <si>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</si>
  <si>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</si>
  <si>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</si>
  <si>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</si>
  <si>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</si>
  <si>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</si>
  <si>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</si>
  <si>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</si>
  <si>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</si>
  <si>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</si>
  <si>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</si>
  <si>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</si>
  <si>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</si>
  <si>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</si>
  <si>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</si>
  <si>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</si>
  <si>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</si>
  <si>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</si>
  <si>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</si>
  <si>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</si>
  <si>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</si>
  <si>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</si>
  <si>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</si>
  <si>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</si>
  <si>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</si>
  <si>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</si>
  <si>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</si>
  <si>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</si>
  <si>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</si>
  <si>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</si>
  <si>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</si>
  <si>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</si>
  <si>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</si>
  <si>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</si>
  <si>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</si>
  <si>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</si>
  <si>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</si>
  <si>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</si>
  <si>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</si>
  <si>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</si>
  <si>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</si>
  <si>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</si>
  <si>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</si>
  <si>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</si>
  <si>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</si>
  <si>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</si>
  <si>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</si>
  <si>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</si>
  <si>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</si>
  <si>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</si>
  <si>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</si>
  <si>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</si>
  <si>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</si>
  <si>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</si>
  <si>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</si>
  <si>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</si>
  <si>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</si>
  <si>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</si>
  <si>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</si>
  <si>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</si>
  <si>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</si>
  <si>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</si>
  <si>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</si>
  <si>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</si>
  <si>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</si>
  <si>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</si>
  <si>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</si>
  <si>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</si>
  <si>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</si>
  <si>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</si>
  <si>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</si>
  <si>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</si>
  <si>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</si>
  <si>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</si>
  <si>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</si>
  <si>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</si>
  <si>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</si>
  <si>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</si>
  <si>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</si>
  <si>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</si>
  <si>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</si>
  <si>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</si>
  <si>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</si>
  <si>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</si>
  <si>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</si>
  <si>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</si>
  <si>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</si>
  <si>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</si>
  <si>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</si>
  <si>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</si>
  <si>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</si>
  <si>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</si>
  <si>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</si>
  <si>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</si>
  <si>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</si>
  <si>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</si>
  <si>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</si>
  <si>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</si>
  <si>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</si>
  <si>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</si>
  <si>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</si>
  <si>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</si>
  <si>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</si>
  <si>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</si>
  <si>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</si>
  <si>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</si>
  <si>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</si>
  <si>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</si>
  <si>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</si>
  <si>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</si>
  <si>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</si>
  <si>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</si>
  <si>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</si>
  <si>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</si>
  <si>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</si>
  <si>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</si>
  <si>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</si>
  <si>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</si>
  <si>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</si>
  <si>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</si>
  <si>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</si>
  <si>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</si>
  <si>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</si>
  <si>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</si>
  <si>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</si>
  <si>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</si>
  <si>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</si>
  <si>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</si>
  <si>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</si>
  <si>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</si>
  <si>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</si>
  <si>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</si>
  <si>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</si>
  <si>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</si>
  <si>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</si>
  <si>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</si>
  <si>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</si>
  <si>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</si>
  <si>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</si>
  <si>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</si>
  <si>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</si>
  <si>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</si>
  <si>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</si>
  <si>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</si>
  <si>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</si>
  <si>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</si>
  <si>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</si>
  <si>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</si>
  <si>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</si>
  <si>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</si>
  <si>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</si>
  <si>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</si>
  <si>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</si>
  <si>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</si>
  <si>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</si>
  <si>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</si>
  <si>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</si>
  <si>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</si>
  <si>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</si>
  <si>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</si>
  <si>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</si>
  <si>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</si>
  <si>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</si>
  <si>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</si>
  <si>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</si>
  <si>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</si>
  <si>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</si>
  <si>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</si>
  <si>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</si>
  <si>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</si>
  <si>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</si>
  <si>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</si>
  <si>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</si>
  <si>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</si>
  <si>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</si>
  <si>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</si>
  <si>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</si>
  <si>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</si>
  <si>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</si>
  <si>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</si>
  <si>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</si>
  <si>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</si>
  <si>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</si>
  <si>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</si>
  <si>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</si>
  <si>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</si>
  <si>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</si>
  <si>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</si>
  <si>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</si>
  <si>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</si>
  <si>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</si>
  <si>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</si>
  <si>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</si>
  <si>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</si>
  <si>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</si>
  <si>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</si>
  <si>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</si>
  <si>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</si>
  <si>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</si>
  <si>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</si>
  <si>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</si>
  <si>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</si>
  <si>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</si>
  <si>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</si>
  <si>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</si>
  <si>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</si>
  <si>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</si>
  <si>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</si>
  <si>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</si>
  <si>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</si>
  <si>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</si>
  <si>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</si>
  <si>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</si>
  <si>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</si>
  <si>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</si>
  <si>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</si>
  <si>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</si>
  <si>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</si>
  <si>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</si>
  <si>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</si>
  <si>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</si>
  <si>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</si>
  <si>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</si>
  <si>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</si>
  <si>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</si>
  <si>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</si>
  <si>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</si>
  <si>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</si>
  <si>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</si>
  <si>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</si>
  <si>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</si>
  <si>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</si>
  <si>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</si>
  <si>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</si>
  <si>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</si>
  <si>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</si>
  <si>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</si>
  <si>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</si>
  <si>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</si>
  <si>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</si>
  <si>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</si>
  <si>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</si>
  <si>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</si>
  <si>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</si>
  <si>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</si>
  <si>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</si>
  <si>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</si>
  <si>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</si>
  <si>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</si>
  <si>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</si>
  <si>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</si>
  <si>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</si>
  <si>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</si>
  <si>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</si>
  <si>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</si>
  <si>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</si>
  <si>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</si>
  <si>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</si>
  <si>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</si>
  <si>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</si>
  <si>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</si>
  <si>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</si>
  <si>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</si>
  <si>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</si>
  <si>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</si>
  <si>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</si>
  <si>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</si>
  <si>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</si>
  <si>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</si>
  <si>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</si>
  <si>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</si>
  <si>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</si>
  <si>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</si>
  <si>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</si>
  <si>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</si>
  <si>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</si>
  <si>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</si>
  <si>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</si>
  <si>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</si>
  <si>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</si>
  <si>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</si>
  <si>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</si>
  <si>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</si>
  <si>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</si>
  <si>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</si>
  <si>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</si>
  <si>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</si>
  <si>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</si>
  <si>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</si>
  <si>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</si>
  <si>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</si>
  <si>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</si>
  <si>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</si>
  <si>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</si>
  <si>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</si>
  <si>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</si>
  <si>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</si>
  <si>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</si>
  <si>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</si>
  <si>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</si>
  <si>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</si>
  <si>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</si>
  <si>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</si>
  <si>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</si>
  <si>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</si>
  <si>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</si>
  <si>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</si>
  <si>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</si>
  <si>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</si>
  <si>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</si>
  <si>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</si>
  <si>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</si>
  <si>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</si>
  <si>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</si>
  <si>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</si>
  <si>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</si>
  <si>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</si>
  <si>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</si>
  <si>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</si>
  <si>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</si>
  <si>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</si>
  <si>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</si>
  <si>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</si>
  <si>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</si>
  <si>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</si>
  <si>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</si>
  <si>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</si>
  <si>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</si>
  <si>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</si>
  <si>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</si>
  <si>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</si>
  <si>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</si>
  <si>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</si>
  <si>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</si>
  <si>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</si>
  <si>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</si>
  <si>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</si>
  <si>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</si>
  <si>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</si>
  <si>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</si>
  <si>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</si>
  <si>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</si>
  <si>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</si>
  <si>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</si>
  <si>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</si>
  <si>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</si>
  <si>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</si>
  <si>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</si>
  <si>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</si>
  <si>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</si>
  <si>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</si>
  <si>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</si>
  <si>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</si>
  <si>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</si>
  <si>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</si>
  <si>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</si>
  <si>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</si>
  <si>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</si>
  <si>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</si>
  <si>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</si>
  <si>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</si>
  <si>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</si>
  <si>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</si>
  <si>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</si>
  <si>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</si>
  <si>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</si>
  <si>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</si>
  <si>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</si>
  <si>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</si>
  <si>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</si>
  <si>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</si>
  <si>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</si>
  <si>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</si>
  <si>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</si>
  <si>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</si>
  <si>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</si>
  <si>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</si>
  <si>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</si>
  <si>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</si>
  <si>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</si>
  <si>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</si>
  <si>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</si>
  <si>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</si>
  <si>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</si>
  <si>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</si>
  <si>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</si>
  <si>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</si>
  <si>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</si>
  <si>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</si>
  <si>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</si>
  <si>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</si>
  <si>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</si>
  <si>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</si>
  <si>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</si>
  <si>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</si>
  <si>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</si>
  <si>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</si>
  <si>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</si>
  <si>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</si>
  <si>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</si>
  <si>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</si>
  <si>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</si>
  <si>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</si>
  <si>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</si>
  <si>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</si>
  <si>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</si>
  <si>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</si>
  <si>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</si>
  <si>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</si>
  <si>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</si>
  <si>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</si>
  <si>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</si>
  <si>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</si>
  <si>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</si>
  <si>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</si>
  <si>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</si>
  <si>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</si>
  <si>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</si>
  <si>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</si>
  <si>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</si>
  <si>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</si>
  <si>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</si>
  <si>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</si>
  <si>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</si>
  <si>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</si>
  <si>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</si>
  <si>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</si>
  <si>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</si>
  <si>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</si>
  <si>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</si>
  <si>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</si>
  <si>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</si>
  <si>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</si>
  <si>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</si>
  <si>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</si>
  <si>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</si>
  <si>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</si>
  <si>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</si>
  <si>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</si>
  <si>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</si>
  <si>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</si>
  <si>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</si>
  <si>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</si>
  <si>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</si>
  <si>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</si>
  <si>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</si>
  <si>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</si>
  <si>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</si>
  <si>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</si>
  <si>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</si>
  <si>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</si>
  <si>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</si>
  <si>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</si>
  <si>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</si>
  <si>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</si>
  <si>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</si>
  <si>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</si>
  <si>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</si>
  <si>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</si>
  <si>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</si>
  <si>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</si>
  <si>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</si>
  <si>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</si>
  <si>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</si>
  <si>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</si>
  <si>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</si>
  <si>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</si>
  <si>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</si>
  <si>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</si>
  <si>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</si>
  <si>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</si>
  <si>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</si>
  <si>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</si>
  <si>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</si>
  <si>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</si>
  <si>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</si>
  <si>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</si>
  <si>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</si>
  <si>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</si>
  <si>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</si>
  <si>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</si>
  <si>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</si>
  <si>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</si>
  <si>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</si>
  <si>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</si>
  <si>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</si>
  <si>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</si>
  <si>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</si>
  <si>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</si>
  <si>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</si>
  <si>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</si>
  <si>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</si>
  <si>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</si>
  <si>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</si>
  <si>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</si>
  <si>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</si>
  <si>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</si>
  <si>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</si>
  <si>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</si>
  <si>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</si>
  <si>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</si>
  <si>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</si>
  <si>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</si>
  <si>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</si>
  <si>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</si>
  <si>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</si>
  <si>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</si>
  <si>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</si>
  <si>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</si>
  <si>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</si>
  <si>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</si>
  <si>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</si>
  <si>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</si>
  <si>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</si>
  <si>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</si>
  <si>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</si>
  <si>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</si>
  <si>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</si>
  <si>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</si>
  <si>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</si>
  <si>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</si>
  <si>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</si>
  <si>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</si>
  <si>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</si>
  <si>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</si>
  <si>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</si>
  <si>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</si>
  <si>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</si>
  <si>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</si>
  <si>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</si>
  <si>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</si>
  <si>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</si>
  <si>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</si>
  <si>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</si>
  <si>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</si>
  <si>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</si>
  <si>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</si>
  <si>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</si>
  <si>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</si>
  <si>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</si>
  <si>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</si>
  <si>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</si>
  <si>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</si>
  <si>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</si>
  <si>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</si>
  <si>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</si>
  <si>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</si>
  <si>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</si>
  <si>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</si>
  <si>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</si>
  <si>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</si>
  <si>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</si>
  <si>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</si>
  <si>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</si>
  <si>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</si>
  <si>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</si>
  <si>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</si>
  <si>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</si>
  <si>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</si>
  <si>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</si>
  <si>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</si>
  <si>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</si>
  <si>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</si>
  <si>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</si>
  <si>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</si>
  <si>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</si>
  <si>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</si>
  <si>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</si>
  <si>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</si>
  <si>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</si>
  <si>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</si>
  <si>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</si>
  <si>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</si>
  <si>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</si>
  <si>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</si>
  <si>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</si>
  <si>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</si>
  <si>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</si>
  <si>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</si>
  <si>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</si>
  <si>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</si>
  <si>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</si>
  <si>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</si>
  <si>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</si>
  <si>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</si>
  <si>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</si>
  <si>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</si>
  <si>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</si>
  <si>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</si>
  <si>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</si>
  <si>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</si>
  <si>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</si>
  <si>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</si>
  <si>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</si>
  <si>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</si>
  <si>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</si>
  <si>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</si>
  <si>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</si>
  <si>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</si>
  <si>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</si>
  <si>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</si>
  <si>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</si>
  <si>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</si>
  <si>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</si>
  <si>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</si>
  <si>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</si>
  <si>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</si>
  <si>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</si>
  <si>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</si>
  <si>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</si>
  <si>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</si>
  <si>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</si>
  <si>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</si>
  <si>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</si>
  <si>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</si>
  <si>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</si>
  <si>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</si>
  <si>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</si>
  <si>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</si>
  <si>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</si>
  <si>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</si>
  <si>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</si>
  <si>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</si>
  <si>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</si>
  <si>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</si>
  <si>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</si>
  <si>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</si>
  <si>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</si>
  <si>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</si>
  <si>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</si>
  <si>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</si>
  <si>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</si>
  <si>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</si>
  <si>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</si>
  <si>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</si>
  <si>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</si>
  <si>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</si>
  <si>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</si>
  <si>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</si>
  <si>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</si>
  <si>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</si>
  <si>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</si>
  <si>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</si>
  <si>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</si>
  <si>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</si>
  <si>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</si>
  <si>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</si>
  <si>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</si>
  <si>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</si>
  <si>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</si>
  <si>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</si>
  <si>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</si>
  <si>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</si>
  <si>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</si>
  <si>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</si>
  <si>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</si>
  <si>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</si>
  <si>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</si>
  <si>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</si>
  <si>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</si>
  <si>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</si>
  <si>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</si>
  <si>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</si>
  <si>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</si>
  <si>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</si>
  <si>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</si>
  <si>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</si>
  <si>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</si>
  <si>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</si>
  <si>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</si>
  <si>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</si>
  <si>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</si>
  <si>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</si>
  <si>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</si>
  <si>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</si>
  <si>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</si>
  <si>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</si>
  <si>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</si>
  <si>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</si>
  <si>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</si>
  <si>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</si>
  <si>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</si>
  <si>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</si>
  <si>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</si>
  <si>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</si>
  <si>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</si>
  <si>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</si>
  <si>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</si>
  <si>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</si>
  <si>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</si>
  <si>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</si>
  <si>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</si>
  <si>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</si>
  <si>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</si>
  <si>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</si>
  <si>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</si>
  <si>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</si>
  <si>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</si>
  <si>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</si>
  <si>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</si>
  <si>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</si>
  <si>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</si>
  <si>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</si>
  <si>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</si>
  <si>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</si>
  <si>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</si>
  <si>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</si>
  <si>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</si>
  <si>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</si>
  <si>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</si>
  <si>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</si>
  <si>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</si>
  <si>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</si>
  <si>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</si>
  <si>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</si>
  <si>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</si>
  <si>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</si>
  <si>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</si>
  <si>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</si>
  <si>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</si>
  <si>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</si>
  <si>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</si>
  <si>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</si>
  <si>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</si>
  <si>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</si>
  <si>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</si>
  <si>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</si>
  <si>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</si>
  <si>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</si>
  <si>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</si>
  <si>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</si>
  <si>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</si>
  <si>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</si>
  <si>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</si>
  <si>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</si>
  <si>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</si>
  <si>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</si>
  <si>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</si>
  <si>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</si>
  <si>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</si>
  <si>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</si>
  <si>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</si>
  <si>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</si>
  <si>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</si>
  <si>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</si>
  <si>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</si>
  <si>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</si>
  <si>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</si>
  <si>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</si>
  <si>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</si>
  <si>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</si>
  <si>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</si>
  <si>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</si>
  <si>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</si>
  <si>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</si>
  <si>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</si>
  <si>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</si>
  <si>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</si>
  <si>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</si>
  <si>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</si>
  <si>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</si>
  <si>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</si>
  <si>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</si>
  <si>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</si>
  <si>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</si>
  <si>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</si>
  <si>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</si>
  <si>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</si>
  <si>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</si>
  <si>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</si>
  <si>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</si>
  <si>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</si>
  <si>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</si>
  <si>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</si>
  <si>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</si>
  <si>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</si>
  <si>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</si>
  <si>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</si>
  <si>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</si>
  <si>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</si>
  <si>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</si>
  <si>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</si>
  <si>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</si>
  <si>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</si>
  <si>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</si>
  <si>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</si>
  <si>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</si>
  <si>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</si>
  <si>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</si>
  <si>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</si>
  <si>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</si>
  <si>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</si>
  <si>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</si>
  <si>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</si>
  <si>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</si>
  <si>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</si>
  <si>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</si>
  <si>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</si>
  <si>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</si>
  <si>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</si>
  <si>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</si>
  <si>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</si>
  <si>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</si>
  <si>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</si>
  <si>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</si>
  <si>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</si>
  <si>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</si>
  <si>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</si>
  <si>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</si>
  <si>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</si>
  <si>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</si>
  <si>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</si>
  <si>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</si>
  <si>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</si>
  <si>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</si>
  <si>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</si>
  <si>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</si>
  <si>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</si>
  <si>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</si>
  <si>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</si>
  <si>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</si>
  <si>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</si>
  <si>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</si>
  <si>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</si>
  <si>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</si>
  <si>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</si>
  <si>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</si>
  <si>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</si>
  <si>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</si>
  <si>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</si>
  <si>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</si>
  <si>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</si>
  <si>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</si>
  <si>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</si>
  <si>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</si>
  <si>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</si>
  <si>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</si>
  <si>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</si>
  <si>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</si>
  <si>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</si>
  <si>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</si>
  <si>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</si>
  <si>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</si>
  <si>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</si>
  <si>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</si>
  <si>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</si>
  <si>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</si>
  <si>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</si>
  <si>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</si>
  <si>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</si>
  <si>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</si>
  <si>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</si>
  <si>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</si>
  <si>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</si>
  <si>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</si>
  <si>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</si>
  <si>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</si>
  <si>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</si>
  <si>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</si>
  <si>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</si>
  <si>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</si>
  <si>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</si>
  <si>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</si>
  <si>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</si>
  <si>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</si>
  <si>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</si>
  <si>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</si>
  <si>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</si>
  <si>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</si>
  <si>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</si>
  <si>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</si>
  <si>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</si>
  <si>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</si>
  <si>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</si>
  <si>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</si>
  <si>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</si>
  <si>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</si>
  <si>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</si>
  <si>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</si>
  <si>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</si>
  <si>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</si>
  <si>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</si>
  <si>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</si>
  <si>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</si>
  <si>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</si>
  <si>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</si>
  <si>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</si>
  <si>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</si>
  <si>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</si>
  <si>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</si>
  <si>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</si>
  <si>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</si>
  <si>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</si>
  <si>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</si>
  <si>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</si>
  <si>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</si>
  <si>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</si>
  <si>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</si>
  <si>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</si>
  <si>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</si>
  <si>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</si>
  <si>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</si>
  <si>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</si>
  <si>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</si>
  <si>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</si>
  <si>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</si>
  <si>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</si>
  <si>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</si>
  <si>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</si>
  <si>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</si>
  <si>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</si>
  <si>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</si>
  <si>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</si>
  <si>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</si>
  <si>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</si>
  <si>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</si>
  <si>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</si>
  <si>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</si>
  <si>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</si>
  <si>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</si>
  <si>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</si>
  <si>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</si>
  <si>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</si>
  <si>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</si>
  <si>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</si>
  <si>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</si>
  <si>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</si>
  <si>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</si>
  <si>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</si>
  <si>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</si>
  <si>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</si>
  <si>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</si>
  <si>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</si>
  <si>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</si>
  <si>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</si>
  <si>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</si>
  <si>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</si>
  <si>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</si>
  <si>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</si>
  <si>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</si>
  <si>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</si>
  <si>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</si>
  <si>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</si>
  <si>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</si>
  <si>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</si>
  <si>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</si>
  <si>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</si>
  <si>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</si>
  <si>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</si>
  <si>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</si>
  <si>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</si>
  <si>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</si>
  <si>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</si>
  <si>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</si>
  <si>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</si>
  <si>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</si>
  <si>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</si>
  <si>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</si>
  <si>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</si>
  <si>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</si>
  <si>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</si>
  <si>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</si>
  <si>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</si>
  <si>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</si>
  <si>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</si>
  <si>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</si>
  <si>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</si>
  <si>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</si>
  <si>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</si>
  <si>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</si>
  <si>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</si>
  <si>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</si>
  <si>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</si>
  <si>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</si>
  <si>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</si>
  <si>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</si>
  <si>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</si>
  <si>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</si>
  <si>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</si>
  <si>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</si>
  <si>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</si>
  <si>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</si>
  <si>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</si>
  <si>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</si>
  <si>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</si>
  <si>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</si>
  <si>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</si>
  <si>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</si>
  <si>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</si>
  <si>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</si>
  <si>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</si>
  <si>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</si>
  <si>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</si>
  <si>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</si>
  <si>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</si>
  <si>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</si>
  <si>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</si>
  <si>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</si>
  <si>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</si>
  <si>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</si>
  <si>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</si>
  <si>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</si>
  <si>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</si>
  <si>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</si>
  <si>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</si>
  <si>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</si>
  <si>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</si>
  <si>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</si>
  <si>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</si>
  <si>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</si>
  <si>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</si>
  <si>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</si>
  <si>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</si>
  <si>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</si>
  <si>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</si>
  <si>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</si>
  <si>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</si>
  <si>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</si>
  <si>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</si>
  <si>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</si>
  <si>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</si>
  <si>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</si>
  <si>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</si>
  <si>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</si>
  <si>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</si>
  <si>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</si>
  <si>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</si>
  <si>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</si>
  <si>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</si>
  <si>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</si>
  <si>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</si>
  <si>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</si>
  <si>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</si>
  <si>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</si>
  <si>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</si>
  <si>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</si>
  <si>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</si>
  <si>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</si>
  <si>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</si>
  <si>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</si>
  <si>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</si>
  <si>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</si>
  <si>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</si>
  <si>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</si>
  <si>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</si>
  <si>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</si>
  <si>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</si>
  <si>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</si>
  <si>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</si>
  <si>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</si>
  <si>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</si>
  <si>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</si>
  <si>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</si>
  <si>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</si>
  <si>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</si>
  <si>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</si>
  <si>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</si>
  <si>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</si>
  <si>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</si>
  <si>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</si>
  <si>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</si>
  <si>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</si>
  <si>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</si>
  <si>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</si>
  <si>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</si>
  <si>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</si>
  <si>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</si>
  <si>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</si>
  <si>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</si>
  <si>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</si>
  <si>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</si>
  <si>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</si>
  <si>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</si>
  <si>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</si>
  <si>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</si>
  <si>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</si>
  <si>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</si>
  <si>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</si>
  <si>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</si>
  <si>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</si>
  <si>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</si>
  <si>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</si>
  <si>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</si>
  <si>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</si>
  <si>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</si>
  <si>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</si>
  <si>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</si>
  <si>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</si>
  <si>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</si>
  <si>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</si>
  <si>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</si>
  <si>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</si>
  <si>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</si>
  <si>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</si>
  <si>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</si>
  <si>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</si>
  <si>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</si>
  <si>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</si>
  <si>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</si>
  <si>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</si>
  <si>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</si>
  <si>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</si>
  <si>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</si>
  <si>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</si>
  <si>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</si>
  <si>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</si>
  <si>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</si>
  <si>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</si>
  <si>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</si>
  <si>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</si>
  <si>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</si>
  <si>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</si>
  <si>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</si>
  <si>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</si>
  <si>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</si>
  <si>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</si>
  <si>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</si>
  <si>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</si>
  <si>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</si>
  <si>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</si>
  <si>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</si>
  <si>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</si>
  <si>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</si>
  <si>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</si>
  <si>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</si>
  <si>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</si>
  <si>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</si>
  <si>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</si>
  <si>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</si>
  <si>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</si>
  <si>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</si>
  <si>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</si>
  <si>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</si>
  <si>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</si>
  <si>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</si>
  <si>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</si>
  <si>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</si>
  <si>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</si>
  <si>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</si>
  <si>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</si>
  <si>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</si>
  <si>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</si>
  <si>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</si>
  <si>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</si>
  <si>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</si>
  <si>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</si>
  <si>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</si>
  <si>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</si>
  <si>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</si>
  <si>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</si>
  <si>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</si>
  <si>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</si>
  <si>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</si>
  <si>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</si>
  <si>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</si>
  <si>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</si>
  <si>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</si>
  <si>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</si>
  <si>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</si>
  <si>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</si>
  <si>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</si>
  <si>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</si>
  <si>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</si>
  <si>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</si>
  <si>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</si>
  <si>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</si>
  <si>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</si>
  <si>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</si>
  <si>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</si>
  <si>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</si>
  <si>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</si>
  <si>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</si>
  <si>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</si>
  <si>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</si>
  <si>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</si>
  <si>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</si>
  <si>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</si>
  <si>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</si>
  <si>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</si>
  <si>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</si>
  <si>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</si>
  <si>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</si>
  <si>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</si>
  <si>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</si>
  <si>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</si>
  <si>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</si>
  <si>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</si>
  <si>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</si>
  <si>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</si>
  <si>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</si>
  <si>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</si>
  <si>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</si>
  <si>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</si>
  <si>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</si>
  <si>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</si>
  <si>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</si>
  <si>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</si>
  <si>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</si>
  <si>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</si>
  <si>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</si>
  <si>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</si>
  <si>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</si>
  <si>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</si>
  <si>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</si>
  <si>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</si>
  <si>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</si>
  <si>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</si>
  <si>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</si>
  <si>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</si>
  <si>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</si>
  <si>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</si>
  <si>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</si>
  <si>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</si>
  <si>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</si>
  <si>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</si>
  <si>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</si>
  <si>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</si>
  <si>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</si>
  <si>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</si>
  <si>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</si>
  <si>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</si>
  <si>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</si>
  <si>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</si>
  <si>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</si>
  <si>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</si>
  <si>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</si>
  <si>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</si>
  <si>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</si>
  <si>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</si>
  <si>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</si>
  <si>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</si>
  <si>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</si>
  <si>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</si>
  <si>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</si>
  <si>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</si>
  <si>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</si>
  <si>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</si>
  <si>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</si>
  <si>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</si>
  <si>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</si>
  <si>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</si>
  <si>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</si>
  <si>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</si>
  <si>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</si>
  <si>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</si>
  <si>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</si>
  <si>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</si>
  <si>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</si>
  <si>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</si>
  <si>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</si>
  <si>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</si>
  <si>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</si>
  <si>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</si>
  <si>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</si>
  <si>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</si>
  <si>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</si>
  <si>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</si>
  <si>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</si>
  <si>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</si>
  <si>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</si>
  <si>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</si>
  <si>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</si>
  <si>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</si>
  <si>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</si>
  <si>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</si>
  <si>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</si>
  <si>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</si>
  <si>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</si>
  <si>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</si>
  <si>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</si>
  <si>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</si>
  <si>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</si>
  <si>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</si>
  <si>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</si>
  <si>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</si>
  <si>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</si>
  <si>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</si>
  <si>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</si>
  <si>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</si>
  <si>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</si>
  <si>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</si>
  <si>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</si>
  <si>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</si>
  <si>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</si>
  <si>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</si>
  <si>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</si>
  <si>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</si>
  <si>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</si>
  <si>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</si>
  <si>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</si>
  <si>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</si>
  <si>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</si>
  <si>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</si>
  <si>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</si>
  <si>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</si>
  <si>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</si>
  <si>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</si>
  <si>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</si>
  <si>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</si>
  <si>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</si>
  <si>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</si>
  <si>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</si>
  <si>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</si>
  <si>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</si>
  <si>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</si>
  <si>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</si>
  <si>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</si>
  <si>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</si>
  <si>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</si>
  <si>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</si>
  <si>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</si>
  <si>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</si>
  <si>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</si>
  <si>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</si>
  <si>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</si>
  <si>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</si>
  <si>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</si>
  <si>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</si>
  <si>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</si>
  <si>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</si>
  <si>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</si>
  <si>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</si>
  <si>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</si>
  <si>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</si>
  <si>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</si>
  <si>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</si>
  <si>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</si>
  <si>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</si>
  <si>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</si>
  <si>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</si>
  <si>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</si>
  <si>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</si>
  <si>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</si>
  <si>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</si>
  <si>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</si>
  <si>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</si>
  <si>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</si>
  <si>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</si>
  <si>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</si>
  <si>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</si>
  <si>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</si>
  <si>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</si>
  <si>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</si>
  <si>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</si>
  <si>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</si>
  <si>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</si>
  <si>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</si>
  <si>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</si>
  <si>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</si>
  <si>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</si>
  <si>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</si>
  <si>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</si>
  <si>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</si>
  <si>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</si>
  <si>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</si>
  <si>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</si>
  <si>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</si>
  <si>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</si>
  <si>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</si>
  <si>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</si>
  <si>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</si>
  <si>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</si>
  <si>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</si>
  <si>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</si>
  <si>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</si>
  <si>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</si>
  <si>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</si>
  <si>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</si>
  <si>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</si>
  <si>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</si>
  <si>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</si>
  <si>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</si>
  <si>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</si>
  <si>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</si>
  <si>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</si>
  <si>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</si>
  <si>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</si>
  <si>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</si>
  <si>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</si>
  <si>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</si>
  <si>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</si>
  <si>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</si>
  <si>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</si>
  <si>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</si>
  <si>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</si>
  <si>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</si>
  <si>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</si>
  <si>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</si>
  <si>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</si>
  <si>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</si>
  <si>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</si>
  <si>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</si>
  <si>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</si>
  <si>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</si>
  <si>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</si>
  <si>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</si>
  <si>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</si>
  <si>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</si>
  <si>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</si>
  <si>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</si>
  <si>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</si>
  <si>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</si>
  <si>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</si>
  <si>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</si>
  <si>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</si>
  <si>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</si>
  <si>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</si>
  <si>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</si>
  <si>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</si>
  <si>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</si>
  <si>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</si>
  <si>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</si>
  <si>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</si>
  <si>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</si>
  <si>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</si>
  <si>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</si>
  <si>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</si>
  <si>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</si>
  <si>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</si>
  <si>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</si>
  <si>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</si>
  <si>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</si>
  <si>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</si>
  <si>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</si>
  <si>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</si>
  <si>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</si>
  <si>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</si>
  <si>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</si>
  <si>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</si>
  <si>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</si>
  <si>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</si>
  <si>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</si>
  <si>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</si>
  <si>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</si>
  <si>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</si>
  <si>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</si>
  <si>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</si>
  <si>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</si>
  <si>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</si>
  <si>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</si>
  <si>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</si>
  <si>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</si>
  <si>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</si>
  <si>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</si>
  <si>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</si>
  <si>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</si>
  <si>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</si>
  <si>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</si>
  <si>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</si>
  <si>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</si>
  <si>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</si>
  <si>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</si>
  <si>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</si>
  <si>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</si>
  <si>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</si>
  <si>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</si>
  <si>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</si>
  <si>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</si>
  <si>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</si>
  <si>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</si>
  <si>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</si>
  <si>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</si>
  <si>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</si>
  <si>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</si>
  <si>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</si>
  <si>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</si>
  <si>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</si>
  <si>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</si>
  <si>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</si>
  <si>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</si>
  <si>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</si>
  <si>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</si>
  <si>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</si>
  <si>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</si>
  <si>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</si>
  <si>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</si>
  <si>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</si>
  <si>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</si>
  <si>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</si>
  <si>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</si>
  <si>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</si>
  <si>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</si>
  <si>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</si>
  <si>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</si>
  <si>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</si>
  <si>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</si>
  <si>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</si>
  <si>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</si>
  <si>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</si>
  <si>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</si>
  <si>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</si>
  <si>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</si>
  <si>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</si>
  <si>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</si>
  <si>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</si>
  <si>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</si>
  <si>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</si>
  <si>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</si>
  <si>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</si>
  <si>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</si>
  <si>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</si>
  <si>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</si>
  <si>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</si>
  <si>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</si>
  <si>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</si>
  <si>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</si>
  <si>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</si>
  <si>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</si>
  <si>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</si>
  <si>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</si>
  <si>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</si>
  <si>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</si>
  <si>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</si>
  <si>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</si>
  <si>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</si>
  <si>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</si>
  <si>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</si>
  <si>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</si>
  <si>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</si>
  <si>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</si>
  <si>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</si>
  <si>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</si>
  <si>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</si>
  <si>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</si>
  <si>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</si>
  <si>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</si>
  <si>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</si>
  <si>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</si>
  <si>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</si>
  <si>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</si>
  <si>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</si>
  <si>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</si>
  <si>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</si>
  <si>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</si>
  <si>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</si>
  <si>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</si>
  <si>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</si>
  <si>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</si>
  <si>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</si>
  <si>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</si>
  <si>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</si>
  <si>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</si>
  <si>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</si>
  <si>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</si>
  <si>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</si>
  <si>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</si>
  <si>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</si>
  <si>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</si>
  <si>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</si>
  <si>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</si>
  <si>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</si>
  <si>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</si>
  <si>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</si>
  <si>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</si>
  <si>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</si>
  <si>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</si>
  <si>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</si>
  <si>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</si>
  <si>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</si>
  <si>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</si>
  <si>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</si>
  <si>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</si>
  <si>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</si>
  <si>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</si>
  <si>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</si>
  <si>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</si>
  <si>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</si>
  <si>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</si>
  <si>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</si>
  <si>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</si>
  <si>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</si>
  <si>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</si>
  <si>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</si>
  <si>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</si>
  <si>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</si>
  <si>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</si>
  <si>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</si>
  <si>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</si>
  <si>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</si>
  <si>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</si>
  <si>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</si>
  <si>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</si>
  <si>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</si>
  <si>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</si>
  <si>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</si>
  <si>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</si>
  <si>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</si>
  <si>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</si>
  <si>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</si>
  <si>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</si>
  <si>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</si>
  <si>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</si>
  <si>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</si>
  <si>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</si>
  <si>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</si>
  <si>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</si>
  <si>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</si>
  <si>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</si>
  <si>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</si>
  <si>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</si>
  <si>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</si>
  <si>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</si>
  <si>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</si>
  <si>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</si>
  <si>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</si>
  <si>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</si>
  <si>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</si>
  <si>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</si>
  <si>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</si>
  <si>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</si>
  <si>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</si>
  <si>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</si>
  <si>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</si>
  <si>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</si>
  <si>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</si>
  <si>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</si>
  <si>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</si>
  <si>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</si>
  <si>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</si>
  <si>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</si>
  <si>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</si>
  <si>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</si>
  <si>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</si>
  <si>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</si>
  <si>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</si>
  <si>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</si>
  <si>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</si>
  <si>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</si>
  <si>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</si>
  <si>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</si>
  <si>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</si>
  <si>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</si>
  <si>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</si>
  <si>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</si>
  <si>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</si>
  <si>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</si>
  <si>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</si>
  <si>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</si>
  <si>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</si>
  <si>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</si>
  <si>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</si>
  <si>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</si>
  <si>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</si>
  <si>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</si>
  <si>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</si>
  <si>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</si>
  <si>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</si>
  <si>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</si>
  <si>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</si>
  <si>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</si>
  <si>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</si>
  <si>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</si>
  <si>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</si>
  <si>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</si>
  <si>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</si>
  <si>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</si>
  <si>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</si>
  <si>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</si>
  <si>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</si>
  <si>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</si>
  <si>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</si>
  <si>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</si>
  <si>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</si>
  <si>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</si>
  <si>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</si>
  <si>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</si>
  <si>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</si>
  <si>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</si>
  <si>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</si>
  <si>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</si>
  <si>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</si>
  <si>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</si>
  <si>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</si>
  <si>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</si>
  <si>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</si>
  <si>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</si>
  <si>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</si>
  <si>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</si>
  <si>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</si>
  <si>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</si>
  <si>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</si>
  <si>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</si>
  <si>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</si>
  <si>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</si>
  <si>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</si>
  <si>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</si>
  <si>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</si>
  <si>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</si>
  <si>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</si>
  <si>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</si>
  <si>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</si>
  <si>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</si>
  <si>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</si>
  <si>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</si>
  <si>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</si>
  <si>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</si>
  <si>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</si>
  <si>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</si>
  <si>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</si>
  <si>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</si>
  <si>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</si>
  <si>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</si>
  <si>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</si>
  <si>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</si>
  <si>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</si>
  <si>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</si>
  <si>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</si>
  <si>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</si>
  <si>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</si>
  <si>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</si>
  <si>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</si>
  <si>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</si>
  <si>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</si>
  <si>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</si>
  <si>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</si>
  <si>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</si>
  <si>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</si>
  <si>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</si>
  <si>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</si>
  <si>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</si>
  <si>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</si>
  <si>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</si>
  <si>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</si>
  <si>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</si>
  <si>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</si>
  <si>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</si>
  <si>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</si>
  <si>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</si>
  <si>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</si>
  <si>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</si>
  <si>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</si>
  <si>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</si>
  <si>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</si>
  <si>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</si>
  <si>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</si>
  <si>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</si>
  <si>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</si>
  <si>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</si>
  <si>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</si>
  <si>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</si>
  <si>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</si>
  <si>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</si>
  <si>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</si>
  <si>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</si>
  <si>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</si>
  <si>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</si>
  <si>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</si>
  <si>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</si>
  <si>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</si>
  <si>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</si>
  <si>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</si>
  <si>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</si>
  <si>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</si>
  <si>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</si>
  <si>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</si>
  <si>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</si>
  <si>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</si>
  <si>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</si>
  <si>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</si>
  <si>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</si>
  <si>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</si>
  <si>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</si>
  <si>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</si>
  <si>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</si>
  <si>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</si>
  <si>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</si>
  <si>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</si>
  <si>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</si>
  <si>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</si>
  <si>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</si>
  <si>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</si>
  <si>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</si>
  <si>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</si>
  <si>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</si>
  <si>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</si>
  <si>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</si>
  <si>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</si>
  <si>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</si>
  <si>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</si>
  <si>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</si>
  <si>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</si>
  <si>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</si>
  <si>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</si>
  <si>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</si>
  <si>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</si>
  <si>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</si>
  <si>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</si>
  <si>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</si>
  <si>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</si>
  <si>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</si>
  <si>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</si>
  <si>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</si>
  <si>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</si>
  <si>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</si>
  <si>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</si>
  <si>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</si>
  <si>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</si>
  <si>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</si>
  <si>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</si>
  <si>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</si>
  <si>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</si>
  <si>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</si>
  <si>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</si>
  <si>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</si>
  <si>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</si>
  <si>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</si>
  <si>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</si>
  <si>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</si>
  <si>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</si>
  <si>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</si>
  <si>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</si>
  <si>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</si>
  <si>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</si>
  <si>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</si>
  <si>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</si>
  <si>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</si>
  <si>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</si>
  <si>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</si>
  <si>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</si>
  <si>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</si>
  <si>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</si>
  <si>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</si>
  <si>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</si>
  <si>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</si>
  <si>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</si>
  <si>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</si>
  <si>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</si>
  <si>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</si>
  <si>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</si>
  <si>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</si>
  <si>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</si>
  <si>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</si>
  <si>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</si>
  <si>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</si>
  <si>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</si>
  <si>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</si>
  <si>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</si>
  <si>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</si>
  <si>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</si>
  <si>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</si>
  <si>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</si>
  <si>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</si>
  <si>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</si>
  <si>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</si>
  <si>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</si>
  <si>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</si>
  <si>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</si>
  <si>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</si>
  <si>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</si>
  <si>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</si>
  <si>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</si>
  <si>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</si>
  <si>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</si>
  <si>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</si>
  <si>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</si>
  <si>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</si>
  <si>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</si>
  <si>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</si>
  <si>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</si>
  <si>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</si>
  <si>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</si>
  <si>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</si>
  <si>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</si>
  <si>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</si>
  <si>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</si>
  <si>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</si>
  <si>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</si>
  <si>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</si>
  <si>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</si>
  <si>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</si>
  <si>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</si>
  <si>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</si>
  <si>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</si>
  <si>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</si>
  <si>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</si>
  <si>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</si>
  <si>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</si>
  <si>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</si>
  <si>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</si>
  <si>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</si>
  <si>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</si>
  <si>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</si>
  <si>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</si>
  <si>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</si>
  <si>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</si>
  <si>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</si>
  <si>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</si>
  <si>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</si>
  <si>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</si>
  <si>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</si>
  <si>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</si>
  <si>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</si>
  <si>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</si>
  <si>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</si>
  <si>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</si>
  <si>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</si>
  <si>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</si>
  <si>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</si>
  <si>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</si>
  <si>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</si>
  <si>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</si>
  <si>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</si>
  <si>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</si>
  <si>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</si>
  <si>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</si>
  <si>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</si>
  <si>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</si>
  <si>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</si>
  <si>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</si>
  <si>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</si>
  <si>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</si>
  <si>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</si>
  <si>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</si>
  <si>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</si>
  <si>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</si>
  <si>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</si>
  <si>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</si>
  <si>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</si>
  <si>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</si>
  <si>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</si>
  <si>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</si>
  <si>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</si>
  <si>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</si>
  <si>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</si>
  <si>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</si>
  <si>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</si>
  <si>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</si>
  <si>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</si>
  <si>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</si>
  <si>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</si>
  <si>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</si>
  <si>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</si>
  <si>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</si>
  <si>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</si>
  <si>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</si>
  <si>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</si>
  <si>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</si>
  <si>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</si>
  <si>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</si>
  <si>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</si>
  <si>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</si>
  <si>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</si>
  <si>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</si>
  <si>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</si>
  <si>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</si>
  <si>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</si>
  <si>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</si>
  <si>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</si>
  <si>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</si>
  <si>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</si>
  <si>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</si>
  <si>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</si>
  <si>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</si>
  <si>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</si>
  <si>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</si>
  <si>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</si>
  <si>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</si>
  <si>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</si>
  <si>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</si>
  <si>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</si>
  <si>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</si>
  <si>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</si>
  <si>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</si>
  <si>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</si>
  <si>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</si>
  <si>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</si>
  <si>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</si>
  <si>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</si>
  <si>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</si>
  <si>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</si>
  <si>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</si>
  <si>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</si>
  <si>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</si>
  <si>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</si>
  <si>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</si>
  <si>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</si>
  <si>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</si>
  <si>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</si>
  <si>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</si>
  <si>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</si>
  <si>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</si>
  <si>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</si>
  <si>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</si>
  <si>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</si>
  <si>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</si>
  <si>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</si>
  <si>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</si>
  <si>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</si>
  <si>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</si>
  <si>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</si>
  <si>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</si>
  <si>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</si>
  <si>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</si>
  <si>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</si>
  <si>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</si>
  <si>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</si>
  <si>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</si>
  <si>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</si>
  <si>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</si>
  <si>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</si>
  <si>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</si>
  <si>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</si>
  <si>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</si>
  <si>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</si>
  <si>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</si>
  <si>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</si>
  <si>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</si>
  <si>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</si>
  <si>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</si>
  <si>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</si>
  <si>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</si>
  <si>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</si>
  <si>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</si>
  <si>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</si>
  <si>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</si>
  <si>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</si>
  <si>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</si>
  <si>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</si>
  <si>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Total sales2</t>
  </si>
  <si>
    <t>High order value</t>
  </si>
  <si>
    <t>Delivery 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</si>
</sst>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&quot;₹&quot;\ #,##0.00"/>
    <numFmt numFmtId="166" formatCode="dd/m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m/yyyy"/>
    </dxf>
    <dxf>
      <numFmt numFmtId="165" formatCode="&quot;₹&quot;\ #,##0.00"/>
    </dxf>
    <dxf>
      <numFmt numFmtId="165" formatCode="&quot;₹&quot;\ #,##0.00"/>
    </dxf>
    <dxf>
      <numFmt numFmtId="2" formatCode="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A5065F4-D219-46D8-86FD-D0FE6FEB3041}" autoFormatId="16" applyNumberFormats="0" applyBorderFormats="0" applyFontFormats="0" applyPatternFormats="0" applyAlignmentFormats="0" applyWidthHeightFormats="0">
  <queryTableRefresh nextId="22" unboundColumnsRight="2">
    <queryTableFields count="20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9" dataBound="0" tableColumnId="19"/>
      <queryTableField id="13" name="Sales Date" tableColumnId="13"/>
      <queryTableField id="14" name="Payment Method" tableColumnId="14"/>
      <queryTableField id="15" name="Delivery Status" tableColumnId="15"/>
      <queryTableField id="21" dataBound="0" tableColumnId="22"/>
      <queryTableField id="16" name="Customer Segment" tableColumnId="16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B43667-D776-41D1-AAA8-220E609E9174}" autoFormatId="16" applyNumberFormats="0" applyBorderFormats="0" applyFontFormats="0" applyPatternFormats="0" applyAlignmentFormats="0" applyWidthHeightFormats="0">
  <queryTableRefresh nextId="21">
    <queryTableFields count="16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</queryTableFields>
    <queryTableDeletedFields count="4">
      <deletedField name="Trim"/>
      <deletedField name="Trim.1"/>
      <deletedField name="Trim.2"/>
      <deletedField name="Cle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FF9ACE-7A39-470B-A55D-EB4339AC1038}" name="Excel_Advanced_Sales_Dataset_2000__3" displayName="Excel_Advanced_Sales_Dataset_2000__3" ref="A1:T2001" tableType="queryTable" totalsRowShown="0">
  <autoFilter ref="A1:T2001" xr:uid="{A8FF9ACE-7A39-470B-A55D-EB4339AC1038}"/>
  <tableColumns count="20">
    <tableColumn id="1" xr3:uid="{F3A47C4D-BDD5-430F-93D5-2AA5A584DE02}" uniqueName="1" name="Order ID" queryTableFieldId="1" dataDxfId="30"/>
    <tableColumn id="2" xr3:uid="{79E8CB8D-0998-4D15-A419-C5A8F62E2248}" uniqueName="2" name="Customer ID" queryTableFieldId="2" dataDxfId="29"/>
    <tableColumn id="3" xr3:uid="{80919043-BFF4-466E-993C-032ABBB68534}" uniqueName="3" name="Customer Name" queryTableFieldId="3" dataDxfId="28"/>
    <tableColumn id="4" xr3:uid="{E0BF759E-D01E-450C-A52A-45C9D14B8D05}" uniqueName="4" name="Region" queryTableFieldId="4" dataDxfId="27"/>
    <tableColumn id="5" xr3:uid="{30C1D12A-EFF2-477B-81DC-3CB2DD4ED537}" uniqueName="5" name="State" queryTableFieldId="5" dataDxfId="26"/>
    <tableColumn id="6" xr3:uid="{1CD9F963-2568-4969-B07D-2498E462BD0B}" uniqueName="6" name="City" queryTableFieldId="6" dataDxfId="25"/>
    <tableColumn id="7" xr3:uid="{24BDD3C0-DEE6-4FB2-AB34-5750EAF95F0A}" uniqueName="7" name="Category" queryTableFieldId="7" dataDxfId="24"/>
    <tableColumn id="8" xr3:uid="{C12D5E01-C41E-4FB8-A1A1-E54B1D154211}" uniqueName="8" name="Product Name" queryTableFieldId="8" dataDxfId="23"/>
    <tableColumn id="9" xr3:uid="{C556845B-C522-4F89-A467-77412339AD5E}" uniqueName="9" name="Quantity" queryTableFieldId="9"/>
    <tableColumn id="10" xr3:uid="{E0C62BF4-C82B-4C70-9EB5-0BEBD086F653}" uniqueName="10" name="Unit Price" queryTableFieldId="10" dataDxfId="22"/>
    <tableColumn id="11" xr3:uid="{43923D56-9EA5-495F-BEB0-9ED3F70787FF}" uniqueName="11" name="Discount %" queryTableFieldId="11" dataDxfId="21" dataCellStyle="Percent"/>
    <tableColumn id="12" xr3:uid="{7985957D-B073-4AB2-8C15-403F06D391E6}" uniqueName="12" name="Total Sales" queryTableFieldId="12" dataDxfId="20"/>
    <tableColumn id="19" xr3:uid="{0C2A444C-80F2-41FE-85E1-EA2D6F199259}" uniqueName="19" name="High order value" queryTableFieldId="19" dataDxfId="19">
      <calculatedColumnFormula array="1">IF(Excel_Advanced_Sales_Dataset_2000__3[[#This Row],[Total Sales]]&gt;50000,{"Yes"},{"No"})</calculatedColumnFormula>
    </tableColumn>
    <tableColumn id="13" xr3:uid="{F7E950FC-597A-4B83-8964-ADA827F416B1}" uniqueName="13" name="Sales Date" queryTableFieldId="13" dataDxfId="18"/>
    <tableColumn id="14" xr3:uid="{4B25F024-2A6B-4183-8585-C4FE0B3B8F4A}" uniqueName="14" name="Payment Method" queryTableFieldId="14" dataDxfId="17"/>
    <tableColumn id="15" xr3:uid="{11B96B1B-286D-4A7B-92AA-8BEB8C2350D4}" uniqueName="15" name="Delivery Status" queryTableFieldId="15" dataCellStyle="Normal"/>
    <tableColumn id="22" xr3:uid="{2355C5B6-965C-4670-B62C-F6903526CB71}" uniqueName="22" name="Delivery status2" queryTableFieldId="21" dataDxfId="16">
      <calculatedColumnFormula>IF(Excel_Advanced_Sales_Dataset_2000__3[[#This Row],[Delivery Status]]="Pending","Follow Up","Ok")</calculatedColumnFormula>
    </tableColumn>
    <tableColumn id="16" xr3:uid="{A55F8F32-2AEA-4E4F-937B-E2182A8C21A7}" uniqueName="16" name="Customer Segment" queryTableFieldId="16" dataDxfId="15"/>
    <tableColumn id="17" xr3:uid="{1AC34540-6C4E-4DDA-A815-E6A89F055102}" uniqueName="17" name="Discount Amount" queryTableFieldId="17" dataDxfId="14">
      <calculatedColumnFormula>Excel_Advanced_Sales_Dataset_2000__3[[#This Row],[Quantity]]*Excel_Advanced_Sales_Dataset_2000__3[[#This Row],[Unit Price]]*Excel_Advanced_Sales_Dataset_2000__3[[#This Row],[Discount %]]/100</calculatedColumnFormula>
    </tableColumn>
    <tableColumn id="18" xr3:uid="{647BFD97-71F3-4219-B1A9-1E55F5B2A8F7}" uniqueName="18" name="Total sales2" queryTableFieldId="18" dataDxfId="13">
      <calculatedColumnFormula>Excel_Advanced_Sales_Dataset_2000__3[[#This Row],[Quantity]]*Excel_Advanced_Sales_Dataset_2000__3[[#This Row],[Unit Price]]-Excel_Advanced_Sales_Dataset_2000__3[[#This Row],[Discount Amount]]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C864-48F9-4F93-9AB9-445062FFC3E2}" name="Excel_Advanced_Sales_Dataset_2000" displayName="Excel_Advanced_Sales_Dataset_2000" ref="A1:P2001" tableType="queryTable" totalsRowShown="0">
  <autoFilter ref="A1:P2001" xr:uid="{E124C864-48F9-4F93-9AB9-445062FFC3E2}"/>
  <tableColumns count="16">
    <tableColumn id="1" xr3:uid="{C668D046-5DA0-4327-A991-2A34C686A981}" uniqueName="1" name="Order ID" queryTableFieldId="1" dataDxfId="12"/>
    <tableColumn id="2" xr3:uid="{0AD4E030-ECF5-4A23-AFF7-03AB64C0EAD0}" uniqueName="2" name="Customer ID" queryTableFieldId="2" dataDxfId="11"/>
    <tableColumn id="3" xr3:uid="{052D0050-198C-4F77-8707-F1B4FE09EC73}" uniqueName="3" name="Customer Name" queryTableFieldId="3" dataDxfId="10"/>
    <tableColumn id="4" xr3:uid="{BE58B3DC-9D15-489C-86FC-26A8BF9BFFB5}" uniqueName="4" name="Region" queryTableFieldId="4" dataDxfId="9"/>
    <tableColumn id="5" xr3:uid="{F2EE683E-E1C7-4DC2-BA23-306CCFD7FCD8}" uniqueName="5" name="State" queryTableFieldId="5" dataDxfId="8"/>
    <tableColumn id="6" xr3:uid="{BD904CF5-9B22-4E61-8F06-FAC89255653C}" uniqueName="6" name="City" queryTableFieldId="6" dataDxfId="7"/>
    <tableColumn id="7" xr3:uid="{B280B8FF-A13E-4CD7-AD21-BF08EF569E9C}" uniqueName="7" name="Category" queryTableFieldId="7" dataDxfId="6"/>
    <tableColumn id="8" xr3:uid="{5153241D-69E1-4F21-B6D3-5C57D76F6EB5}" uniqueName="8" name="Product Name" queryTableFieldId="8" dataDxfId="5"/>
    <tableColumn id="9" xr3:uid="{F83BF08D-CD1F-48A2-9D20-366C07CCA4A2}" uniqueName="9" name="Quantity" queryTableFieldId="9"/>
    <tableColumn id="10" xr3:uid="{94EDEC94-E9E6-4C03-B75D-8CE490107661}" uniqueName="10" name="Unit Price" queryTableFieldId="10" dataDxfId="4"/>
    <tableColumn id="11" xr3:uid="{8A7E211E-4586-4AD8-9011-FABC4337FA45}" uniqueName="11" name="Discount %" queryTableFieldId="11" dataCellStyle="Percent"/>
    <tableColumn id="12" xr3:uid="{BEA9FAD3-0EBB-4366-B1D8-9F86E5F05B49}" uniqueName="12" name="Total Sales" queryTableFieldId="12" dataDxfId="3"/>
    <tableColumn id="13" xr3:uid="{ECB862BF-EF78-4965-BA92-3A81792A0BF4}" uniqueName="13" name="Sales Date" queryTableFieldId="13"/>
    <tableColumn id="14" xr3:uid="{82756109-A8A4-416B-97DF-18054FF508C3}" uniqueName="14" name="Payment Method" queryTableFieldId="14" dataDxfId="2"/>
    <tableColumn id="15" xr3:uid="{8E3B946F-2D15-47B8-9C79-87E7E4D970D2}" uniqueName="15" name="Delivery Status" queryTableFieldId="15" dataDxfId="1"/>
    <tableColumn id="16" xr3:uid="{F3D1FA84-51C8-4C9C-BABF-3C89F0D177F4}" uniqueName="16" name="Customer Segme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BCF5-71FB-447E-89D6-82A811595DB9}">
  <dimension ref="A1:T2001"/>
  <sheetViews>
    <sheetView tabSelected="1" topLeftCell="C1" workbookViewId="0">
      <selection activeCell="K2" sqref="K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.140625" bestFit="1" customWidth="1"/>
    <col min="11" max="11" width="13.140625" bestFit="1" customWidth="1"/>
    <col min="12" max="12" width="13.42578125" bestFit="1" customWidth="1"/>
    <col min="13" max="13" width="18" bestFit="1" customWidth="1"/>
    <col min="14" max="14" width="12.42578125" bestFit="1" customWidth="1"/>
    <col min="15" max="15" width="18.85546875" bestFit="1" customWidth="1"/>
    <col min="16" max="16" width="16.7109375" bestFit="1" customWidth="1"/>
    <col min="17" max="18" width="16.7109375" customWidth="1"/>
    <col min="19" max="19" width="20.42578125" bestFit="1" customWidth="1"/>
    <col min="20" max="20" width="18.7109375" bestFit="1" customWidth="1"/>
    <col min="21" max="21" width="13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6" t="s">
        <v>10</v>
      </c>
      <c r="L1" s="4" t="s">
        <v>11</v>
      </c>
      <c r="M1" s="4" t="s">
        <v>4595</v>
      </c>
      <c r="N1" s="5" t="s">
        <v>12</v>
      </c>
      <c r="O1" t="s">
        <v>13</v>
      </c>
      <c r="P1" t="s">
        <v>14</v>
      </c>
      <c r="Q1" t="s">
        <v>4596</v>
      </c>
      <c r="R1" t="s">
        <v>15</v>
      </c>
      <c r="S1" t="s">
        <v>4593</v>
      </c>
      <c r="T1" t="s">
        <v>4594</v>
      </c>
    </row>
    <row r="2" spans="1:20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>
        <v>31</v>
      </c>
      <c r="J2" s="4">
        <v>15319.18</v>
      </c>
      <c r="K2" s="6">
        <v>8.31</v>
      </c>
      <c r="L2" s="4">
        <v>435430.84</v>
      </c>
      <c r="M2" s="4" t="str" cm="1">
        <f t="array" ref="M2">IF(Excel_Advanced_Sales_Dataset_2000__3[[#This Row],[Total Sales]]&gt;50000,{"Yes"},{"No"})</f>
        <v>Yes</v>
      </c>
      <c r="N2" s="5">
        <v>46275</v>
      </c>
      <c r="O2" s="1" t="s">
        <v>24</v>
      </c>
      <c r="P2" t="s">
        <v>25</v>
      </c>
      <c r="Q2" t="str">
        <f>IF(Excel_Advanced_Sales_Dataset_2000__3[[#This Row],[Delivery Status]]="Pending","Follow Up","Ok")</f>
        <v>Follow Up</v>
      </c>
      <c r="R2" s="1" t="s">
        <v>26</v>
      </c>
      <c r="S2">
        <f>Excel_Advanced_Sales_Dataset_2000__3[[#This Row],[Quantity]]*Excel_Advanced_Sales_Dataset_2000__3[[#This Row],[Unit Price]]*Excel_Advanced_Sales_Dataset_2000__3[[#This Row],[Discount %]]/100</f>
        <v>39463.739598</v>
      </c>
      <c r="T2" s="4">
        <f>Excel_Advanced_Sales_Dataset_2000__3[[#This Row],[Quantity]]*Excel_Advanced_Sales_Dataset_2000__3[[#This Row],[Unit Price]]-Excel_Advanced_Sales_Dataset_2000__3[[#This Row],[Discount Amount]]</f>
        <v>435430.840402</v>
      </c>
    </row>
    <row r="3" spans="1:20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>
        <v>3</v>
      </c>
      <c r="J3" s="4">
        <v>11431.37</v>
      </c>
      <c r="K3" s="6">
        <v>9.5</v>
      </c>
      <c r="L3" s="4">
        <v>31036.17</v>
      </c>
      <c r="M3" s="4" t="str" cm="1">
        <f t="array" ref="M3">IF(Excel_Advanced_Sales_Dataset_2000__3[[#This Row],[Total Sales]]&gt;50000,{"Yes"},{"No"})</f>
        <v>No</v>
      </c>
      <c r="N3" s="5">
        <v>46386</v>
      </c>
      <c r="O3" s="1" t="s">
        <v>24</v>
      </c>
      <c r="P3" t="s">
        <v>35</v>
      </c>
      <c r="Q3" t="str">
        <f>IF(Excel_Advanced_Sales_Dataset_2000__3[[#This Row],[Delivery Status]]="Pending","Follow Up","Ok")</f>
        <v>Ok</v>
      </c>
      <c r="R3" s="1" t="s">
        <v>36</v>
      </c>
      <c r="S3">
        <f>Excel_Advanced_Sales_Dataset_2000__3[[#This Row],[Quantity]]*Excel_Advanced_Sales_Dataset_2000__3[[#This Row],[Unit Price]]*Excel_Advanced_Sales_Dataset_2000__3[[#This Row],[Discount %]]/100</f>
        <v>3257.9404500000001</v>
      </c>
      <c r="T3" s="4">
        <f>Excel_Advanced_Sales_Dataset_2000__3[[#This Row],[Quantity]]*Excel_Advanced_Sales_Dataset_2000__3[[#This Row],[Unit Price]]-Excel_Advanced_Sales_Dataset_2000__3[[#This Row],[Discount Amount]]</f>
        <v>31036.169549999999</v>
      </c>
    </row>
    <row r="4" spans="1:20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>
        <v>34</v>
      </c>
      <c r="J4" s="4">
        <v>2489.44</v>
      </c>
      <c r="K4" s="6">
        <v>0.76</v>
      </c>
      <c r="L4" s="4">
        <v>83997.69</v>
      </c>
      <c r="M4" s="4" t="str" cm="1">
        <f t="array" ref="M4">IF(Excel_Advanced_Sales_Dataset_2000__3[[#This Row],[Total Sales]]&gt;50000,{"Yes"},{"No"})</f>
        <v>Yes</v>
      </c>
      <c r="N4" s="5">
        <v>46288</v>
      </c>
      <c r="O4" s="1" t="s">
        <v>45</v>
      </c>
      <c r="P4" t="s">
        <v>35</v>
      </c>
      <c r="Q4" t="str">
        <f>IF(Excel_Advanced_Sales_Dataset_2000__3[[#This Row],[Delivery Status]]="Pending","Follow Up","Ok")</f>
        <v>Ok</v>
      </c>
      <c r="R4" s="1" t="s">
        <v>36</v>
      </c>
      <c r="S4">
        <f>Excel_Advanced_Sales_Dataset_2000__3[[#This Row],[Quantity]]*Excel_Advanced_Sales_Dataset_2000__3[[#This Row],[Unit Price]]*Excel_Advanced_Sales_Dataset_2000__3[[#This Row],[Discount %]]/100</f>
        <v>643.27129600000012</v>
      </c>
      <c r="T4" s="4">
        <f>Excel_Advanced_Sales_Dataset_2000__3[[#This Row],[Quantity]]*Excel_Advanced_Sales_Dataset_2000__3[[#This Row],[Unit Price]]-Excel_Advanced_Sales_Dataset_2000__3[[#This Row],[Discount Amount]]</f>
        <v>83997.688704</v>
      </c>
    </row>
    <row r="5" spans="1:20" x14ac:dyDescent="0.25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>
        <v>43</v>
      </c>
      <c r="J5" s="4">
        <v>24340.87</v>
      </c>
      <c r="K5" s="6">
        <v>18.260000000000002</v>
      </c>
      <c r="L5" s="4">
        <v>855537.77</v>
      </c>
      <c r="M5" s="4" t="str" cm="1">
        <f t="array" ref="M5">IF(Excel_Advanced_Sales_Dataset_2000__3[[#This Row],[Total Sales]]&gt;50000,{"Yes"},{"No"})</f>
        <v>Yes</v>
      </c>
      <c r="N5" s="5">
        <v>46205</v>
      </c>
      <c r="O5" s="1" t="s">
        <v>24</v>
      </c>
      <c r="P5" t="s">
        <v>35</v>
      </c>
      <c r="Q5" t="str">
        <f>IF(Excel_Advanced_Sales_Dataset_2000__3[[#This Row],[Delivery Status]]="Pending","Follow Up","Ok")</f>
        <v>Ok</v>
      </c>
      <c r="R5" s="1" t="s">
        <v>53</v>
      </c>
      <c r="S5">
        <f>Excel_Advanced_Sales_Dataset_2000__3[[#This Row],[Quantity]]*Excel_Advanced_Sales_Dataset_2000__3[[#This Row],[Unit Price]]*Excel_Advanced_Sales_Dataset_2000__3[[#This Row],[Discount %]]/100</f>
        <v>191119.64306600002</v>
      </c>
      <c r="T5" s="4">
        <f>Excel_Advanced_Sales_Dataset_2000__3[[#This Row],[Quantity]]*Excel_Advanced_Sales_Dataset_2000__3[[#This Row],[Unit Price]]-Excel_Advanced_Sales_Dataset_2000__3[[#This Row],[Discount Amount]]</f>
        <v>855537.76693399996</v>
      </c>
    </row>
    <row r="6" spans="1:20" x14ac:dyDescent="0.25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>
        <v>44</v>
      </c>
      <c r="J6" s="4">
        <v>21114.57</v>
      </c>
      <c r="K6" s="6">
        <v>4.57</v>
      </c>
      <c r="L6" s="4">
        <v>886583.9</v>
      </c>
      <c r="M6" s="4" t="str" cm="1">
        <f t="array" ref="M6">IF(Excel_Advanced_Sales_Dataset_2000__3[[#This Row],[Total Sales]]&gt;50000,{"Yes"},{"No"})</f>
        <v>Yes</v>
      </c>
      <c r="N6" s="5">
        <v>46036</v>
      </c>
      <c r="O6" s="1" t="s">
        <v>58</v>
      </c>
      <c r="P6" t="s">
        <v>59</v>
      </c>
      <c r="Q6" t="str">
        <f>IF(Excel_Advanced_Sales_Dataset_2000__3[[#This Row],[Delivery Status]]="Pending","Follow Up","Ok")</f>
        <v>Ok</v>
      </c>
      <c r="R6" s="1" t="s">
        <v>53</v>
      </c>
      <c r="S6">
        <f>Excel_Advanced_Sales_Dataset_2000__3[[#This Row],[Quantity]]*Excel_Advanced_Sales_Dataset_2000__3[[#This Row],[Unit Price]]*Excel_Advanced_Sales_Dataset_2000__3[[#This Row],[Discount %]]/100</f>
        <v>42457.177356</v>
      </c>
      <c r="T6" s="4">
        <f>Excel_Advanced_Sales_Dataset_2000__3[[#This Row],[Quantity]]*Excel_Advanced_Sales_Dataset_2000__3[[#This Row],[Unit Price]]-Excel_Advanced_Sales_Dataset_2000__3[[#This Row],[Discount Amount]]</f>
        <v>886583.90264400002</v>
      </c>
    </row>
    <row r="7" spans="1:20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>
        <v>46</v>
      </c>
      <c r="J7" s="4">
        <v>40747.51</v>
      </c>
      <c r="K7" s="6">
        <v>2.04</v>
      </c>
      <c r="L7" s="4">
        <v>1836148</v>
      </c>
      <c r="M7" s="4" t="str" cm="1">
        <f t="array" ref="M7">IF(Excel_Advanced_Sales_Dataset_2000__3[[#This Row],[Total Sales]]&gt;50000,{"Yes"},{"No"})</f>
        <v>Yes</v>
      </c>
      <c r="N7" s="5">
        <v>46296</v>
      </c>
      <c r="O7" s="1" t="s">
        <v>68</v>
      </c>
      <c r="P7" t="s">
        <v>35</v>
      </c>
      <c r="Q7" t="str">
        <f>IF(Excel_Advanced_Sales_Dataset_2000__3[[#This Row],[Delivery Status]]="Pending","Follow Up","Ok")</f>
        <v>Ok</v>
      </c>
      <c r="R7" s="1" t="s">
        <v>26</v>
      </c>
      <c r="S7">
        <f>Excel_Advanced_Sales_Dataset_2000__3[[#This Row],[Quantity]]*Excel_Advanced_Sales_Dataset_2000__3[[#This Row],[Unit Price]]*Excel_Advanced_Sales_Dataset_2000__3[[#This Row],[Discount %]]/100</f>
        <v>38237.463384000002</v>
      </c>
      <c r="T7" s="4">
        <f>Excel_Advanced_Sales_Dataset_2000__3[[#This Row],[Quantity]]*Excel_Advanced_Sales_Dataset_2000__3[[#This Row],[Unit Price]]-Excel_Advanced_Sales_Dataset_2000__3[[#This Row],[Discount Amount]]</f>
        <v>1836147.9966160003</v>
      </c>
    </row>
    <row r="8" spans="1:20" x14ac:dyDescent="0.25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>
        <v>40</v>
      </c>
      <c r="J8" s="4">
        <v>3400.94</v>
      </c>
      <c r="K8" s="6">
        <v>7.76</v>
      </c>
      <c r="L8" s="4">
        <v>125481.08</v>
      </c>
      <c r="M8" s="4" t="str" cm="1">
        <f t="array" ref="M8">IF(Excel_Advanced_Sales_Dataset_2000__3[[#This Row],[Total Sales]]&gt;50000,{"Yes"},{"No"})</f>
        <v>Yes</v>
      </c>
      <c r="N8" s="5">
        <v>46320</v>
      </c>
      <c r="O8" s="1" t="s">
        <v>58</v>
      </c>
      <c r="P8" t="s">
        <v>25</v>
      </c>
      <c r="Q8" t="str">
        <f>IF(Excel_Advanced_Sales_Dataset_2000__3[[#This Row],[Delivery Status]]="Pending","Follow Up","Ok")</f>
        <v>Follow Up</v>
      </c>
      <c r="R8" s="1" t="s">
        <v>36</v>
      </c>
      <c r="S8">
        <f>Excel_Advanced_Sales_Dataset_2000__3[[#This Row],[Quantity]]*Excel_Advanced_Sales_Dataset_2000__3[[#This Row],[Unit Price]]*Excel_Advanced_Sales_Dataset_2000__3[[#This Row],[Discount %]]/100</f>
        <v>10556.517760000001</v>
      </c>
      <c r="T8" s="4">
        <f>Excel_Advanced_Sales_Dataset_2000__3[[#This Row],[Quantity]]*Excel_Advanced_Sales_Dataset_2000__3[[#This Row],[Unit Price]]-Excel_Advanced_Sales_Dataset_2000__3[[#This Row],[Discount Amount]]</f>
        <v>125481.08224</v>
      </c>
    </row>
    <row r="9" spans="1:20" x14ac:dyDescent="0.25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>
        <v>1</v>
      </c>
      <c r="J9" s="4">
        <v>2922.33</v>
      </c>
      <c r="K9" s="6">
        <v>7.5</v>
      </c>
      <c r="L9" s="4">
        <v>2703.16</v>
      </c>
      <c r="M9" s="4" t="str" cm="1">
        <f t="array" ref="M9">IF(Excel_Advanced_Sales_Dataset_2000__3[[#This Row],[Total Sales]]&gt;50000,{"Yes"},{"No"})</f>
        <v>No</v>
      </c>
      <c r="N9" s="5">
        <v>46135</v>
      </c>
      <c r="O9" s="1" t="s">
        <v>24</v>
      </c>
      <c r="P9" t="s">
        <v>35</v>
      </c>
      <c r="Q9" t="str">
        <f>IF(Excel_Advanced_Sales_Dataset_2000__3[[#This Row],[Delivery Status]]="Pending","Follow Up","Ok")</f>
        <v>Ok</v>
      </c>
      <c r="R9" s="1" t="s">
        <v>53</v>
      </c>
      <c r="S9">
        <f>Excel_Advanced_Sales_Dataset_2000__3[[#This Row],[Quantity]]*Excel_Advanced_Sales_Dataset_2000__3[[#This Row],[Unit Price]]*Excel_Advanced_Sales_Dataset_2000__3[[#This Row],[Discount %]]/100</f>
        <v>219.17474999999999</v>
      </c>
      <c r="T9" s="4">
        <f>Excel_Advanced_Sales_Dataset_2000__3[[#This Row],[Quantity]]*Excel_Advanced_Sales_Dataset_2000__3[[#This Row],[Unit Price]]-Excel_Advanced_Sales_Dataset_2000__3[[#This Row],[Discount Amount]]</f>
        <v>2703.1552499999998</v>
      </c>
    </row>
    <row r="10" spans="1:20" x14ac:dyDescent="0.25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>
        <v>19</v>
      </c>
      <c r="J10" s="4">
        <v>47218.26</v>
      </c>
      <c r="K10" s="6">
        <v>4.84</v>
      </c>
      <c r="L10" s="4">
        <v>853725.03</v>
      </c>
      <c r="M10" s="4" t="str" cm="1">
        <f t="array" ref="M10">IF(Excel_Advanced_Sales_Dataset_2000__3[[#This Row],[Total Sales]]&gt;50000,{"Yes"},{"No"})</f>
        <v>Yes</v>
      </c>
      <c r="N10" s="5">
        <v>46033</v>
      </c>
      <c r="O10" s="1" t="s">
        <v>58</v>
      </c>
      <c r="P10" t="s">
        <v>35</v>
      </c>
      <c r="Q10" t="str">
        <f>IF(Excel_Advanced_Sales_Dataset_2000__3[[#This Row],[Delivery Status]]="Pending","Follow Up","Ok")</f>
        <v>Ok</v>
      </c>
      <c r="R10" s="1" t="s">
        <v>53</v>
      </c>
      <c r="S10">
        <f>Excel_Advanced_Sales_Dataset_2000__3[[#This Row],[Quantity]]*Excel_Advanced_Sales_Dataset_2000__3[[#This Row],[Unit Price]]*Excel_Advanced_Sales_Dataset_2000__3[[#This Row],[Discount %]]/100</f>
        <v>43421.911896000005</v>
      </c>
      <c r="T10" s="4">
        <f>Excel_Advanced_Sales_Dataset_2000__3[[#This Row],[Quantity]]*Excel_Advanced_Sales_Dataset_2000__3[[#This Row],[Unit Price]]-Excel_Advanced_Sales_Dataset_2000__3[[#This Row],[Discount Amount]]</f>
        <v>853725.02810400003</v>
      </c>
    </row>
    <row r="11" spans="1:20" x14ac:dyDescent="0.25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>
        <v>30</v>
      </c>
      <c r="J11" s="4">
        <v>24319.16</v>
      </c>
      <c r="K11" s="6">
        <v>2.96</v>
      </c>
      <c r="L11" s="4">
        <v>707979.39</v>
      </c>
      <c r="M11" s="4" t="str" cm="1">
        <f t="array" ref="M11">IF(Excel_Advanced_Sales_Dataset_2000__3[[#This Row],[Total Sales]]&gt;50000,{"Yes"},{"No"})</f>
        <v>Yes</v>
      </c>
      <c r="N11" s="5">
        <v>46248</v>
      </c>
      <c r="O11" s="1" t="s">
        <v>24</v>
      </c>
      <c r="P11" t="s">
        <v>35</v>
      </c>
      <c r="Q11" t="str">
        <f>IF(Excel_Advanced_Sales_Dataset_2000__3[[#This Row],[Delivery Status]]="Pending","Follow Up","Ok")</f>
        <v>Ok</v>
      </c>
      <c r="R11" s="1" t="s">
        <v>26</v>
      </c>
      <c r="S11">
        <f>Excel_Advanced_Sales_Dataset_2000__3[[#This Row],[Quantity]]*Excel_Advanced_Sales_Dataset_2000__3[[#This Row],[Unit Price]]*Excel_Advanced_Sales_Dataset_2000__3[[#This Row],[Discount %]]/100</f>
        <v>21595.414080000002</v>
      </c>
      <c r="T11" s="4">
        <f>Excel_Advanced_Sales_Dataset_2000__3[[#This Row],[Quantity]]*Excel_Advanced_Sales_Dataset_2000__3[[#This Row],[Unit Price]]-Excel_Advanced_Sales_Dataset_2000__3[[#This Row],[Discount Amount]]</f>
        <v>707979.38592000003</v>
      </c>
    </row>
    <row r="12" spans="1:20" x14ac:dyDescent="0.25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>
        <v>29</v>
      </c>
      <c r="J12" s="4">
        <v>31198.6</v>
      </c>
      <c r="K12" s="6">
        <v>10.31</v>
      </c>
      <c r="L12" s="4">
        <v>811478.71</v>
      </c>
      <c r="M12" s="4" t="str" cm="1">
        <f t="array" ref="M12">IF(Excel_Advanced_Sales_Dataset_2000__3[[#This Row],[Total Sales]]&gt;50000,{"Yes"},{"No"})</f>
        <v>Yes</v>
      </c>
      <c r="N12" s="5">
        <v>46091</v>
      </c>
      <c r="O12" s="1" t="s">
        <v>68</v>
      </c>
      <c r="P12" t="s">
        <v>35</v>
      </c>
      <c r="Q12" t="str">
        <f>IF(Excel_Advanced_Sales_Dataset_2000__3[[#This Row],[Delivery Status]]="Pending","Follow Up","Ok")</f>
        <v>Ok</v>
      </c>
      <c r="R12" s="1" t="s">
        <v>36</v>
      </c>
      <c r="S12">
        <f>Excel_Advanced_Sales_Dataset_2000__3[[#This Row],[Quantity]]*Excel_Advanced_Sales_Dataset_2000__3[[#This Row],[Unit Price]]*Excel_Advanced_Sales_Dataset_2000__3[[#This Row],[Discount %]]/100</f>
        <v>93280.694139999992</v>
      </c>
      <c r="T12" s="4">
        <f>Excel_Advanced_Sales_Dataset_2000__3[[#This Row],[Quantity]]*Excel_Advanced_Sales_Dataset_2000__3[[#This Row],[Unit Price]]-Excel_Advanced_Sales_Dataset_2000__3[[#This Row],[Discount Amount]]</f>
        <v>811478.70585999987</v>
      </c>
    </row>
    <row r="13" spans="1:20" x14ac:dyDescent="0.25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>
        <v>25</v>
      </c>
      <c r="J13" s="4">
        <v>9814.2000000000007</v>
      </c>
      <c r="K13" s="6">
        <v>0.98</v>
      </c>
      <c r="L13" s="4">
        <v>242950.52</v>
      </c>
      <c r="M13" s="4" t="str" cm="1">
        <f t="array" ref="M13">IF(Excel_Advanced_Sales_Dataset_2000__3[[#This Row],[Total Sales]]&gt;50000,{"Yes"},{"No"})</f>
        <v>Yes</v>
      </c>
      <c r="N13" s="5">
        <v>46136</v>
      </c>
      <c r="O13" s="1" t="s">
        <v>68</v>
      </c>
      <c r="P13" t="s">
        <v>35</v>
      </c>
      <c r="Q13" t="str">
        <f>IF(Excel_Advanced_Sales_Dataset_2000__3[[#This Row],[Delivery Status]]="Pending","Follow Up","Ok")</f>
        <v>Ok</v>
      </c>
      <c r="R13" s="1" t="s">
        <v>26</v>
      </c>
      <c r="S13">
        <f>Excel_Advanced_Sales_Dataset_2000__3[[#This Row],[Quantity]]*Excel_Advanced_Sales_Dataset_2000__3[[#This Row],[Unit Price]]*Excel_Advanced_Sales_Dataset_2000__3[[#This Row],[Discount %]]/100</f>
        <v>2404.4790000000003</v>
      </c>
      <c r="T13" s="4">
        <f>Excel_Advanced_Sales_Dataset_2000__3[[#This Row],[Quantity]]*Excel_Advanced_Sales_Dataset_2000__3[[#This Row],[Unit Price]]-Excel_Advanced_Sales_Dataset_2000__3[[#This Row],[Discount Amount]]</f>
        <v>242950.52100000004</v>
      </c>
    </row>
    <row r="14" spans="1:20" x14ac:dyDescent="0.25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>
        <v>29</v>
      </c>
      <c r="J14" s="4">
        <v>42344.08</v>
      </c>
      <c r="K14" s="6">
        <v>18.47</v>
      </c>
      <c r="L14" s="4">
        <v>1001170.72</v>
      </c>
      <c r="M14" s="4" t="str" cm="1">
        <f t="array" ref="M14">IF(Excel_Advanced_Sales_Dataset_2000__3[[#This Row],[Total Sales]]&gt;50000,{"Yes"},{"No"})</f>
        <v>Yes</v>
      </c>
      <c r="N14" s="5">
        <v>46245</v>
      </c>
      <c r="O14" s="1" t="s">
        <v>58</v>
      </c>
      <c r="P14" t="s">
        <v>35</v>
      </c>
      <c r="Q14" t="str">
        <f>IF(Excel_Advanced_Sales_Dataset_2000__3[[#This Row],[Delivery Status]]="Pending","Follow Up","Ok")</f>
        <v>Ok</v>
      </c>
      <c r="R14" s="1" t="s">
        <v>26</v>
      </c>
      <c r="S14">
        <f>Excel_Advanced_Sales_Dataset_2000__3[[#This Row],[Quantity]]*Excel_Advanced_Sales_Dataset_2000__3[[#This Row],[Unit Price]]*Excel_Advanced_Sales_Dataset_2000__3[[#This Row],[Discount %]]/100</f>
        <v>226807.59570400001</v>
      </c>
      <c r="T14" s="4">
        <f>Excel_Advanced_Sales_Dataset_2000__3[[#This Row],[Quantity]]*Excel_Advanced_Sales_Dataset_2000__3[[#This Row],[Unit Price]]-Excel_Advanced_Sales_Dataset_2000__3[[#This Row],[Discount Amount]]</f>
        <v>1001170.7242960001</v>
      </c>
    </row>
    <row r="15" spans="1:20" x14ac:dyDescent="0.25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>
        <v>37</v>
      </c>
      <c r="J15" s="4">
        <v>16330.84</v>
      </c>
      <c r="K15" s="6">
        <v>3.24</v>
      </c>
      <c r="L15" s="4">
        <v>584663.67000000004</v>
      </c>
      <c r="M15" s="4" t="str" cm="1">
        <f t="array" ref="M15">IF(Excel_Advanced_Sales_Dataset_2000__3[[#This Row],[Total Sales]]&gt;50000,{"Yes"},{"No"})</f>
        <v>Yes</v>
      </c>
      <c r="N15" s="5">
        <v>46076</v>
      </c>
      <c r="O15" s="1" t="s">
        <v>24</v>
      </c>
      <c r="P15" t="s">
        <v>35</v>
      </c>
      <c r="Q15" t="str">
        <f>IF(Excel_Advanced_Sales_Dataset_2000__3[[#This Row],[Delivery Status]]="Pending","Follow Up","Ok")</f>
        <v>Ok</v>
      </c>
      <c r="R15" s="1" t="s">
        <v>36</v>
      </c>
      <c r="S15">
        <f>Excel_Advanced_Sales_Dataset_2000__3[[#This Row],[Quantity]]*Excel_Advanced_Sales_Dataset_2000__3[[#This Row],[Unit Price]]*Excel_Advanced_Sales_Dataset_2000__3[[#This Row],[Discount %]]/100</f>
        <v>19577.410992000001</v>
      </c>
      <c r="T15" s="4">
        <f>Excel_Advanced_Sales_Dataset_2000__3[[#This Row],[Quantity]]*Excel_Advanced_Sales_Dataset_2000__3[[#This Row],[Unit Price]]-Excel_Advanced_Sales_Dataset_2000__3[[#This Row],[Discount Amount]]</f>
        <v>584663.66900799994</v>
      </c>
    </row>
    <row r="16" spans="1:20" x14ac:dyDescent="0.25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>
        <v>8</v>
      </c>
      <c r="J16" s="4">
        <v>28232.05</v>
      </c>
      <c r="K16" s="6">
        <v>1.93</v>
      </c>
      <c r="L16" s="4">
        <v>221497.37</v>
      </c>
      <c r="M16" s="4" t="str" cm="1">
        <f t="array" ref="M16">IF(Excel_Advanced_Sales_Dataset_2000__3[[#This Row],[Total Sales]]&gt;50000,{"Yes"},{"No"})</f>
        <v>Yes</v>
      </c>
      <c r="N16" s="5">
        <v>46277</v>
      </c>
      <c r="O16" s="1" t="s">
        <v>113</v>
      </c>
      <c r="P16" t="s">
        <v>35</v>
      </c>
      <c r="Q16" t="str">
        <f>IF(Excel_Advanced_Sales_Dataset_2000__3[[#This Row],[Delivery Status]]="Pending","Follow Up","Ok")</f>
        <v>Ok</v>
      </c>
      <c r="R16" s="1" t="s">
        <v>53</v>
      </c>
      <c r="S16">
        <f>Excel_Advanced_Sales_Dataset_2000__3[[#This Row],[Quantity]]*Excel_Advanced_Sales_Dataset_2000__3[[#This Row],[Unit Price]]*Excel_Advanced_Sales_Dataset_2000__3[[#This Row],[Discount %]]/100</f>
        <v>4359.0285199999998</v>
      </c>
      <c r="T16" s="4">
        <f>Excel_Advanced_Sales_Dataset_2000__3[[#This Row],[Quantity]]*Excel_Advanced_Sales_Dataset_2000__3[[#This Row],[Unit Price]]-Excel_Advanced_Sales_Dataset_2000__3[[#This Row],[Discount Amount]]</f>
        <v>221497.37148</v>
      </c>
    </row>
    <row r="17" spans="1:20" x14ac:dyDescent="0.25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>
        <v>6</v>
      </c>
      <c r="J17" s="4">
        <v>46998.97</v>
      </c>
      <c r="K17" s="6">
        <v>16.63</v>
      </c>
      <c r="L17" s="4">
        <v>235098.25</v>
      </c>
      <c r="M17" s="4" t="str" cm="1">
        <f t="array" ref="M17">IF(Excel_Advanced_Sales_Dataset_2000__3[[#This Row],[Total Sales]]&gt;50000,{"Yes"},{"No"})</f>
        <v>Yes</v>
      </c>
      <c r="N17" s="5">
        <v>46380</v>
      </c>
      <c r="O17" s="1" t="s">
        <v>68</v>
      </c>
      <c r="P17" t="s">
        <v>35</v>
      </c>
      <c r="Q17" t="str">
        <f>IF(Excel_Advanced_Sales_Dataset_2000__3[[#This Row],[Delivery Status]]="Pending","Follow Up","Ok")</f>
        <v>Ok</v>
      </c>
      <c r="R17" s="1" t="s">
        <v>26</v>
      </c>
      <c r="S17">
        <f>Excel_Advanced_Sales_Dataset_2000__3[[#This Row],[Quantity]]*Excel_Advanced_Sales_Dataset_2000__3[[#This Row],[Unit Price]]*Excel_Advanced_Sales_Dataset_2000__3[[#This Row],[Discount %]]/100</f>
        <v>46895.572265999996</v>
      </c>
      <c r="T17" s="4">
        <f>Excel_Advanced_Sales_Dataset_2000__3[[#This Row],[Quantity]]*Excel_Advanced_Sales_Dataset_2000__3[[#This Row],[Unit Price]]-Excel_Advanced_Sales_Dataset_2000__3[[#This Row],[Discount Amount]]</f>
        <v>235098.247734</v>
      </c>
    </row>
    <row r="18" spans="1:20" x14ac:dyDescent="0.25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>
        <v>20</v>
      </c>
      <c r="J18" s="4">
        <v>37689.68</v>
      </c>
      <c r="K18" s="6">
        <v>17.57</v>
      </c>
      <c r="L18" s="4">
        <v>621352.06000000006</v>
      </c>
      <c r="M18" s="4" t="str" cm="1">
        <f t="array" ref="M18">IF(Excel_Advanced_Sales_Dataset_2000__3[[#This Row],[Total Sales]]&gt;50000,{"Yes"},{"No"})</f>
        <v>Yes</v>
      </c>
      <c r="N18" s="5">
        <v>46201</v>
      </c>
      <c r="O18" s="1" t="s">
        <v>113</v>
      </c>
      <c r="P18" t="s">
        <v>35</v>
      </c>
      <c r="Q18" t="str">
        <f>IF(Excel_Advanced_Sales_Dataset_2000__3[[#This Row],[Delivery Status]]="Pending","Follow Up","Ok")</f>
        <v>Ok</v>
      </c>
      <c r="R18" s="1" t="s">
        <v>26</v>
      </c>
      <c r="S18">
        <f>Excel_Advanced_Sales_Dataset_2000__3[[#This Row],[Quantity]]*Excel_Advanced_Sales_Dataset_2000__3[[#This Row],[Unit Price]]*Excel_Advanced_Sales_Dataset_2000__3[[#This Row],[Discount %]]/100</f>
        <v>132441.53552</v>
      </c>
      <c r="T18" s="4">
        <f>Excel_Advanced_Sales_Dataset_2000__3[[#This Row],[Quantity]]*Excel_Advanced_Sales_Dataset_2000__3[[#This Row],[Unit Price]]-Excel_Advanced_Sales_Dataset_2000__3[[#This Row],[Discount Amount]]</f>
        <v>621352.06447999994</v>
      </c>
    </row>
    <row r="19" spans="1:20" x14ac:dyDescent="0.25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>
        <v>36</v>
      </c>
      <c r="J19" s="4">
        <v>11025.42</v>
      </c>
      <c r="K19" s="6">
        <v>11.13</v>
      </c>
      <c r="L19" s="4">
        <v>352738.47</v>
      </c>
      <c r="M19" s="4" t="str" cm="1">
        <f t="array" ref="M19">IF(Excel_Advanced_Sales_Dataset_2000__3[[#This Row],[Total Sales]]&gt;50000,{"Yes"},{"No"})</f>
        <v>Yes</v>
      </c>
      <c r="N19" s="5">
        <v>46030</v>
      </c>
      <c r="O19" s="1" t="s">
        <v>45</v>
      </c>
      <c r="P19" t="s">
        <v>35</v>
      </c>
      <c r="Q19" t="str">
        <f>IF(Excel_Advanced_Sales_Dataset_2000__3[[#This Row],[Delivery Status]]="Pending","Follow Up","Ok")</f>
        <v>Ok</v>
      </c>
      <c r="R19" s="1" t="s">
        <v>26</v>
      </c>
      <c r="S19">
        <f>Excel_Advanced_Sales_Dataset_2000__3[[#This Row],[Quantity]]*Excel_Advanced_Sales_Dataset_2000__3[[#This Row],[Unit Price]]*Excel_Advanced_Sales_Dataset_2000__3[[#This Row],[Discount %]]/100</f>
        <v>44176.652856000001</v>
      </c>
      <c r="T19" s="4">
        <f>Excel_Advanced_Sales_Dataset_2000__3[[#This Row],[Quantity]]*Excel_Advanced_Sales_Dataset_2000__3[[#This Row],[Unit Price]]-Excel_Advanced_Sales_Dataset_2000__3[[#This Row],[Discount Amount]]</f>
        <v>352738.46714399999</v>
      </c>
    </row>
    <row r="20" spans="1:20" x14ac:dyDescent="0.25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>
        <v>28</v>
      </c>
      <c r="J20" s="4">
        <v>46288.07</v>
      </c>
      <c r="K20" s="6">
        <v>15.03</v>
      </c>
      <c r="L20" s="4">
        <v>1101267.25</v>
      </c>
      <c r="M20" s="4" t="str" cm="1">
        <f t="array" ref="M20">IF(Excel_Advanced_Sales_Dataset_2000__3[[#This Row],[Total Sales]]&gt;50000,{"Yes"},{"No"})</f>
        <v>Yes</v>
      </c>
      <c r="N20" s="5">
        <v>46281</v>
      </c>
      <c r="O20" s="1" t="s">
        <v>24</v>
      </c>
      <c r="P20" t="s">
        <v>35</v>
      </c>
      <c r="Q20" t="str">
        <f>IF(Excel_Advanced_Sales_Dataset_2000__3[[#This Row],[Delivery Status]]="Pending","Follow Up","Ok")</f>
        <v>Ok</v>
      </c>
      <c r="R20" s="1" t="s">
        <v>53</v>
      </c>
      <c r="S20">
        <f>Excel_Advanced_Sales_Dataset_2000__3[[#This Row],[Quantity]]*Excel_Advanced_Sales_Dataset_2000__3[[#This Row],[Unit Price]]*Excel_Advanced_Sales_Dataset_2000__3[[#This Row],[Discount %]]/100</f>
        <v>194798.71378799996</v>
      </c>
      <c r="T20" s="4">
        <f>Excel_Advanced_Sales_Dataset_2000__3[[#This Row],[Quantity]]*Excel_Advanced_Sales_Dataset_2000__3[[#This Row],[Unit Price]]-Excel_Advanced_Sales_Dataset_2000__3[[#This Row],[Discount Amount]]</f>
        <v>1101267.246212</v>
      </c>
    </row>
    <row r="21" spans="1:20" x14ac:dyDescent="0.25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>
        <v>40</v>
      </c>
      <c r="J21" s="4">
        <v>16457.21</v>
      </c>
      <c r="K21" s="6">
        <v>18.53</v>
      </c>
      <c r="L21" s="4">
        <v>536307.56000000006</v>
      </c>
      <c r="M21" s="4" t="str" cm="1">
        <f t="array" ref="M21">IF(Excel_Advanced_Sales_Dataset_2000__3[[#This Row],[Total Sales]]&gt;50000,{"Yes"},{"No"})</f>
        <v>Yes</v>
      </c>
      <c r="N21" s="5">
        <v>46128</v>
      </c>
      <c r="O21" s="1" t="s">
        <v>24</v>
      </c>
      <c r="P21" t="s">
        <v>35</v>
      </c>
      <c r="Q21" t="str">
        <f>IF(Excel_Advanced_Sales_Dataset_2000__3[[#This Row],[Delivery Status]]="Pending","Follow Up","Ok")</f>
        <v>Ok</v>
      </c>
      <c r="R21" s="1" t="s">
        <v>26</v>
      </c>
      <c r="S21">
        <f>Excel_Advanced_Sales_Dataset_2000__3[[#This Row],[Quantity]]*Excel_Advanced_Sales_Dataset_2000__3[[#This Row],[Unit Price]]*Excel_Advanced_Sales_Dataset_2000__3[[#This Row],[Discount %]]/100</f>
        <v>121980.84052</v>
      </c>
      <c r="T21" s="4">
        <f>Excel_Advanced_Sales_Dataset_2000__3[[#This Row],[Quantity]]*Excel_Advanced_Sales_Dataset_2000__3[[#This Row],[Unit Price]]-Excel_Advanced_Sales_Dataset_2000__3[[#This Row],[Discount Amount]]</f>
        <v>536307.55947999994</v>
      </c>
    </row>
    <row r="22" spans="1:20" x14ac:dyDescent="0.25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>
        <v>45</v>
      </c>
      <c r="J22" s="4">
        <v>31466.85</v>
      </c>
      <c r="K22" s="6">
        <v>0.17</v>
      </c>
      <c r="L22" s="4">
        <v>1413601.04</v>
      </c>
      <c r="M22" s="4" t="str" cm="1">
        <f t="array" ref="M22">IF(Excel_Advanced_Sales_Dataset_2000__3[[#This Row],[Total Sales]]&gt;50000,{"Yes"},{"No"})</f>
        <v>Yes</v>
      </c>
      <c r="N22" s="5">
        <v>46207</v>
      </c>
      <c r="O22" s="1" t="s">
        <v>113</v>
      </c>
      <c r="P22" t="s">
        <v>35</v>
      </c>
      <c r="Q22" t="str">
        <f>IF(Excel_Advanced_Sales_Dataset_2000__3[[#This Row],[Delivery Status]]="Pending","Follow Up","Ok")</f>
        <v>Ok</v>
      </c>
      <c r="R22" s="1" t="s">
        <v>26</v>
      </c>
      <c r="S22">
        <f>Excel_Advanced_Sales_Dataset_2000__3[[#This Row],[Quantity]]*Excel_Advanced_Sales_Dataset_2000__3[[#This Row],[Unit Price]]*Excel_Advanced_Sales_Dataset_2000__3[[#This Row],[Discount %]]/100</f>
        <v>2407.2140250000002</v>
      </c>
      <c r="T22" s="4">
        <f>Excel_Advanced_Sales_Dataset_2000__3[[#This Row],[Quantity]]*Excel_Advanced_Sales_Dataset_2000__3[[#This Row],[Unit Price]]-Excel_Advanced_Sales_Dataset_2000__3[[#This Row],[Discount Amount]]</f>
        <v>1413601.0359749999</v>
      </c>
    </row>
    <row r="23" spans="1:20" x14ac:dyDescent="0.25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>
        <v>30</v>
      </c>
      <c r="J23" s="4">
        <v>4659.95</v>
      </c>
      <c r="K23" s="6">
        <v>17.72</v>
      </c>
      <c r="L23" s="4">
        <v>115026.21</v>
      </c>
      <c r="M23" s="4" t="str" cm="1">
        <f t="array" ref="M23">IF(Excel_Advanced_Sales_Dataset_2000__3[[#This Row],[Total Sales]]&gt;50000,{"Yes"},{"No"})</f>
        <v>Yes</v>
      </c>
      <c r="N23" s="5">
        <v>46270</v>
      </c>
      <c r="O23" s="1" t="s">
        <v>58</v>
      </c>
      <c r="P23" t="s">
        <v>25</v>
      </c>
      <c r="Q23" t="str">
        <f>IF(Excel_Advanced_Sales_Dataset_2000__3[[#This Row],[Delivery Status]]="Pending","Follow Up","Ok")</f>
        <v>Follow Up</v>
      </c>
      <c r="R23" s="1" t="s">
        <v>26</v>
      </c>
      <c r="S23">
        <f>Excel_Advanced_Sales_Dataset_2000__3[[#This Row],[Quantity]]*Excel_Advanced_Sales_Dataset_2000__3[[#This Row],[Unit Price]]*Excel_Advanced_Sales_Dataset_2000__3[[#This Row],[Discount %]]/100</f>
        <v>24772.2942</v>
      </c>
      <c r="T23" s="4">
        <f>Excel_Advanced_Sales_Dataset_2000__3[[#This Row],[Quantity]]*Excel_Advanced_Sales_Dataset_2000__3[[#This Row],[Unit Price]]-Excel_Advanced_Sales_Dataset_2000__3[[#This Row],[Discount Amount]]</f>
        <v>115026.2058</v>
      </c>
    </row>
    <row r="24" spans="1:20" x14ac:dyDescent="0.25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>
        <v>9</v>
      </c>
      <c r="J24" s="4">
        <v>43862.99</v>
      </c>
      <c r="K24" s="6">
        <v>5.73</v>
      </c>
      <c r="L24" s="4">
        <v>372146.77</v>
      </c>
      <c r="M24" s="4" t="str" cm="1">
        <f t="array" ref="M24">IF(Excel_Advanced_Sales_Dataset_2000__3[[#This Row],[Total Sales]]&gt;50000,{"Yes"},{"No"})</f>
        <v>Yes</v>
      </c>
      <c r="N24" s="5">
        <v>46160</v>
      </c>
      <c r="O24" s="1" t="s">
        <v>68</v>
      </c>
      <c r="P24" t="s">
        <v>25</v>
      </c>
      <c r="Q24" t="str">
        <f>IF(Excel_Advanced_Sales_Dataset_2000__3[[#This Row],[Delivery Status]]="Pending","Follow Up","Ok")</f>
        <v>Follow Up</v>
      </c>
      <c r="R24" s="1" t="s">
        <v>36</v>
      </c>
      <c r="S24">
        <f>Excel_Advanced_Sales_Dataset_2000__3[[#This Row],[Quantity]]*Excel_Advanced_Sales_Dataset_2000__3[[#This Row],[Unit Price]]*Excel_Advanced_Sales_Dataset_2000__3[[#This Row],[Discount %]]/100</f>
        <v>22620.143942999999</v>
      </c>
      <c r="T24" s="4">
        <f>Excel_Advanced_Sales_Dataset_2000__3[[#This Row],[Quantity]]*Excel_Advanced_Sales_Dataset_2000__3[[#This Row],[Unit Price]]-Excel_Advanced_Sales_Dataset_2000__3[[#This Row],[Discount Amount]]</f>
        <v>372146.76605699997</v>
      </c>
    </row>
    <row r="25" spans="1:20" x14ac:dyDescent="0.25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>
        <v>44</v>
      </c>
      <c r="J25" s="4">
        <v>18856.939999999999</v>
      </c>
      <c r="K25" s="6">
        <v>3.72</v>
      </c>
      <c r="L25" s="4">
        <v>798840.31999999995</v>
      </c>
      <c r="M25" s="4" t="str" cm="1">
        <f t="array" ref="M25">IF(Excel_Advanced_Sales_Dataset_2000__3[[#This Row],[Total Sales]]&gt;50000,{"Yes"},{"No"})</f>
        <v>Yes</v>
      </c>
      <c r="N25" s="5">
        <v>46125</v>
      </c>
      <c r="O25" s="1" t="s">
        <v>58</v>
      </c>
      <c r="P25" t="s">
        <v>35</v>
      </c>
      <c r="Q25" t="str">
        <f>IF(Excel_Advanced_Sales_Dataset_2000__3[[#This Row],[Delivery Status]]="Pending","Follow Up","Ok")</f>
        <v>Ok</v>
      </c>
      <c r="R25" s="1" t="s">
        <v>26</v>
      </c>
      <c r="S25">
        <f>Excel_Advanced_Sales_Dataset_2000__3[[#This Row],[Quantity]]*Excel_Advanced_Sales_Dataset_2000__3[[#This Row],[Unit Price]]*Excel_Advanced_Sales_Dataset_2000__3[[#This Row],[Discount %]]/100</f>
        <v>30865.039391999999</v>
      </c>
      <c r="T25" s="4">
        <f>Excel_Advanced_Sales_Dataset_2000__3[[#This Row],[Quantity]]*Excel_Advanced_Sales_Dataset_2000__3[[#This Row],[Unit Price]]-Excel_Advanced_Sales_Dataset_2000__3[[#This Row],[Discount Amount]]</f>
        <v>798840.32060800004</v>
      </c>
    </row>
    <row r="26" spans="1:20" x14ac:dyDescent="0.25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>
        <v>16</v>
      </c>
      <c r="J26" s="4">
        <v>37065.410000000003</v>
      </c>
      <c r="K26" s="6">
        <v>2.74</v>
      </c>
      <c r="L26" s="4">
        <v>576797.07999999996</v>
      </c>
      <c r="M26" s="4" t="str" cm="1">
        <f t="array" ref="M26">IF(Excel_Advanced_Sales_Dataset_2000__3[[#This Row],[Total Sales]]&gt;50000,{"Yes"},{"No"})</f>
        <v>Yes</v>
      </c>
      <c r="N26" s="5">
        <v>46210</v>
      </c>
      <c r="O26" s="1" t="s">
        <v>24</v>
      </c>
      <c r="P26" t="s">
        <v>35</v>
      </c>
      <c r="Q26" t="str">
        <f>IF(Excel_Advanced_Sales_Dataset_2000__3[[#This Row],[Delivery Status]]="Pending","Follow Up","Ok")</f>
        <v>Ok</v>
      </c>
      <c r="R26" s="1" t="s">
        <v>26</v>
      </c>
      <c r="S26">
        <f>Excel_Advanced_Sales_Dataset_2000__3[[#This Row],[Quantity]]*Excel_Advanced_Sales_Dataset_2000__3[[#This Row],[Unit Price]]*Excel_Advanced_Sales_Dataset_2000__3[[#This Row],[Discount %]]/100</f>
        <v>16249.475744000003</v>
      </c>
      <c r="T26" s="4">
        <f>Excel_Advanced_Sales_Dataset_2000__3[[#This Row],[Quantity]]*Excel_Advanced_Sales_Dataset_2000__3[[#This Row],[Unit Price]]-Excel_Advanced_Sales_Dataset_2000__3[[#This Row],[Discount Amount]]</f>
        <v>576797.084256</v>
      </c>
    </row>
    <row r="27" spans="1:20" x14ac:dyDescent="0.25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>
        <v>30</v>
      </c>
      <c r="J27" s="4">
        <v>18828.88</v>
      </c>
      <c r="K27" s="6">
        <v>19.48</v>
      </c>
      <c r="L27" s="4">
        <v>454830.43</v>
      </c>
      <c r="M27" s="4" t="str" cm="1">
        <f t="array" ref="M27">IF(Excel_Advanced_Sales_Dataset_2000__3[[#This Row],[Total Sales]]&gt;50000,{"Yes"},{"No"})</f>
        <v>Yes</v>
      </c>
      <c r="N27" s="5">
        <v>46387</v>
      </c>
      <c r="O27" s="1" t="s">
        <v>68</v>
      </c>
      <c r="P27" t="s">
        <v>25</v>
      </c>
      <c r="Q27" t="str">
        <f>IF(Excel_Advanced_Sales_Dataset_2000__3[[#This Row],[Delivery Status]]="Pending","Follow Up","Ok")</f>
        <v>Follow Up</v>
      </c>
      <c r="R27" s="1" t="s">
        <v>36</v>
      </c>
      <c r="S27">
        <f>Excel_Advanced_Sales_Dataset_2000__3[[#This Row],[Quantity]]*Excel_Advanced_Sales_Dataset_2000__3[[#This Row],[Unit Price]]*Excel_Advanced_Sales_Dataset_2000__3[[#This Row],[Discount %]]/100</f>
        <v>110035.97472000001</v>
      </c>
      <c r="T27" s="4">
        <f>Excel_Advanced_Sales_Dataset_2000__3[[#This Row],[Quantity]]*Excel_Advanced_Sales_Dataset_2000__3[[#This Row],[Unit Price]]-Excel_Advanced_Sales_Dataset_2000__3[[#This Row],[Discount Amount]]</f>
        <v>454830.42528000002</v>
      </c>
    </row>
    <row r="28" spans="1:20" x14ac:dyDescent="0.25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>
        <v>36</v>
      </c>
      <c r="J28" s="4">
        <v>21846.240000000002</v>
      </c>
      <c r="K28" s="6">
        <v>10.039999999999999</v>
      </c>
      <c r="L28" s="4">
        <v>707503.59</v>
      </c>
      <c r="M28" s="4" t="str" cm="1">
        <f t="array" ref="M28">IF(Excel_Advanced_Sales_Dataset_2000__3[[#This Row],[Total Sales]]&gt;50000,{"Yes"},{"No"})</f>
        <v>Yes</v>
      </c>
      <c r="N28" s="5">
        <v>46037</v>
      </c>
      <c r="O28" s="1" t="s">
        <v>24</v>
      </c>
      <c r="P28" t="s">
        <v>35</v>
      </c>
      <c r="Q28" t="str">
        <f>IF(Excel_Advanced_Sales_Dataset_2000__3[[#This Row],[Delivery Status]]="Pending","Follow Up","Ok")</f>
        <v>Ok</v>
      </c>
      <c r="R28" s="1" t="s">
        <v>36</v>
      </c>
      <c r="S28">
        <f>Excel_Advanced_Sales_Dataset_2000__3[[#This Row],[Quantity]]*Excel_Advanced_Sales_Dataset_2000__3[[#This Row],[Unit Price]]*Excel_Advanced_Sales_Dataset_2000__3[[#This Row],[Discount %]]/100</f>
        <v>78961.049855999998</v>
      </c>
      <c r="T28" s="4">
        <f>Excel_Advanced_Sales_Dataset_2000__3[[#This Row],[Quantity]]*Excel_Advanced_Sales_Dataset_2000__3[[#This Row],[Unit Price]]-Excel_Advanced_Sales_Dataset_2000__3[[#This Row],[Discount Amount]]</f>
        <v>707503.59014400002</v>
      </c>
    </row>
    <row r="29" spans="1:20" x14ac:dyDescent="0.25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>
        <v>7</v>
      </c>
      <c r="J29" s="4">
        <v>3612.55</v>
      </c>
      <c r="K29" s="6">
        <v>2.57</v>
      </c>
      <c r="L29" s="4">
        <v>24637.95</v>
      </c>
      <c r="M29" s="4" t="str" cm="1">
        <f t="array" ref="M29">IF(Excel_Advanced_Sales_Dataset_2000__3[[#This Row],[Total Sales]]&gt;50000,{"Yes"},{"No"})</f>
        <v>No</v>
      </c>
      <c r="N29" s="5">
        <v>46186</v>
      </c>
      <c r="O29" s="1" t="s">
        <v>24</v>
      </c>
      <c r="P29" t="s">
        <v>35</v>
      </c>
      <c r="Q29" t="str">
        <f>IF(Excel_Advanced_Sales_Dataset_2000__3[[#This Row],[Delivery Status]]="Pending","Follow Up","Ok")</f>
        <v>Ok</v>
      </c>
      <c r="R29" s="1" t="s">
        <v>26</v>
      </c>
      <c r="S29">
        <f>Excel_Advanced_Sales_Dataset_2000__3[[#This Row],[Quantity]]*Excel_Advanced_Sales_Dataset_2000__3[[#This Row],[Unit Price]]*Excel_Advanced_Sales_Dataset_2000__3[[#This Row],[Discount %]]/100</f>
        <v>649.89774499999999</v>
      </c>
      <c r="T29" s="4">
        <f>Excel_Advanced_Sales_Dataset_2000__3[[#This Row],[Quantity]]*Excel_Advanced_Sales_Dataset_2000__3[[#This Row],[Unit Price]]-Excel_Advanced_Sales_Dataset_2000__3[[#This Row],[Discount Amount]]</f>
        <v>24637.952255000004</v>
      </c>
    </row>
    <row r="30" spans="1:20" x14ac:dyDescent="0.25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>
        <v>24</v>
      </c>
      <c r="J30" s="4">
        <v>46841.96</v>
      </c>
      <c r="K30" s="6">
        <v>13.86</v>
      </c>
      <c r="L30" s="4">
        <v>968391.94</v>
      </c>
      <c r="M30" s="4" t="str" cm="1">
        <f t="array" ref="M30">IF(Excel_Advanced_Sales_Dataset_2000__3[[#This Row],[Total Sales]]&gt;50000,{"Yes"},{"No"})</f>
        <v>Yes</v>
      </c>
      <c r="N30" s="5">
        <v>46169</v>
      </c>
      <c r="O30" s="1" t="s">
        <v>113</v>
      </c>
      <c r="P30" t="s">
        <v>35</v>
      </c>
      <c r="Q30" t="str">
        <f>IF(Excel_Advanced_Sales_Dataset_2000__3[[#This Row],[Delivery Status]]="Pending","Follow Up","Ok")</f>
        <v>Ok</v>
      </c>
      <c r="R30" s="1" t="s">
        <v>36</v>
      </c>
      <c r="S30">
        <f>Excel_Advanced_Sales_Dataset_2000__3[[#This Row],[Quantity]]*Excel_Advanced_Sales_Dataset_2000__3[[#This Row],[Unit Price]]*Excel_Advanced_Sales_Dataset_2000__3[[#This Row],[Discount %]]/100</f>
        <v>155815.09574399999</v>
      </c>
      <c r="T30" s="4">
        <f>Excel_Advanced_Sales_Dataset_2000__3[[#This Row],[Quantity]]*Excel_Advanced_Sales_Dataset_2000__3[[#This Row],[Unit Price]]-Excel_Advanced_Sales_Dataset_2000__3[[#This Row],[Discount Amount]]</f>
        <v>968391.94425599999</v>
      </c>
    </row>
    <row r="31" spans="1:20" x14ac:dyDescent="0.25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>
        <v>22</v>
      </c>
      <c r="J31" s="4">
        <v>48034.92</v>
      </c>
      <c r="K31" s="6">
        <v>6.21</v>
      </c>
      <c r="L31" s="4">
        <v>991142.93</v>
      </c>
      <c r="M31" s="4" t="str" cm="1">
        <f t="array" ref="M31">IF(Excel_Advanced_Sales_Dataset_2000__3[[#This Row],[Total Sales]]&gt;50000,{"Yes"},{"No"})</f>
        <v>Yes</v>
      </c>
      <c r="N31" s="5">
        <v>46342</v>
      </c>
      <c r="O31" s="1" t="s">
        <v>24</v>
      </c>
      <c r="P31" t="s">
        <v>59</v>
      </c>
      <c r="Q31" t="str">
        <f>IF(Excel_Advanced_Sales_Dataset_2000__3[[#This Row],[Delivery Status]]="Pending","Follow Up","Ok")</f>
        <v>Ok</v>
      </c>
      <c r="R31" s="1" t="s">
        <v>26</v>
      </c>
      <c r="S31">
        <f>Excel_Advanced_Sales_Dataset_2000__3[[#This Row],[Quantity]]*Excel_Advanced_Sales_Dataset_2000__3[[#This Row],[Unit Price]]*Excel_Advanced_Sales_Dataset_2000__3[[#This Row],[Discount %]]/100</f>
        <v>65625.307703999992</v>
      </c>
      <c r="T31" s="4">
        <f>Excel_Advanced_Sales_Dataset_2000__3[[#This Row],[Quantity]]*Excel_Advanced_Sales_Dataset_2000__3[[#This Row],[Unit Price]]-Excel_Advanced_Sales_Dataset_2000__3[[#This Row],[Discount Amount]]</f>
        <v>991142.93229599996</v>
      </c>
    </row>
    <row r="32" spans="1:20" x14ac:dyDescent="0.25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>
        <v>13</v>
      </c>
      <c r="J32" s="4">
        <v>25549.98</v>
      </c>
      <c r="K32" s="6">
        <v>18.12</v>
      </c>
      <c r="L32" s="4">
        <v>271964.21000000002</v>
      </c>
      <c r="M32" s="4" t="str" cm="1">
        <f t="array" ref="M32">IF(Excel_Advanced_Sales_Dataset_2000__3[[#This Row],[Total Sales]]&gt;50000,{"Yes"},{"No"})</f>
        <v>Yes</v>
      </c>
      <c r="N32" s="5">
        <v>46148</v>
      </c>
      <c r="O32" s="1" t="s">
        <v>58</v>
      </c>
      <c r="P32" t="s">
        <v>35</v>
      </c>
      <c r="Q32" t="str">
        <f>IF(Excel_Advanced_Sales_Dataset_2000__3[[#This Row],[Delivery Status]]="Pending","Follow Up","Ok")</f>
        <v>Ok</v>
      </c>
      <c r="R32" s="1" t="s">
        <v>26</v>
      </c>
      <c r="S32">
        <f>Excel_Advanced_Sales_Dataset_2000__3[[#This Row],[Quantity]]*Excel_Advanced_Sales_Dataset_2000__3[[#This Row],[Unit Price]]*Excel_Advanced_Sales_Dataset_2000__3[[#This Row],[Discount %]]/100</f>
        <v>60185.532888000002</v>
      </c>
      <c r="T32" s="4">
        <f>Excel_Advanced_Sales_Dataset_2000__3[[#This Row],[Quantity]]*Excel_Advanced_Sales_Dataset_2000__3[[#This Row],[Unit Price]]-Excel_Advanced_Sales_Dataset_2000__3[[#This Row],[Discount Amount]]</f>
        <v>271964.20711199997</v>
      </c>
    </row>
    <row r="33" spans="1:20" x14ac:dyDescent="0.25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>
        <v>32</v>
      </c>
      <c r="J33" s="4">
        <v>14169.43</v>
      </c>
      <c r="K33" s="6">
        <v>12.31</v>
      </c>
      <c r="L33" s="4">
        <v>397605.54</v>
      </c>
      <c r="M33" s="4" t="str" cm="1">
        <f t="array" ref="M33">IF(Excel_Advanced_Sales_Dataset_2000__3[[#This Row],[Total Sales]]&gt;50000,{"Yes"},{"No"})</f>
        <v>Yes</v>
      </c>
      <c r="N33" s="5">
        <v>46248</v>
      </c>
      <c r="O33" s="1" t="s">
        <v>24</v>
      </c>
      <c r="P33" t="s">
        <v>35</v>
      </c>
      <c r="Q33" t="str">
        <f>IF(Excel_Advanced_Sales_Dataset_2000__3[[#This Row],[Delivery Status]]="Pending","Follow Up","Ok")</f>
        <v>Ok</v>
      </c>
      <c r="R33" s="1" t="s">
        <v>53</v>
      </c>
      <c r="S33">
        <f>Excel_Advanced_Sales_Dataset_2000__3[[#This Row],[Quantity]]*Excel_Advanced_Sales_Dataset_2000__3[[#This Row],[Unit Price]]*Excel_Advanced_Sales_Dataset_2000__3[[#This Row],[Discount %]]/100</f>
        <v>55816.218656000005</v>
      </c>
      <c r="T33" s="4">
        <f>Excel_Advanced_Sales_Dataset_2000__3[[#This Row],[Quantity]]*Excel_Advanced_Sales_Dataset_2000__3[[#This Row],[Unit Price]]-Excel_Advanced_Sales_Dataset_2000__3[[#This Row],[Discount Amount]]</f>
        <v>397605.54134400003</v>
      </c>
    </row>
    <row r="34" spans="1:20" x14ac:dyDescent="0.25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>
        <v>8</v>
      </c>
      <c r="J34" s="4">
        <v>33273.040000000001</v>
      </c>
      <c r="K34" s="6">
        <v>1.98</v>
      </c>
      <c r="L34" s="4">
        <v>260913.87</v>
      </c>
      <c r="M34" s="4" t="str" cm="1">
        <f t="array" ref="M34">IF(Excel_Advanced_Sales_Dataset_2000__3[[#This Row],[Total Sales]]&gt;50000,{"Yes"},{"No"})</f>
        <v>Yes</v>
      </c>
      <c r="N34" s="5">
        <v>46029</v>
      </c>
      <c r="O34" s="1" t="s">
        <v>45</v>
      </c>
      <c r="P34" t="s">
        <v>35</v>
      </c>
      <c r="Q34" t="str">
        <f>IF(Excel_Advanced_Sales_Dataset_2000__3[[#This Row],[Delivery Status]]="Pending","Follow Up","Ok")</f>
        <v>Ok</v>
      </c>
      <c r="R34" s="1" t="s">
        <v>36</v>
      </c>
      <c r="S34">
        <f>Excel_Advanced_Sales_Dataset_2000__3[[#This Row],[Quantity]]*Excel_Advanced_Sales_Dataset_2000__3[[#This Row],[Unit Price]]*Excel_Advanced_Sales_Dataset_2000__3[[#This Row],[Discount %]]/100</f>
        <v>5270.4495360000001</v>
      </c>
      <c r="T34" s="4">
        <f>Excel_Advanced_Sales_Dataset_2000__3[[#This Row],[Quantity]]*Excel_Advanced_Sales_Dataset_2000__3[[#This Row],[Unit Price]]-Excel_Advanced_Sales_Dataset_2000__3[[#This Row],[Discount Amount]]</f>
        <v>260913.87046400001</v>
      </c>
    </row>
    <row r="35" spans="1:20" x14ac:dyDescent="0.25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>
        <v>15</v>
      </c>
      <c r="J35" s="4">
        <v>36627.269999999997</v>
      </c>
      <c r="K35" s="6">
        <v>9.83</v>
      </c>
      <c r="L35" s="4">
        <v>495402.14</v>
      </c>
      <c r="M35" s="4" t="str" cm="1">
        <f t="array" ref="M35">IF(Excel_Advanced_Sales_Dataset_2000__3[[#This Row],[Total Sales]]&gt;50000,{"Yes"},{"No"})</f>
        <v>Yes</v>
      </c>
      <c r="N35" s="5">
        <v>46284</v>
      </c>
      <c r="O35" s="1" t="s">
        <v>113</v>
      </c>
      <c r="P35" t="s">
        <v>35</v>
      </c>
      <c r="Q35" t="str">
        <f>IF(Excel_Advanced_Sales_Dataset_2000__3[[#This Row],[Delivery Status]]="Pending","Follow Up","Ok")</f>
        <v>Ok</v>
      </c>
      <c r="R35" s="1" t="s">
        <v>53</v>
      </c>
      <c r="S35">
        <f>Excel_Advanced_Sales_Dataset_2000__3[[#This Row],[Quantity]]*Excel_Advanced_Sales_Dataset_2000__3[[#This Row],[Unit Price]]*Excel_Advanced_Sales_Dataset_2000__3[[#This Row],[Discount %]]/100</f>
        <v>54006.90961499999</v>
      </c>
      <c r="T35" s="4">
        <f>Excel_Advanced_Sales_Dataset_2000__3[[#This Row],[Quantity]]*Excel_Advanced_Sales_Dataset_2000__3[[#This Row],[Unit Price]]-Excel_Advanced_Sales_Dataset_2000__3[[#This Row],[Discount Amount]]</f>
        <v>495402.14038499992</v>
      </c>
    </row>
    <row r="36" spans="1:20" x14ac:dyDescent="0.25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>
        <v>43</v>
      </c>
      <c r="J36" s="4">
        <v>34094.550000000003</v>
      </c>
      <c r="K36" s="6">
        <v>3.33</v>
      </c>
      <c r="L36" s="4">
        <v>1417245.66</v>
      </c>
      <c r="M36" s="4" t="str" cm="1">
        <f t="array" ref="M36">IF(Excel_Advanced_Sales_Dataset_2000__3[[#This Row],[Total Sales]]&gt;50000,{"Yes"},{"No"})</f>
        <v>Yes</v>
      </c>
      <c r="N36" s="5">
        <v>46262</v>
      </c>
      <c r="O36" s="1" t="s">
        <v>58</v>
      </c>
      <c r="P36" t="s">
        <v>35</v>
      </c>
      <c r="Q36" t="str">
        <f>IF(Excel_Advanced_Sales_Dataset_2000__3[[#This Row],[Delivery Status]]="Pending","Follow Up","Ok")</f>
        <v>Ok</v>
      </c>
      <c r="R36" s="1" t="s">
        <v>36</v>
      </c>
      <c r="S36">
        <f>Excel_Advanced_Sales_Dataset_2000__3[[#This Row],[Quantity]]*Excel_Advanced_Sales_Dataset_2000__3[[#This Row],[Unit Price]]*Excel_Advanced_Sales_Dataset_2000__3[[#This Row],[Discount %]]/100</f>
        <v>48819.986145000003</v>
      </c>
      <c r="T36" s="4">
        <f>Excel_Advanced_Sales_Dataset_2000__3[[#This Row],[Quantity]]*Excel_Advanced_Sales_Dataset_2000__3[[#This Row],[Unit Price]]-Excel_Advanced_Sales_Dataset_2000__3[[#This Row],[Discount Amount]]</f>
        <v>1417245.6638550002</v>
      </c>
    </row>
    <row r="37" spans="1:20" x14ac:dyDescent="0.25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>
        <v>30</v>
      </c>
      <c r="J37" s="4">
        <v>45987.19</v>
      </c>
      <c r="K37" s="6">
        <v>5.22</v>
      </c>
      <c r="L37" s="4">
        <v>1307599.76</v>
      </c>
      <c r="M37" s="4" t="str" cm="1">
        <f t="array" ref="M37">IF(Excel_Advanced_Sales_Dataset_2000__3[[#This Row],[Total Sales]]&gt;50000,{"Yes"},{"No"})</f>
        <v>Yes</v>
      </c>
      <c r="N37" s="5">
        <v>46172</v>
      </c>
      <c r="O37" s="1" t="s">
        <v>113</v>
      </c>
      <c r="P37" t="s">
        <v>35</v>
      </c>
      <c r="Q37" t="str">
        <f>IF(Excel_Advanced_Sales_Dataset_2000__3[[#This Row],[Delivery Status]]="Pending","Follow Up","Ok")</f>
        <v>Ok</v>
      </c>
      <c r="R37" s="1" t="s">
        <v>26</v>
      </c>
      <c r="S37">
        <f>Excel_Advanced_Sales_Dataset_2000__3[[#This Row],[Quantity]]*Excel_Advanced_Sales_Dataset_2000__3[[#This Row],[Unit Price]]*Excel_Advanced_Sales_Dataset_2000__3[[#This Row],[Discount %]]/100</f>
        <v>72015.939540000007</v>
      </c>
      <c r="T37" s="4">
        <f>Excel_Advanced_Sales_Dataset_2000__3[[#This Row],[Quantity]]*Excel_Advanced_Sales_Dataset_2000__3[[#This Row],[Unit Price]]-Excel_Advanced_Sales_Dataset_2000__3[[#This Row],[Discount Amount]]</f>
        <v>1307599.7604600003</v>
      </c>
    </row>
    <row r="38" spans="1:20" x14ac:dyDescent="0.25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>
        <v>36</v>
      </c>
      <c r="J38" s="4">
        <v>12378.55</v>
      </c>
      <c r="K38" s="6">
        <v>18.21</v>
      </c>
      <c r="L38" s="4">
        <v>364478.98</v>
      </c>
      <c r="M38" s="4" t="str" cm="1">
        <f t="array" ref="M38">IF(Excel_Advanced_Sales_Dataset_2000__3[[#This Row],[Total Sales]]&gt;50000,{"Yes"},{"No"})</f>
        <v>Yes</v>
      </c>
      <c r="N38" s="5">
        <v>46041</v>
      </c>
      <c r="O38" s="1" t="s">
        <v>113</v>
      </c>
      <c r="P38" t="s">
        <v>35</v>
      </c>
      <c r="Q38" t="str">
        <f>IF(Excel_Advanced_Sales_Dataset_2000__3[[#This Row],[Delivery Status]]="Pending","Follow Up","Ok")</f>
        <v>Ok</v>
      </c>
      <c r="R38" s="1" t="s">
        <v>36</v>
      </c>
      <c r="S38">
        <f>Excel_Advanced_Sales_Dataset_2000__3[[#This Row],[Quantity]]*Excel_Advanced_Sales_Dataset_2000__3[[#This Row],[Unit Price]]*Excel_Advanced_Sales_Dataset_2000__3[[#This Row],[Discount %]]/100</f>
        <v>81148.822379999998</v>
      </c>
      <c r="T38" s="4">
        <f>Excel_Advanced_Sales_Dataset_2000__3[[#This Row],[Quantity]]*Excel_Advanced_Sales_Dataset_2000__3[[#This Row],[Unit Price]]-Excel_Advanced_Sales_Dataset_2000__3[[#This Row],[Discount Amount]]</f>
        <v>364478.97762000002</v>
      </c>
    </row>
    <row r="39" spans="1:20" x14ac:dyDescent="0.25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>
        <v>1</v>
      </c>
      <c r="J39" s="4">
        <v>47188.85</v>
      </c>
      <c r="K39" s="6">
        <v>15.42</v>
      </c>
      <c r="L39" s="4">
        <v>39912.33</v>
      </c>
      <c r="M39" s="4" t="str" cm="1">
        <f t="array" ref="M39">IF(Excel_Advanced_Sales_Dataset_2000__3[[#This Row],[Total Sales]]&gt;50000,{"Yes"},{"No"})</f>
        <v>No</v>
      </c>
      <c r="N39" s="5">
        <v>46114</v>
      </c>
      <c r="O39" s="1" t="s">
        <v>24</v>
      </c>
      <c r="P39" t="s">
        <v>35</v>
      </c>
      <c r="Q39" t="str">
        <f>IF(Excel_Advanced_Sales_Dataset_2000__3[[#This Row],[Delivery Status]]="Pending","Follow Up","Ok")</f>
        <v>Ok</v>
      </c>
      <c r="R39" s="1" t="s">
        <v>53</v>
      </c>
      <c r="S39">
        <f>Excel_Advanced_Sales_Dataset_2000__3[[#This Row],[Quantity]]*Excel_Advanced_Sales_Dataset_2000__3[[#This Row],[Unit Price]]*Excel_Advanced_Sales_Dataset_2000__3[[#This Row],[Discount %]]/100</f>
        <v>7276.520669999999</v>
      </c>
      <c r="T39" s="4">
        <f>Excel_Advanced_Sales_Dataset_2000__3[[#This Row],[Quantity]]*Excel_Advanced_Sales_Dataset_2000__3[[#This Row],[Unit Price]]-Excel_Advanced_Sales_Dataset_2000__3[[#This Row],[Discount Amount]]</f>
        <v>39912.32933</v>
      </c>
    </row>
    <row r="40" spans="1:20" x14ac:dyDescent="0.25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>
        <v>27</v>
      </c>
      <c r="J40" s="4">
        <v>21030.42</v>
      </c>
      <c r="K40" s="6">
        <v>7.93</v>
      </c>
      <c r="L40" s="4">
        <v>522793.11</v>
      </c>
      <c r="M40" s="4" t="str" cm="1">
        <f t="array" ref="M40">IF(Excel_Advanced_Sales_Dataset_2000__3[[#This Row],[Total Sales]]&gt;50000,{"Yes"},{"No"})</f>
        <v>Yes</v>
      </c>
      <c r="N40" s="5">
        <v>46381</v>
      </c>
      <c r="O40" s="1" t="s">
        <v>113</v>
      </c>
      <c r="P40" t="s">
        <v>35</v>
      </c>
      <c r="Q40" t="str">
        <f>IF(Excel_Advanced_Sales_Dataset_2000__3[[#This Row],[Delivery Status]]="Pending","Follow Up","Ok")</f>
        <v>Ok</v>
      </c>
      <c r="R40" s="1" t="s">
        <v>26</v>
      </c>
      <c r="S40">
        <f>Excel_Advanced_Sales_Dataset_2000__3[[#This Row],[Quantity]]*Excel_Advanced_Sales_Dataset_2000__3[[#This Row],[Unit Price]]*Excel_Advanced_Sales_Dataset_2000__3[[#This Row],[Discount %]]/100</f>
        <v>45028.232261999998</v>
      </c>
      <c r="T40" s="4">
        <f>Excel_Advanced_Sales_Dataset_2000__3[[#This Row],[Quantity]]*Excel_Advanced_Sales_Dataset_2000__3[[#This Row],[Unit Price]]-Excel_Advanced_Sales_Dataset_2000__3[[#This Row],[Discount Amount]]</f>
        <v>522793.10773799999</v>
      </c>
    </row>
    <row r="41" spans="1:20" x14ac:dyDescent="0.25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>
        <v>2</v>
      </c>
      <c r="J41" s="4">
        <v>4308.7</v>
      </c>
      <c r="K41" s="6">
        <v>14.16</v>
      </c>
      <c r="L41" s="4">
        <v>7397.18</v>
      </c>
      <c r="M41" s="4" t="str" cm="1">
        <f t="array" ref="M41">IF(Excel_Advanced_Sales_Dataset_2000__3[[#This Row],[Total Sales]]&gt;50000,{"Yes"},{"No"})</f>
        <v>No</v>
      </c>
      <c r="N41" s="5">
        <v>46137</v>
      </c>
      <c r="O41" s="1" t="s">
        <v>113</v>
      </c>
      <c r="P41" t="s">
        <v>35</v>
      </c>
      <c r="Q41" t="str">
        <f>IF(Excel_Advanced_Sales_Dataset_2000__3[[#This Row],[Delivery Status]]="Pending","Follow Up","Ok")</f>
        <v>Ok</v>
      </c>
      <c r="R41" s="1" t="s">
        <v>26</v>
      </c>
      <c r="S41">
        <f>Excel_Advanced_Sales_Dataset_2000__3[[#This Row],[Quantity]]*Excel_Advanced_Sales_Dataset_2000__3[[#This Row],[Unit Price]]*Excel_Advanced_Sales_Dataset_2000__3[[#This Row],[Discount %]]/100</f>
        <v>1220.2238399999999</v>
      </c>
      <c r="T41" s="4">
        <f>Excel_Advanced_Sales_Dataset_2000__3[[#This Row],[Quantity]]*Excel_Advanced_Sales_Dataset_2000__3[[#This Row],[Unit Price]]-Excel_Advanced_Sales_Dataset_2000__3[[#This Row],[Discount Amount]]</f>
        <v>7397.17616</v>
      </c>
    </row>
    <row r="42" spans="1:20" x14ac:dyDescent="0.25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>
        <v>6</v>
      </c>
      <c r="J42" s="4">
        <v>46343.98</v>
      </c>
      <c r="K42" s="6">
        <v>15.29</v>
      </c>
      <c r="L42" s="4">
        <v>235547.91</v>
      </c>
      <c r="M42" s="4" t="str" cm="1">
        <f t="array" ref="M42">IF(Excel_Advanced_Sales_Dataset_2000__3[[#This Row],[Total Sales]]&gt;50000,{"Yes"},{"No"})</f>
        <v>Yes</v>
      </c>
      <c r="N42" s="5">
        <v>46244</v>
      </c>
      <c r="O42" s="1" t="s">
        <v>45</v>
      </c>
      <c r="P42" t="s">
        <v>25</v>
      </c>
      <c r="Q42" t="str">
        <f>IF(Excel_Advanced_Sales_Dataset_2000__3[[#This Row],[Delivery Status]]="Pending","Follow Up","Ok")</f>
        <v>Follow Up</v>
      </c>
      <c r="R42" s="1" t="s">
        <v>36</v>
      </c>
      <c r="S42">
        <f>Excel_Advanced_Sales_Dataset_2000__3[[#This Row],[Quantity]]*Excel_Advanced_Sales_Dataset_2000__3[[#This Row],[Unit Price]]*Excel_Advanced_Sales_Dataset_2000__3[[#This Row],[Discount %]]/100</f>
        <v>42515.967252000002</v>
      </c>
      <c r="T42" s="4">
        <f>Excel_Advanced_Sales_Dataset_2000__3[[#This Row],[Quantity]]*Excel_Advanced_Sales_Dataset_2000__3[[#This Row],[Unit Price]]-Excel_Advanced_Sales_Dataset_2000__3[[#This Row],[Discount Amount]]</f>
        <v>235547.912748</v>
      </c>
    </row>
    <row r="43" spans="1:20" x14ac:dyDescent="0.25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>
        <v>49</v>
      </c>
      <c r="J43" s="4">
        <v>37132.07</v>
      </c>
      <c r="K43" s="6">
        <v>8.6199999999999992</v>
      </c>
      <c r="L43" s="4">
        <v>1662632.99</v>
      </c>
      <c r="M43" s="4" t="str" cm="1">
        <f t="array" ref="M43">IF(Excel_Advanced_Sales_Dataset_2000__3[[#This Row],[Total Sales]]&gt;50000,{"Yes"},{"No"})</f>
        <v>Yes</v>
      </c>
      <c r="N43" s="5">
        <v>46036</v>
      </c>
      <c r="O43" s="1" t="s">
        <v>113</v>
      </c>
      <c r="P43" t="s">
        <v>35</v>
      </c>
      <c r="Q43" t="str">
        <f>IF(Excel_Advanced_Sales_Dataset_2000__3[[#This Row],[Delivery Status]]="Pending","Follow Up","Ok")</f>
        <v>Ok</v>
      </c>
      <c r="R43" s="1" t="s">
        <v>53</v>
      </c>
      <c r="S43">
        <f>Excel_Advanced_Sales_Dataset_2000__3[[#This Row],[Quantity]]*Excel_Advanced_Sales_Dataset_2000__3[[#This Row],[Unit Price]]*Excel_Advanced_Sales_Dataset_2000__3[[#This Row],[Discount %]]/100</f>
        <v>156838.43726599999</v>
      </c>
      <c r="T43" s="4">
        <f>Excel_Advanced_Sales_Dataset_2000__3[[#This Row],[Quantity]]*Excel_Advanced_Sales_Dataset_2000__3[[#This Row],[Unit Price]]-Excel_Advanced_Sales_Dataset_2000__3[[#This Row],[Discount Amount]]</f>
        <v>1662632.9927339999</v>
      </c>
    </row>
    <row r="44" spans="1:20" x14ac:dyDescent="0.25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>
        <v>15</v>
      </c>
      <c r="J44" s="4">
        <v>46699.66</v>
      </c>
      <c r="K44" s="6">
        <v>4.59</v>
      </c>
      <c r="L44" s="4">
        <v>668342.18000000005</v>
      </c>
      <c r="M44" s="4" t="str" cm="1">
        <f t="array" ref="M44">IF(Excel_Advanced_Sales_Dataset_2000__3[[#This Row],[Total Sales]]&gt;50000,{"Yes"},{"No"})</f>
        <v>Yes</v>
      </c>
      <c r="N44" s="5">
        <v>46077</v>
      </c>
      <c r="O44" s="1" t="s">
        <v>24</v>
      </c>
      <c r="P44" t="s">
        <v>35</v>
      </c>
      <c r="Q44" t="str">
        <f>IF(Excel_Advanced_Sales_Dataset_2000__3[[#This Row],[Delivery Status]]="Pending","Follow Up","Ok")</f>
        <v>Ok</v>
      </c>
      <c r="R44" s="1" t="s">
        <v>53</v>
      </c>
      <c r="S44">
        <f>Excel_Advanced_Sales_Dataset_2000__3[[#This Row],[Quantity]]*Excel_Advanced_Sales_Dataset_2000__3[[#This Row],[Unit Price]]*Excel_Advanced_Sales_Dataset_2000__3[[#This Row],[Discount %]]/100</f>
        <v>32152.715909999999</v>
      </c>
      <c r="T44" s="4">
        <f>Excel_Advanced_Sales_Dataset_2000__3[[#This Row],[Quantity]]*Excel_Advanced_Sales_Dataset_2000__3[[#This Row],[Unit Price]]-Excel_Advanced_Sales_Dataset_2000__3[[#This Row],[Discount Amount]]</f>
        <v>668342.18409</v>
      </c>
    </row>
    <row r="45" spans="1:20" x14ac:dyDescent="0.25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>
        <v>21</v>
      </c>
      <c r="J45" s="4">
        <v>14770.81</v>
      </c>
      <c r="K45" s="6">
        <v>10.9</v>
      </c>
      <c r="L45" s="4">
        <v>276376.63</v>
      </c>
      <c r="M45" s="4" t="str" cm="1">
        <f t="array" ref="M45">IF(Excel_Advanced_Sales_Dataset_2000__3[[#This Row],[Total Sales]]&gt;50000,{"Yes"},{"No"})</f>
        <v>Yes</v>
      </c>
      <c r="N45" s="5">
        <v>46090</v>
      </c>
      <c r="O45" s="1" t="s">
        <v>68</v>
      </c>
      <c r="P45" t="s">
        <v>35</v>
      </c>
      <c r="Q45" t="str">
        <f>IF(Excel_Advanced_Sales_Dataset_2000__3[[#This Row],[Delivery Status]]="Pending","Follow Up","Ok")</f>
        <v>Ok</v>
      </c>
      <c r="R45" s="1" t="s">
        <v>26</v>
      </c>
      <c r="S45">
        <f>Excel_Advanced_Sales_Dataset_2000__3[[#This Row],[Quantity]]*Excel_Advanced_Sales_Dataset_2000__3[[#This Row],[Unit Price]]*Excel_Advanced_Sales_Dataset_2000__3[[#This Row],[Discount %]]/100</f>
        <v>33810.38409</v>
      </c>
      <c r="T45" s="4">
        <f>Excel_Advanced_Sales_Dataset_2000__3[[#This Row],[Quantity]]*Excel_Advanced_Sales_Dataset_2000__3[[#This Row],[Unit Price]]-Excel_Advanced_Sales_Dataset_2000__3[[#This Row],[Discount Amount]]</f>
        <v>276376.62591</v>
      </c>
    </row>
    <row r="46" spans="1:20" x14ac:dyDescent="0.25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>
        <v>22</v>
      </c>
      <c r="J46" s="4">
        <v>16613.54</v>
      </c>
      <c r="K46" s="6">
        <v>7.46</v>
      </c>
      <c r="L46" s="4">
        <v>338231.74</v>
      </c>
      <c r="M46" s="4" t="str" cm="1">
        <f t="array" ref="M46">IF(Excel_Advanced_Sales_Dataset_2000__3[[#This Row],[Total Sales]]&gt;50000,{"Yes"},{"No"})</f>
        <v>Yes</v>
      </c>
      <c r="N46" s="5">
        <v>46261</v>
      </c>
      <c r="O46" s="1" t="s">
        <v>58</v>
      </c>
      <c r="P46" t="s">
        <v>35</v>
      </c>
      <c r="Q46" t="str">
        <f>IF(Excel_Advanced_Sales_Dataset_2000__3[[#This Row],[Delivery Status]]="Pending","Follow Up","Ok")</f>
        <v>Ok</v>
      </c>
      <c r="R46" s="1" t="s">
        <v>26</v>
      </c>
      <c r="S46">
        <f>Excel_Advanced_Sales_Dataset_2000__3[[#This Row],[Quantity]]*Excel_Advanced_Sales_Dataset_2000__3[[#This Row],[Unit Price]]*Excel_Advanced_Sales_Dataset_2000__3[[#This Row],[Discount %]]/100</f>
        <v>27266.141847999999</v>
      </c>
      <c r="T46" s="4">
        <f>Excel_Advanced_Sales_Dataset_2000__3[[#This Row],[Quantity]]*Excel_Advanced_Sales_Dataset_2000__3[[#This Row],[Unit Price]]-Excel_Advanced_Sales_Dataset_2000__3[[#This Row],[Discount Amount]]</f>
        <v>338231.73815200001</v>
      </c>
    </row>
    <row r="47" spans="1:20" x14ac:dyDescent="0.25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>
        <v>48</v>
      </c>
      <c r="J47" s="4">
        <v>37746.69</v>
      </c>
      <c r="K47" s="6">
        <v>7.22</v>
      </c>
      <c r="L47" s="4">
        <v>1681026.19</v>
      </c>
      <c r="M47" s="4" t="str" cm="1">
        <f t="array" ref="M47">IF(Excel_Advanced_Sales_Dataset_2000__3[[#This Row],[Total Sales]]&gt;50000,{"Yes"},{"No"})</f>
        <v>Yes</v>
      </c>
      <c r="N47" s="5">
        <v>46040</v>
      </c>
      <c r="O47" s="1" t="s">
        <v>24</v>
      </c>
      <c r="P47" t="s">
        <v>35</v>
      </c>
      <c r="Q47" t="str">
        <f>IF(Excel_Advanced_Sales_Dataset_2000__3[[#This Row],[Delivery Status]]="Pending","Follow Up","Ok")</f>
        <v>Ok</v>
      </c>
      <c r="R47" s="1" t="s">
        <v>36</v>
      </c>
      <c r="S47">
        <f>Excel_Advanced_Sales_Dataset_2000__3[[#This Row],[Quantity]]*Excel_Advanced_Sales_Dataset_2000__3[[#This Row],[Unit Price]]*Excel_Advanced_Sales_Dataset_2000__3[[#This Row],[Discount %]]/100</f>
        <v>130814.92886400002</v>
      </c>
      <c r="T47" s="4">
        <f>Excel_Advanced_Sales_Dataset_2000__3[[#This Row],[Quantity]]*Excel_Advanced_Sales_Dataset_2000__3[[#This Row],[Unit Price]]-Excel_Advanced_Sales_Dataset_2000__3[[#This Row],[Discount Amount]]</f>
        <v>1681026.1911360002</v>
      </c>
    </row>
    <row r="48" spans="1:20" x14ac:dyDescent="0.25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>
        <v>3</v>
      </c>
      <c r="J48" s="4">
        <v>27786.78</v>
      </c>
      <c r="K48" s="6">
        <v>7.33</v>
      </c>
      <c r="L48" s="4">
        <v>77250.03</v>
      </c>
      <c r="M48" s="4" t="str" cm="1">
        <f t="array" ref="M48">IF(Excel_Advanced_Sales_Dataset_2000__3[[#This Row],[Total Sales]]&gt;50000,{"Yes"},{"No"})</f>
        <v>Yes</v>
      </c>
      <c r="N48" s="5">
        <v>46094</v>
      </c>
      <c r="O48" s="1" t="s">
        <v>68</v>
      </c>
      <c r="P48" t="s">
        <v>35</v>
      </c>
      <c r="Q48" t="str">
        <f>IF(Excel_Advanced_Sales_Dataset_2000__3[[#This Row],[Delivery Status]]="Pending","Follow Up","Ok")</f>
        <v>Ok</v>
      </c>
      <c r="R48" s="1" t="s">
        <v>36</v>
      </c>
      <c r="S48">
        <f>Excel_Advanced_Sales_Dataset_2000__3[[#This Row],[Quantity]]*Excel_Advanced_Sales_Dataset_2000__3[[#This Row],[Unit Price]]*Excel_Advanced_Sales_Dataset_2000__3[[#This Row],[Discount %]]/100</f>
        <v>6110.3129220000001</v>
      </c>
      <c r="T48" s="4">
        <f>Excel_Advanced_Sales_Dataset_2000__3[[#This Row],[Quantity]]*Excel_Advanced_Sales_Dataset_2000__3[[#This Row],[Unit Price]]-Excel_Advanced_Sales_Dataset_2000__3[[#This Row],[Discount Amount]]</f>
        <v>77250.027077999999</v>
      </c>
    </row>
    <row r="49" spans="1:20" x14ac:dyDescent="0.25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>
        <v>50</v>
      </c>
      <c r="J49" s="4">
        <v>43118.03</v>
      </c>
      <c r="K49" s="6">
        <v>13.59</v>
      </c>
      <c r="L49" s="4">
        <v>1862914.49</v>
      </c>
      <c r="M49" s="4" t="str" cm="1">
        <f t="array" ref="M49">IF(Excel_Advanced_Sales_Dataset_2000__3[[#This Row],[Total Sales]]&gt;50000,{"Yes"},{"No"})</f>
        <v>Yes</v>
      </c>
      <c r="N49" s="5">
        <v>46098</v>
      </c>
      <c r="O49" s="1" t="s">
        <v>24</v>
      </c>
      <c r="P49" t="s">
        <v>35</v>
      </c>
      <c r="Q49" t="str">
        <f>IF(Excel_Advanced_Sales_Dataset_2000__3[[#This Row],[Delivery Status]]="Pending","Follow Up","Ok")</f>
        <v>Ok</v>
      </c>
      <c r="R49" s="1" t="s">
        <v>26</v>
      </c>
      <c r="S49">
        <f>Excel_Advanced_Sales_Dataset_2000__3[[#This Row],[Quantity]]*Excel_Advanced_Sales_Dataset_2000__3[[#This Row],[Unit Price]]*Excel_Advanced_Sales_Dataset_2000__3[[#This Row],[Discount %]]/100</f>
        <v>292987.01384999999</v>
      </c>
      <c r="T49" s="4">
        <f>Excel_Advanced_Sales_Dataset_2000__3[[#This Row],[Quantity]]*Excel_Advanced_Sales_Dataset_2000__3[[#This Row],[Unit Price]]-Excel_Advanced_Sales_Dataset_2000__3[[#This Row],[Discount Amount]]</f>
        <v>1862914.48615</v>
      </c>
    </row>
    <row r="50" spans="1:20" x14ac:dyDescent="0.25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>
        <v>3</v>
      </c>
      <c r="J50" s="4">
        <v>25697.65</v>
      </c>
      <c r="K50" s="6">
        <v>16.79</v>
      </c>
      <c r="L50" s="4">
        <v>64149.04</v>
      </c>
      <c r="M50" s="4" t="str" cm="1">
        <f t="array" ref="M50">IF(Excel_Advanced_Sales_Dataset_2000__3[[#This Row],[Total Sales]]&gt;50000,{"Yes"},{"No"})</f>
        <v>Yes</v>
      </c>
      <c r="N50" s="5">
        <v>46242</v>
      </c>
      <c r="O50" s="1" t="s">
        <v>58</v>
      </c>
      <c r="P50" t="s">
        <v>35</v>
      </c>
      <c r="Q50" t="str">
        <f>IF(Excel_Advanced_Sales_Dataset_2000__3[[#This Row],[Delivery Status]]="Pending","Follow Up","Ok")</f>
        <v>Ok</v>
      </c>
      <c r="R50" s="1" t="s">
        <v>36</v>
      </c>
      <c r="S50">
        <f>Excel_Advanced_Sales_Dataset_2000__3[[#This Row],[Quantity]]*Excel_Advanced_Sales_Dataset_2000__3[[#This Row],[Unit Price]]*Excel_Advanced_Sales_Dataset_2000__3[[#This Row],[Discount %]]/100</f>
        <v>12943.906305000002</v>
      </c>
      <c r="T50" s="4">
        <f>Excel_Advanced_Sales_Dataset_2000__3[[#This Row],[Quantity]]*Excel_Advanced_Sales_Dataset_2000__3[[#This Row],[Unit Price]]-Excel_Advanced_Sales_Dataset_2000__3[[#This Row],[Discount Amount]]</f>
        <v>64149.043695000008</v>
      </c>
    </row>
    <row r="51" spans="1:20" x14ac:dyDescent="0.25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>
        <v>26</v>
      </c>
      <c r="J51" s="4">
        <v>29392.25</v>
      </c>
      <c r="K51" s="6">
        <v>13.18</v>
      </c>
      <c r="L51" s="4">
        <v>663477.14</v>
      </c>
      <c r="M51" s="4" t="str" cm="1">
        <f t="array" ref="M51">IF(Excel_Advanced_Sales_Dataset_2000__3[[#This Row],[Total Sales]]&gt;50000,{"Yes"},{"No"})</f>
        <v>Yes</v>
      </c>
      <c r="N51" s="5">
        <v>46045</v>
      </c>
      <c r="O51" s="1" t="s">
        <v>58</v>
      </c>
      <c r="P51" t="s">
        <v>35</v>
      </c>
      <c r="Q51" t="str">
        <f>IF(Excel_Advanced_Sales_Dataset_2000__3[[#This Row],[Delivery Status]]="Pending","Follow Up","Ok")</f>
        <v>Ok</v>
      </c>
      <c r="R51" s="1" t="s">
        <v>53</v>
      </c>
      <c r="S51">
        <f>Excel_Advanced_Sales_Dataset_2000__3[[#This Row],[Quantity]]*Excel_Advanced_Sales_Dataset_2000__3[[#This Row],[Unit Price]]*Excel_Advanced_Sales_Dataset_2000__3[[#This Row],[Discount %]]/100</f>
        <v>100721.36230000001</v>
      </c>
      <c r="T51" s="4">
        <f>Excel_Advanced_Sales_Dataset_2000__3[[#This Row],[Quantity]]*Excel_Advanced_Sales_Dataset_2000__3[[#This Row],[Unit Price]]-Excel_Advanced_Sales_Dataset_2000__3[[#This Row],[Discount Amount]]</f>
        <v>663477.13769999996</v>
      </c>
    </row>
    <row r="52" spans="1:20" x14ac:dyDescent="0.25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>
        <v>44</v>
      </c>
      <c r="J52" s="4">
        <v>6830.71</v>
      </c>
      <c r="K52" s="6">
        <v>9.9600000000000009</v>
      </c>
      <c r="L52" s="4">
        <v>270616.34000000003</v>
      </c>
      <c r="M52" s="4" t="str" cm="1">
        <f t="array" ref="M52">IF(Excel_Advanced_Sales_Dataset_2000__3[[#This Row],[Total Sales]]&gt;50000,{"Yes"},{"No"})</f>
        <v>Yes</v>
      </c>
      <c r="N52" s="5">
        <v>46197</v>
      </c>
      <c r="O52" s="1" t="s">
        <v>24</v>
      </c>
      <c r="P52" t="s">
        <v>35</v>
      </c>
      <c r="Q52" t="str">
        <f>IF(Excel_Advanced_Sales_Dataset_2000__3[[#This Row],[Delivery Status]]="Pending","Follow Up","Ok")</f>
        <v>Ok</v>
      </c>
      <c r="R52" s="1" t="s">
        <v>53</v>
      </c>
      <c r="S52">
        <f>Excel_Advanced_Sales_Dataset_2000__3[[#This Row],[Quantity]]*Excel_Advanced_Sales_Dataset_2000__3[[#This Row],[Unit Price]]*Excel_Advanced_Sales_Dataset_2000__3[[#This Row],[Discount %]]/100</f>
        <v>29934.903504000002</v>
      </c>
      <c r="T52" s="4">
        <f>Excel_Advanced_Sales_Dataset_2000__3[[#This Row],[Quantity]]*Excel_Advanced_Sales_Dataset_2000__3[[#This Row],[Unit Price]]-Excel_Advanced_Sales_Dataset_2000__3[[#This Row],[Discount Amount]]</f>
        <v>270616.336496</v>
      </c>
    </row>
    <row r="53" spans="1:20" x14ac:dyDescent="0.25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>
        <v>21</v>
      </c>
      <c r="J53" s="4">
        <v>1484.74</v>
      </c>
      <c r="K53" s="6">
        <v>19.690000000000001</v>
      </c>
      <c r="L53" s="4">
        <v>25040.29</v>
      </c>
      <c r="M53" s="4" t="str" cm="1">
        <f t="array" ref="M53">IF(Excel_Advanced_Sales_Dataset_2000__3[[#This Row],[Total Sales]]&gt;50000,{"Yes"},{"No"})</f>
        <v>No</v>
      </c>
      <c r="N53" s="5">
        <v>46300</v>
      </c>
      <c r="O53" s="1" t="s">
        <v>45</v>
      </c>
      <c r="P53" t="s">
        <v>35</v>
      </c>
      <c r="Q53" t="str">
        <f>IF(Excel_Advanced_Sales_Dataset_2000__3[[#This Row],[Delivery Status]]="Pending","Follow Up","Ok")</f>
        <v>Ok</v>
      </c>
      <c r="R53" s="1" t="s">
        <v>36</v>
      </c>
      <c r="S53">
        <f>Excel_Advanced_Sales_Dataset_2000__3[[#This Row],[Quantity]]*Excel_Advanced_Sales_Dataset_2000__3[[#This Row],[Unit Price]]*Excel_Advanced_Sales_Dataset_2000__3[[#This Row],[Discount %]]/100</f>
        <v>6139.2514259999998</v>
      </c>
      <c r="T53" s="4">
        <f>Excel_Advanced_Sales_Dataset_2000__3[[#This Row],[Quantity]]*Excel_Advanced_Sales_Dataset_2000__3[[#This Row],[Unit Price]]-Excel_Advanced_Sales_Dataset_2000__3[[#This Row],[Discount Amount]]</f>
        <v>25040.288574000002</v>
      </c>
    </row>
    <row r="54" spans="1:20" x14ac:dyDescent="0.25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>
        <v>43</v>
      </c>
      <c r="J54" s="4">
        <v>19533.099999999999</v>
      </c>
      <c r="K54" s="6">
        <v>9.11</v>
      </c>
      <c r="L54" s="4">
        <v>763406.29</v>
      </c>
      <c r="M54" s="4" t="str" cm="1">
        <f t="array" ref="M54">IF(Excel_Advanced_Sales_Dataset_2000__3[[#This Row],[Total Sales]]&gt;50000,{"Yes"},{"No"})</f>
        <v>Yes</v>
      </c>
      <c r="N54" s="5">
        <v>46169</v>
      </c>
      <c r="O54" s="1" t="s">
        <v>68</v>
      </c>
      <c r="P54" t="s">
        <v>35</v>
      </c>
      <c r="Q54" t="str">
        <f>IF(Excel_Advanced_Sales_Dataset_2000__3[[#This Row],[Delivery Status]]="Pending","Follow Up","Ok")</f>
        <v>Ok</v>
      </c>
      <c r="R54" s="1" t="s">
        <v>36</v>
      </c>
      <c r="S54">
        <f>Excel_Advanced_Sales_Dataset_2000__3[[#This Row],[Quantity]]*Excel_Advanced_Sales_Dataset_2000__3[[#This Row],[Unit Price]]*Excel_Advanced_Sales_Dataset_2000__3[[#This Row],[Discount %]]/100</f>
        <v>76517.012629999997</v>
      </c>
      <c r="T54" s="4">
        <f>Excel_Advanced_Sales_Dataset_2000__3[[#This Row],[Quantity]]*Excel_Advanced_Sales_Dataset_2000__3[[#This Row],[Unit Price]]-Excel_Advanced_Sales_Dataset_2000__3[[#This Row],[Discount Amount]]</f>
        <v>763406.28736999992</v>
      </c>
    </row>
    <row r="55" spans="1:20" x14ac:dyDescent="0.25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>
        <v>31</v>
      </c>
      <c r="J55" s="4">
        <v>23667.08</v>
      </c>
      <c r="K55" s="6">
        <v>0.16</v>
      </c>
      <c r="L55" s="4">
        <v>732505.59</v>
      </c>
      <c r="M55" s="4" t="str" cm="1">
        <f t="array" ref="M55">IF(Excel_Advanced_Sales_Dataset_2000__3[[#This Row],[Total Sales]]&gt;50000,{"Yes"},{"No"})</f>
        <v>Yes</v>
      </c>
      <c r="N55" s="5">
        <v>46127</v>
      </c>
      <c r="O55" s="1" t="s">
        <v>24</v>
      </c>
      <c r="P55" t="s">
        <v>35</v>
      </c>
      <c r="Q55" t="str">
        <f>IF(Excel_Advanced_Sales_Dataset_2000__3[[#This Row],[Delivery Status]]="Pending","Follow Up","Ok")</f>
        <v>Ok</v>
      </c>
      <c r="R55" s="1" t="s">
        <v>36</v>
      </c>
      <c r="S55">
        <f>Excel_Advanced_Sales_Dataset_2000__3[[#This Row],[Quantity]]*Excel_Advanced_Sales_Dataset_2000__3[[#This Row],[Unit Price]]*Excel_Advanced_Sales_Dataset_2000__3[[#This Row],[Discount %]]/100</f>
        <v>1173.8871680000002</v>
      </c>
      <c r="T55" s="4">
        <f>Excel_Advanced_Sales_Dataset_2000__3[[#This Row],[Quantity]]*Excel_Advanced_Sales_Dataset_2000__3[[#This Row],[Unit Price]]-Excel_Advanced_Sales_Dataset_2000__3[[#This Row],[Discount Amount]]</f>
        <v>732505.59283200011</v>
      </c>
    </row>
    <row r="56" spans="1:20" x14ac:dyDescent="0.25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>
        <v>33</v>
      </c>
      <c r="J56" s="4">
        <v>47752.27</v>
      </c>
      <c r="K56" s="6">
        <v>6.4</v>
      </c>
      <c r="L56" s="4">
        <v>1474972.12</v>
      </c>
      <c r="M56" s="4" t="str" cm="1">
        <f t="array" ref="M56">IF(Excel_Advanced_Sales_Dataset_2000__3[[#This Row],[Total Sales]]&gt;50000,{"Yes"},{"No"})</f>
        <v>Yes</v>
      </c>
      <c r="N56" s="5">
        <v>46314</v>
      </c>
      <c r="O56" s="1" t="s">
        <v>113</v>
      </c>
      <c r="P56" t="s">
        <v>35</v>
      </c>
      <c r="Q56" t="str">
        <f>IF(Excel_Advanced_Sales_Dataset_2000__3[[#This Row],[Delivery Status]]="Pending","Follow Up","Ok")</f>
        <v>Ok</v>
      </c>
      <c r="R56" s="1" t="s">
        <v>36</v>
      </c>
      <c r="S56">
        <f>Excel_Advanced_Sales_Dataset_2000__3[[#This Row],[Quantity]]*Excel_Advanced_Sales_Dataset_2000__3[[#This Row],[Unit Price]]*Excel_Advanced_Sales_Dataset_2000__3[[#This Row],[Discount %]]/100</f>
        <v>100852.79424</v>
      </c>
      <c r="T56" s="4">
        <f>Excel_Advanced_Sales_Dataset_2000__3[[#This Row],[Quantity]]*Excel_Advanced_Sales_Dataset_2000__3[[#This Row],[Unit Price]]-Excel_Advanced_Sales_Dataset_2000__3[[#This Row],[Discount Amount]]</f>
        <v>1474972.11576</v>
      </c>
    </row>
    <row r="57" spans="1:20" x14ac:dyDescent="0.25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>
        <v>45</v>
      </c>
      <c r="J57" s="4">
        <v>33327.82</v>
      </c>
      <c r="K57" s="6">
        <v>0.06</v>
      </c>
      <c r="L57" s="4">
        <v>1498852.05</v>
      </c>
      <c r="M57" s="4" t="str" cm="1">
        <f t="array" ref="M57">IF(Excel_Advanced_Sales_Dataset_2000__3[[#This Row],[Total Sales]]&gt;50000,{"Yes"},{"No"})</f>
        <v>Yes</v>
      </c>
      <c r="N57" s="5">
        <v>46026</v>
      </c>
      <c r="O57" s="1" t="s">
        <v>24</v>
      </c>
      <c r="P57" t="s">
        <v>35</v>
      </c>
      <c r="Q57" t="str">
        <f>IF(Excel_Advanced_Sales_Dataset_2000__3[[#This Row],[Delivery Status]]="Pending","Follow Up","Ok")</f>
        <v>Ok</v>
      </c>
      <c r="R57" s="1" t="s">
        <v>36</v>
      </c>
      <c r="S57">
        <f>Excel_Advanced_Sales_Dataset_2000__3[[#This Row],[Quantity]]*Excel_Advanced_Sales_Dataset_2000__3[[#This Row],[Unit Price]]*Excel_Advanced_Sales_Dataset_2000__3[[#This Row],[Discount %]]/100</f>
        <v>899.85113999999987</v>
      </c>
      <c r="T57" s="4">
        <f>Excel_Advanced_Sales_Dataset_2000__3[[#This Row],[Quantity]]*Excel_Advanced_Sales_Dataset_2000__3[[#This Row],[Unit Price]]-Excel_Advanced_Sales_Dataset_2000__3[[#This Row],[Discount Amount]]</f>
        <v>1498852.04886</v>
      </c>
    </row>
    <row r="58" spans="1:20" x14ac:dyDescent="0.25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>
        <v>29</v>
      </c>
      <c r="J58" s="4">
        <v>4543.32</v>
      </c>
      <c r="K58" s="6">
        <v>14.87</v>
      </c>
      <c r="L58" s="4">
        <v>112164.12</v>
      </c>
      <c r="M58" s="4" t="str" cm="1">
        <f t="array" ref="M58">IF(Excel_Advanced_Sales_Dataset_2000__3[[#This Row],[Total Sales]]&gt;50000,{"Yes"},{"No"})</f>
        <v>Yes</v>
      </c>
      <c r="N58" s="5">
        <v>46123</v>
      </c>
      <c r="O58" s="1" t="s">
        <v>24</v>
      </c>
      <c r="P58" t="s">
        <v>35</v>
      </c>
      <c r="Q58" t="str">
        <f>IF(Excel_Advanced_Sales_Dataset_2000__3[[#This Row],[Delivery Status]]="Pending","Follow Up","Ok")</f>
        <v>Ok</v>
      </c>
      <c r="R58" s="1" t="s">
        <v>53</v>
      </c>
      <c r="S58">
        <f>Excel_Advanced_Sales_Dataset_2000__3[[#This Row],[Quantity]]*Excel_Advanced_Sales_Dataset_2000__3[[#This Row],[Unit Price]]*Excel_Advanced_Sales_Dataset_2000__3[[#This Row],[Discount %]]/100</f>
        <v>19592.158835999999</v>
      </c>
      <c r="T58" s="4">
        <f>Excel_Advanced_Sales_Dataset_2000__3[[#This Row],[Quantity]]*Excel_Advanced_Sales_Dataset_2000__3[[#This Row],[Unit Price]]-Excel_Advanced_Sales_Dataset_2000__3[[#This Row],[Discount Amount]]</f>
        <v>112164.121164</v>
      </c>
    </row>
    <row r="59" spans="1:20" x14ac:dyDescent="0.25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>
        <v>2</v>
      </c>
      <c r="J59" s="4">
        <v>39272.870000000003</v>
      </c>
      <c r="K59" s="6">
        <v>1.37</v>
      </c>
      <c r="L59" s="4">
        <v>77469.66</v>
      </c>
      <c r="M59" s="4" t="str" cm="1">
        <f t="array" ref="M59">IF(Excel_Advanced_Sales_Dataset_2000__3[[#This Row],[Total Sales]]&gt;50000,{"Yes"},{"No"})</f>
        <v>Yes</v>
      </c>
      <c r="N59" s="5">
        <v>46317</v>
      </c>
      <c r="O59" s="1" t="s">
        <v>68</v>
      </c>
      <c r="P59" t="s">
        <v>35</v>
      </c>
      <c r="Q59" t="str">
        <f>IF(Excel_Advanced_Sales_Dataset_2000__3[[#This Row],[Delivery Status]]="Pending","Follow Up","Ok")</f>
        <v>Ok</v>
      </c>
      <c r="R59" s="1" t="s">
        <v>53</v>
      </c>
      <c r="S59">
        <f>Excel_Advanced_Sales_Dataset_2000__3[[#This Row],[Quantity]]*Excel_Advanced_Sales_Dataset_2000__3[[#This Row],[Unit Price]]*Excel_Advanced_Sales_Dataset_2000__3[[#This Row],[Discount %]]/100</f>
        <v>1076.076638</v>
      </c>
      <c r="T59" s="4">
        <f>Excel_Advanced_Sales_Dataset_2000__3[[#This Row],[Quantity]]*Excel_Advanced_Sales_Dataset_2000__3[[#This Row],[Unit Price]]-Excel_Advanced_Sales_Dataset_2000__3[[#This Row],[Discount Amount]]</f>
        <v>77469.663362000007</v>
      </c>
    </row>
    <row r="60" spans="1:20" x14ac:dyDescent="0.25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>
        <v>45</v>
      </c>
      <c r="J60" s="4">
        <v>48889.89</v>
      </c>
      <c r="K60" s="6">
        <v>5.59</v>
      </c>
      <c r="L60" s="4">
        <v>2077062.53</v>
      </c>
      <c r="M60" s="4" t="str" cm="1">
        <f t="array" ref="M60">IF(Excel_Advanced_Sales_Dataset_2000__3[[#This Row],[Total Sales]]&gt;50000,{"Yes"},{"No"})</f>
        <v>Yes</v>
      </c>
      <c r="N60" s="5">
        <v>46215</v>
      </c>
      <c r="O60" s="1" t="s">
        <v>58</v>
      </c>
      <c r="P60" t="s">
        <v>25</v>
      </c>
      <c r="Q60" t="str">
        <f>IF(Excel_Advanced_Sales_Dataset_2000__3[[#This Row],[Delivery Status]]="Pending","Follow Up","Ok")</f>
        <v>Follow Up</v>
      </c>
      <c r="R60" s="1" t="s">
        <v>26</v>
      </c>
      <c r="S60">
        <f>Excel_Advanced_Sales_Dataset_2000__3[[#This Row],[Quantity]]*Excel_Advanced_Sales_Dataset_2000__3[[#This Row],[Unit Price]]*Excel_Advanced_Sales_Dataset_2000__3[[#This Row],[Discount %]]/100</f>
        <v>122982.51829499999</v>
      </c>
      <c r="T60" s="4">
        <f>Excel_Advanced_Sales_Dataset_2000__3[[#This Row],[Quantity]]*Excel_Advanced_Sales_Dataset_2000__3[[#This Row],[Unit Price]]-Excel_Advanced_Sales_Dataset_2000__3[[#This Row],[Discount Amount]]</f>
        <v>2077062.5317049997</v>
      </c>
    </row>
    <row r="61" spans="1:20" x14ac:dyDescent="0.25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>
        <v>44</v>
      </c>
      <c r="J61" s="4">
        <v>6074.08</v>
      </c>
      <c r="K61" s="6">
        <v>0.77</v>
      </c>
      <c r="L61" s="4">
        <v>265201.62</v>
      </c>
      <c r="M61" s="4" t="str" cm="1">
        <f t="array" ref="M61">IF(Excel_Advanced_Sales_Dataset_2000__3[[#This Row],[Total Sales]]&gt;50000,{"Yes"},{"No"})</f>
        <v>Yes</v>
      </c>
      <c r="N61" s="5">
        <v>46130</v>
      </c>
      <c r="O61" s="1" t="s">
        <v>45</v>
      </c>
      <c r="P61" t="s">
        <v>25</v>
      </c>
      <c r="Q61" t="str">
        <f>IF(Excel_Advanced_Sales_Dataset_2000__3[[#This Row],[Delivery Status]]="Pending","Follow Up","Ok")</f>
        <v>Follow Up</v>
      </c>
      <c r="R61" s="1" t="s">
        <v>53</v>
      </c>
      <c r="S61">
        <f>Excel_Advanced_Sales_Dataset_2000__3[[#This Row],[Quantity]]*Excel_Advanced_Sales_Dataset_2000__3[[#This Row],[Unit Price]]*Excel_Advanced_Sales_Dataset_2000__3[[#This Row],[Discount %]]/100</f>
        <v>2057.8983040000003</v>
      </c>
      <c r="T61" s="4">
        <f>Excel_Advanced_Sales_Dataset_2000__3[[#This Row],[Quantity]]*Excel_Advanced_Sales_Dataset_2000__3[[#This Row],[Unit Price]]-Excel_Advanced_Sales_Dataset_2000__3[[#This Row],[Discount Amount]]</f>
        <v>265201.62169600005</v>
      </c>
    </row>
    <row r="62" spans="1:20" x14ac:dyDescent="0.25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>
        <v>43</v>
      </c>
      <c r="J62" s="4">
        <v>23734.03</v>
      </c>
      <c r="K62" s="6">
        <v>12.51</v>
      </c>
      <c r="L62" s="4">
        <v>892890.82</v>
      </c>
      <c r="M62" s="4" t="str" cm="1">
        <f t="array" ref="M62">IF(Excel_Advanced_Sales_Dataset_2000__3[[#This Row],[Total Sales]]&gt;50000,{"Yes"},{"No"})</f>
        <v>Yes</v>
      </c>
      <c r="N62" s="5">
        <v>46245</v>
      </c>
      <c r="O62" s="1" t="s">
        <v>45</v>
      </c>
      <c r="P62" t="s">
        <v>59</v>
      </c>
      <c r="Q62" t="str">
        <f>IF(Excel_Advanced_Sales_Dataset_2000__3[[#This Row],[Delivery Status]]="Pending","Follow Up","Ok")</f>
        <v>Ok</v>
      </c>
      <c r="R62" s="1" t="s">
        <v>26</v>
      </c>
      <c r="S62">
        <f>Excel_Advanced_Sales_Dataset_2000__3[[#This Row],[Quantity]]*Excel_Advanced_Sales_Dataset_2000__3[[#This Row],[Unit Price]]*Excel_Advanced_Sales_Dataset_2000__3[[#This Row],[Discount %]]/100</f>
        <v>127672.46757899999</v>
      </c>
      <c r="T62" s="4">
        <f>Excel_Advanced_Sales_Dataset_2000__3[[#This Row],[Quantity]]*Excel_Advanced_Sales_Dataset_2000__3[[#This Row],[Unit Price]]-Excel_Advanced_Sales_Dataset_2000__3[[#This Row],[Discount Amount]]</f>
        <v>892890.82242099987</v>
      </c>
    </row>
    <row r="63" spans="1:20" x14ac:dyDescent="0.25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>
        <v>17</v>
      </c>
      <c r="J63" s="4">
        <v>28375.61</v>
      </c>
      <c r="K63" s="6">
        <v>13.37</v>
      </c>
      <c r="L63" s="4">
        <v>417890.45</v>
      </c>
      <c r="M63" s="4" t="str" cm="1">
        <f t="array" ref="M63">IF(Excel_Advanced_Sales_Dataset_2000__3[[#This Row],[Total Sales]]&gt;50000,{"Yes"},{"No"})</f>
        <v>Yes</v>
      </c>
      <c r="N63" s="5">
        <v>46047</v>
      </c>
      <c r="O63" s="1" t="s">
        <v>68</v>
      </c>
      <c r="P63" t="s">
        <v>35</v>
      </c>
      <c r="Q63" t="str">
        <f>IF(Excel_Advanced_Sales_Dataset_2000__3[[#This Row],[Delivery Status]]="Pending","Follow Up","Ok")</f>
        <v>Ok</v>
      </c>
      <c r="R63" s="1" t="s">
        <v>53</v>
      </c>
      <c r="S63">
        <f>Excel_Advanced_Sales_Dataset_2000__3[[#This Row],[Quantity]]*Excel_Advanced_Sales_Dataset_2000__3[[#This Row],[Unit Price]]*Excel_Advanced_Sales_Dataset_2000__3[[#This Row],[Discount %]]/100</f>
        <v>64494.923968999989</v>
      </c>
      <c r="T63" s="4">
        <f>Excel_Advanced_Sales_Dataset_2000__3[[#This Row],[Quantity]]*Excel_Advanced_Sales_Dataset_2000__3[[#This Row],[Unit Price]]-Excel_Advanced_Sales_Dataset_2000__3[[#This Row],[Discount Amount]]</f>
        <v>417890.446031</v>
      </c>
    </row>
    <row r="64" spans="1:20" x14ac:dyDescent="0.25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>
        <v>26</v>
      </c>
      <c r="J64" s="4">
        <v>6402.73</v>
      </c>
      <c r="K64" s="6">
        <v>15.68</v>
      </c>
      <c r="L64" s="4">
        <v>140368.32999999999</v>
      </c>
      <c r="M64" s="4" t="str" cm="1">
        <f t="array" ref="M64">IF(Excel_Advanced_Sales_Dataset_2000__3[[#This Row],[Total Sales]]&gt;50000,{"Yes"},{"No"})</f>
        <v>Yes</v>
      </c>
      <c r="N64" s="5">
        <v>46285</v>
      </c>
      <c r="O64" s="1" t="s">
        <v>24</v>
      </c>
      <c r="P64" t="s">
        <v>35</v>
      </c>
      <c r="Q64" t="str">
        <f>IF(Excel_Advanced_Sales_Dataset_2000__3[[#This Row],[Delivery Status]]="Pending","Follow Up","Ok")</f>
        <v>Ok</v>
      </c>
      <c r="R64" s="1" t="s">
        <v>26</v>
      </c>
      <c r="S64">
        <f>Excel_Advanced_Sales_Dataset_2000__3[[#This Row],[Quantity]]*Excel_Advanced_Sales_Dataset_2000__3[[#This Row],[Unit Price]]*Excel_Advanced_Sales_Dataset_2000__3[[#This Row],[Discount %]]/100</f>
        <v>26102.649663999997</v>
      </c>
      <c r="T64" s="4">
        <f>Excel_Advanced_Sales_Dataset_2000__3[[#This Row],[Quantity]]*Excel_Advanced_Sales_Dataset_2000__3[[#This Row],[Unit Price]]-Excel_Advanced_Sales_Dataset_2000__3[[#This Row],[Discount Amount]]</f>
        <v>140368.33033599998</v>
      </c>
    </row>
    <row r="65" spans="1:20" x14ac:dyDescent="0.25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>
        <v>44</v>
      </c>
      <c r="J65" s="4">
        <v>35238.629999999997</v>
      </c>
      <c r="K65" s="6">
        <v>7.96</v>
      </c>
      <c r="L65" s="4">
        <v>1427079.94</v>
      </c>
      <c r="M65" s="4" t="str" cm="1">
        <f t="array" ref="M65">IF(Excel_Advanced_Sales_Dataset_2000__3[[#This Row],[Total Sales]]&gt;50000,{"Yes"},{"No"})</f>
        <v>Yes</v>
      </c>
      <c r="N65" s="5">
        <v>46233</v>
      </c>
      <c r="O65" s="1" t="s">
        <v>58</v>
      </c>
      <c r="P65" t="s">
        <v>59</v>
      </c>
      <c r="Q65" t="str">
        <f>IF(Excel_Advanced_Sales_Dataset_2000__3[[#This Row],[Delivery Status]]="Pending","Follow Up","Ok")</f>
        <v>Ok</v>
      </c>
      <c r="R65" s="1" t="s">
        <v>26</v>
      </c>
      <c r="S65">
        <f>Excel_Advanced_Sales_Dataset_2000__3[[#This Row],[Quantity]]*Excel_Advanced_Sales_Dataset_2000__3[[#This Row],[Unit Price]]*Excel_Advanced_Sales_Dataset_2000__3[[#This Row],[Discount %]]/100</f>
        <v>123419.777712</v>
      </c>
      <c r="T65" s="4">
        <f>Excel_Advanced_Sales_Dataset_2000__3[[#This Row],[Quantity]]*Excel_Advanced_Sales_Dataset_2000__3[[#This Row],[Unit Price]]-Excel_Advanced_Sales_Dataset_2000__3[[#This Row],[Discount Amount]]</f>
        <v>1427079.9422879999</v>
      </c>
    </row>
    <row r="66" spans="1:20" x14ac:dyDescent="0.25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>
        <v>16</v>
      </c>
      <c r="J66" s="4">
        <v>4575.79</v>
      </c>
      <c r="K66" s="6">
        <v>11.88</v>
      </c>
      <c r="L66" s="4">
        <v>64514.98</v>
      </c>
      <c r="M66" s="4" t="str" cm="1">
        <f t="array" ref="M66">IF(Excel_Advanced_Sales_Dataset_2000__3[[#This Row],[Total Sales]]&gt;50000,{"Yes"},{"No"})</f>
        <v>Yes</v>
      </c>
      <c r="N66" s="5">
        <v>46115</v>
      </c>
      <c r="O66" s="1" t="s">
        <v>24</v>
      </c>
      <c r="P66" t="s">
        <v>25</v>
      </c>
      <c r="Q66" t="str">
        <f>IF(Excel_Advanced_Sales_Dataset_2000__3[[#This Row],[Delivery Status]]="Pending","Follow Up","Ok")</f>
        <v>Follow Up</v>
      </c>
      <c r="R66" s="1" t="s">
        <v>53</v>
      </c>
      <c r="S66">
        <f>Excel_Advanced_Sales_Dataset_2000__3[[#This Row],[Quantity]]*Excel_Advanced_Sales_Dataset_2000__3[[#This Row],[Unit Price]]*Excel_Advanced_Sales_Dataset_2000__3[[#This Row],[Discount %]]/100</f>
        <v>8697.6616320000012</v>
      </c>
      <c r="T66" s="4">
        <f>Excel_Advanced_Sales_Dataset_2000__3[[#This Row],[Quantity]]*Excel_Advanced_Sales_Dataset_2000__3[[#This Row],[Unit Price]]-Excel_Advanced_Sales_Dataset_2000__3[[#This Row],[Discount Amount]]</f>
        <v>64514.978367999996</v>
      </c>
    </row>
    <row r="67" spans="1:20" x14ac:dyDescent="0.25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>
        <v>46</v>
      </c>
      <c r="J67" s="4">
        <v>43702.17</v>
      </c>
      <c r="K67" s="6">
        <v>19.12</v>
      </c>
      <c r="L67" s="4">
        <v>1625930.49</v>
      </c>
      <c r="M67" s="4" t="str" cm="1">
        <f t="array" ref="M67">IF(Excel_Advanced_Sales_Dataset_2000__3[[#This Row],[Total Sales]]&gt;50000,{"Yes"},{"No"})</f>
        <v>Yes</v>
      </c>
      <c r="N67" s="5">
        <v>46134</v>
      </c>
      <c r="O67" s="1" t="s">
        <v>45</v>
      </c>
      <c r="P67" t="s">
        <v>25</v>
      </c>
      <c r="Q67" t="str">
        <f>IF(Excel_Advanced_Sales_Dataset_2000__3[[#This Row],[Delivery Status]]="Pending","Follow Up","Ok")</f>
        <v>Follow Up</v>
      </c>
      <c r="R67" s="1" t="s">
        <v>26</v>
      </c>
      <c r="S67">
        <f>Excel_Advanced_Sales_Dataset_2000__3[[#This Row],[Quantity]]*Excel_Advanced_Sales_Dataset_2000__3[[#This Row],[Unit Price]]*Excel_Advanced_Sales_Dataset_2000__3[[#This Row],[Discount %]]/100</f>
        <v>384369.32558399998</v>
      </c>
      <c r="T67" s="4">
        <f>Excel_Advanced_Sales_Dataset_2000__3[[#This Row],[Quantity]]*Excel_Advanced_Sales_Dataset_2000__3[[#This Row],[Unit Price]]-Excel_Advanced_Sales_Dataset_2000__3[[#This Row],[Discount Amount]]</f>
        <v>1625930.4944159999</v>
      </c>
    </row>
    <row r="68" spans="1:20" x14ac:dyDescent="0.25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>
        <v>23</v>
      </c>
      <c r="J68" s="4">
        <v>35008.53</v>
      </c>
      <c r="K68" s="6">
        <v>4.33</v>
      </c>
      <c r="L68" s="4">
        <v>770331.19</v>
      </c>
      <c r="M68" s="4" t="str" cm="1">
        <f t="array" ref="M68">IF(Excel_Advanced_Sales_Dataset_2000__3[[#This Row],[Total Sales]]&gt;50000,{"Yes"},{"No"})</f>
        <v>Yes</v>
      </c>
      <c r="N68" s="5">
        <v>46143</v>
      </c>
      <c r="O68" s="1" t="s">
        <v>58</v>
      </c>
      <c r="P68" t="s">
        <v>35</v>
      </c>
      <c r="Q68" t="str">
        <f>IF(Excel_Advanced_Sales_Dataset_2000__3[[#This Row],[Delivery Status]]="Pending","Follow Up","Ok")</f>
        <v>Ok</v>
      </c>
      <c r="R68" s="1" t="s">
        <v>26</v>
      </c>
      <c r="S68">
        <f>Excel_Advanced_Sales_Dataset_2000__3[[#This Row],[Quantity]]*Excel_Advanced_Sales_Dataset_2000__3[[#This Row],[Unit Price]]*Excel_Advanced_Sales_Dataset_2000__3[[#This Row],[Discount %]]/100</f>
        <v>34864.995026999997</v>
      </c>
      <c r="T68" s="4">
        <f>Excel_Advanced_Sales_Dataset_2000__3[[#This Row],[Quantity]]*Excel_Advanced_Sales_Dataset_2000__3[[#This Row],[Unit Price]]-Excel_Advanced_Sales_Dataset_2000__3[[#This Row],[Discount Amount]]</f>
        <v>770331.19497299998</v>
      </c>
    </row>
    <row r="69" spans="1:20" x14ac:dyDescent="0.25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>
        <v>37</v>
      </c>
      <c r="J69" s="4">
        <v>43911.61</v>
      </c>
      <c r="K69" s="6">
        <v>3.51</v>
      </c>
      <c r="L69" s="4">
        <v>1567701.56</v>
      </c>
      <c r="M69" s="4" t="str" cm="1">
        <f t="array" ref="M69">IF(Excel_Advanced_Sales_Dataset_2000__3[[#This Row],[Total Sales]]&gt;50000,{"Yes"},{"No"})</f>
        <v>Yes</v>
      </c>
      <c r="N69" s="5">
        <v>46321</v>
      </c>
      <c r="O69" s="1" t="s">
        <v>58</v>
      </c>
      <c r="P69" t="s">
        <v>35</v>
      </c>
      <c r="Q69" t="str">
        <f>IF(Excel_Advanced_Sales_Dataset_2000__3[[#This Row],[Delivery Status]]="Pending","Follow Up","Ok")</f>
        <v>Ok</v>
      </c>
      <c r="R69" s="1" t="s">
        <v>53</v>
      </c>
      <c r="S69">
        <f>Excel_Advanced_Sales_Dataset_2000__3[[#This Row],[Quantity]]*Excel_Advanced_Sales_Dataset_2000__3[[#This Row],[Unit Price]]*Excel_Advanced_Sales_Dataset_2000__3[[#This Row],[Discount %]]/100</f>
        <v>57028.007906999999</v>
      </c>
      <c r="T69" s="4">
        <f>Excel_Advanced_Sales_Dataset_2000__3[[#This Row],[Quantity]]*Excel_Advanced_Sales_Dataset_2000__3[[#This Row],[Unit Price]]-Excel_Advanced_Sales_Dataset_2000__3[[#This Row],[Discount Amount]]</f>
        <v>1567701.5620930002</v>
      </c>
    </row>
    <row r="70" spans="1:20" x14ac:dyDescent="0.25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>
        <v>41</v>
      </c>
      <c r="J70" s="4">
        <v>38355.589999999997</v>
      </c>
      <c r="K70" s="6">
        <v>2.81</v>
      </c>
      <c r="L70" s="4">
        <v>1528389.71</v>
      </c>
      <c r="M70" s="4" t="str" cm="1">
        <f t="array" ref="M70">IF(Excel_Advanced_Sales_Dataset_2000__3[[#This Row],[Total Sales]]&gt;50000,{"Yes"},{"No"})</f>
        <v>Yes</v>
      </c>
      <c r="N70" s="5">
        <v>46231</v>
      </c>
      <c r="O70" s="1" t="s">
        <v>45</v>
      </c>
      <c r="P70" t="s">
        <v>35</v>
      </c>
      <c r="Q70" t="str">
        <f>IF(Excel_Advanced_Sales_Dataset_2000__3[[#This Row],[Delivery Status]]="Pending","Follow Up","Ok")</f>
        <v>Ok</v>
      </c>
      <c r="R70" s="1" t="s">
        <v>53</v>
      </c>
      <c r="S70">
        <f>Excel_Advanced_Sales_Dataset_2000__3[[#This Row],[Quantity]]*Excel_Advanced_Sales_Dataset_2000__3[[#This Row],[Unit Price]]*Excel_Advanced_Sales_Dataset_2000__3[[#This Row],[Discount %]]/100</f>
        <v>44189.475239000007</v>
      </c>
      <c r="T70" s="4">
        <f>Excel_Advanced_Sales_Dataset_2000__3[[#This Row],[Quantity]]*Excel_Advanced_Sales_Dataset_2000__3[[#This Row],[Unit Price]]-Excel_Advanced_Sales_Dataset_2000__3[[#This Row],[Discount Amount]]</f>
        <v>1528389.7147609999</v>
      </c>
    </row>
    <row r="71" spans="1:20" x14ac:dyDescent="0.25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>
        <v>22</v>
      </c>
      <c r="J71" s="4">
        <v>7182.12</v>
      </c>
      <c r="K71" s="6">
        <v>2.63</v>
      </c>
      <c r="L71" s="4">
        <v>153851.07</v>
      </c>
      <c r="M71" s="4" t="str" cm="1">
        <f t="array" ref="M71">IF(Excel_Advanced_Sales_Dataset_2000__3[[#This Row],[Total Sales]]&gt;50000,{"Yes"},{"No"})</f>
        <v>Yes</v>
      </c>
      <c r="N71" s="5">
        <v>46157</v>
      </c>
      <c r="O71" s="1" t="s">
        <v>24</v>
      </c>
      <c r="P71" t="s">
        <v>35</v>
      </c>
      <c r="Q71" t="str">
        <f>IF(Excel_Advanced_Sales_Dataset_2000__3[[#This Row],[Delivery Status]]="Pending","Follow Up","Ok")</f>
        <v>Ok</v>
      </c>
      <c r="R71" s="1" t="s">
        <v>36</v>
      </c>
      <c r="S71">
        <f>Excel_Advanced_Sales_Dataset_2000__3[[#This Row],[Quantity]]*Excel_Advanced_Sales_Dataset_2000__3[[#This Row],[Unit Price]]*Excel_Advanced_Sales_Dataset_2000__3[[#This Row],[Discount %]]/100</f>
        <v>4155.5746319999998</v>
      </c>
      <c r="T71" s="4">
        <f>Excel_Advanced_Sales_Dataset_2000__3[[#This Row],[Quantity]]*Excel_Advanced_Sales_Dataset_2000__3[[#This Row],[Unit Price]]-Excel_Advanced_Sales_Dataset_2000__3[[#This Row],[Discount Amount]]</f>
        <v>153851.06536799998</v>
      </c>
    </row>
    <row r="72" spans="1:20" x14ac:dyDescent="0.25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>
        <v>16</v>
      </c>
      <c r="J72" s="4">
        <v>21483.62</v>
      </c>
      <c r="K72" s="6">
        <v>2.65</v>
      </c>
      <c r="L72" s="4">
        <v>334628.87</v>
      </c>
      <c r="M72" s="4" t="str" cm="1">
        <f t="array" ref="M72">IF(Excel_Advanced_Sales_Dataset_2000__3[[#This Row],[Total Sales]]&gt;50000,{"Yes"},{"No"})</f>
        <v>Yes</v>
      </c>
      <c r="N72" s="5">
        <v>46191</v>
      </c>
      <c r="O72" s="1" t="s">
        <v>68</v>
      </c>
      <c r="P72" t="s">
        <v>35</v>
      </c>
      <c r="Q72" t="str">
        <f>IF(Excel_Advanced_Sales_Dataset_2000__3[[#This Row],[Delivery Status]]="Pending","Follow Up","Ok")</f>
        <v>Ok</v>
      </c>
      <c r="R72" s="1" t="s">
        <v>26</v>
      </c>
      <c r="S72">
        <f>Excel_Advanced_Sales_Dataset_2000__3[[#This Row],[Quantity]]*Excel_Advanced_Sales_Dataset_2000__3[[#This Row],[Unit Price]]*Excel_Advanced_Sales_Dataset_2000__3[[#This Row],[Discount %]]/100</f>
        <v>9109.0548799999997</v>
      </c>
      <c r="T72" s="4">
        <f>Excel_Advanced_Sales_Dataset_2000__3[[#This Row],[Quantity]]*Excel_Advanced_Sales_Dataset_2000__3[[#This Row],[Unit Price]]-Excel_Advanced_Sales_Dataset_2000__3[[#This Row],[Discount Amount]]</f>
        <v>334628.86511999997</v>
      </c>
    </row>
    <row r="73" spans="1:20" x14ac:dyDescent="0.25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>
        <v>34</v>
      </c>
      <c r="J73" s="4">
        <v>39029.97</v>
      </c>
      <c r="K73" s="6">
        <v>3.29</v>
      </c>
      <c r="L73" s="4">
        <v>1283360.06</v>
      </c>
      <c r="M73" s="4" t="str" cm="1">
        <f t="array" ref="M73">IF(Excel_Advanced_Sales_Dataset_2000__3[[#This Row],[Total Sales]]&gt;50000,{"Yes"},{"No"})</f>
        <v>Yes</v>
      </c>
      <c r="N73" s="5">
        <v>46224</v>
      </c>
      <c r="O73" s="1" t="s">
        <v>45</v>
      </c>
      <c r="P73" t="s">
        <v>35</v>
      </c>
      <c r="Q73" t="str">
        <f>IF(Excel_Advanced_Sales_Dataset_2000__3[[#This Row],[Delivery Status]]="Pending","Follow Up","Ok")</f>
        <v>Ok</v>
      </c>
      <c r="R73" s="1" t="s">
        <v>53</v>
      </c>
      <c r="S73">
        <f>Excel_Advanced_Sales_Dataset_2000__3[[#This Row],[Quantity]]*Excel_Advanced_Sales_Dataset_2000__3[[#This Row],[Unit Price]]*Excel_Advanced_Sales_Dataset_2000__3[[#This Row],[Discount %]]/100</f>
        <v>43658.924441999996</v>
      </c>
      <c r="T73" s="4">
        <f>Excel_Advanced_Sales_Dataset_2000__3[[#This Row],[Quantity]]*Excel_Advanced_Sales_Dataset_2000__3[[#This Row],[Unit Price]]-Excel_Advanced_Sales_Dataset_2000__3[[#This Row],[Discount Amount]]</f>
        <v>1283360.055558</v>
      </c>
    </row>
    <row r="74" spans="1:20" x14ac:dyDescent="0.25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>
        <v>6</v>
      </c>
      <c r="J74" s="4">
        <v>46477.08</v>
      </c>
      <c r="K74" s="6">
        <v>18.47</v>
      </c>
      <c r="L74" s="4">
        <v>227356.58</v>
      </c>
      <c r="M74" s="4" t="str" cm="1">
        <f t="array" ref="M74">IF(Excel_Advanced_Sales_Dataset_2000__3[[#This Row],[Total Sales]]&gt;50000,{"Yes"},{"No"})</f>
        <v>Yes</v>
      </c>
      <c r="N74" s="5">
        <v>46296</v>
      </c>
      <c r="O74" s="1" t="s">
        <v>113</v>
      </c>
      <c r="P74" t="s">
        <v>25</v>
      </c>
      <c r="Q74" t="str">
        <f>IF(Excel_Advanced_Sales_Dataset_2000__3[[#This Row],[Delivery Status]]="Pending","Follow Up","Ok")</f>
        <v>Follow Up</v>
      </c>
      <c r="R74" s="1" t="s">
        <v>36</v>
      </c>
      <c r="S74">
        <f>Excel_Advanced_Sales_Dataset_2000__3[[#This Row],[Quantity]]*Excel_Advanced_Sales_Dataset_2000__3[[#This Row],[Unit Price]]*Excel_Advanced_Sales_Dataset_2000__3[[#This Row],[Discount %]]/100</f>
        <v>51505.900055999999</v>
      </c>
      <c r="T74" s="4">
        <f>Excel_Advanced_Sales_Dataset_2000__3[[#This Row],[Quantity]]*Excel_Advanced_Sales_Dataset_2000__3[[#This Row],[Unit Price]]-Excel_Advanced_Sales_Dataset_2000__3[[#This Row],[Discount Amount]]</f>
        <v>227356.579944</v>
      </c>
    </row>
    <row r="75" spans="1:20" x14ac:dyDescent="0.25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>
        <v>32</v>
      </c>
      <c r="J75" s="4">
        <v>47083.06</v>
      </c>
      <c r="K75" s="6">
        <v>13.38</v>
      </c>
      <c r="L75" s="4">
        <v>1305067.0900000001</v>
      </c>
      <c r="M75" s="4" t="str" cm="1">
        <f t="array" ref="M75">IF(Excel_Advanced_Sales_Dataset_2000__3[[#This Row],[Total Sales]]&gt;50000,{"Yes"},{"No"})</f>
        <v>Yes</v>
      </c>
      <c r="N75" s="5">
        <v>46255</v>
      </c>
      <c r="O75" s="1" t="s">
        <v>24</v>
      </c>
      <c r="P75" t="s">
        <v>59</v>
      </c>
      <c r="Q75" t="str">
        <f>IF(Excel_Advanced_Sales_Dataset_2000__3[[#This Row],[Delivery Status]]="Pending","Follow Up","Ok")</f>
        <v>Ok</v>
      </c>
      <c r="R75" s="1" t="s">
        <v>36</v>
      </c>
      <c r="S75">
        <f>Excel_Advanced_Sales_Dataset_2000__3[[#This Row],[Quantity]]*Excel_Advanced_Sales_Dataset_2000__3[[#This Row],[Unit Price]]*Excel_Advanced_Sales_Dataset_2000__3[[#This Row],[Discount %]]/100</f>
        <v>201590.829696</v>
      </c>
      <c r="T75" s="4">
        <f>Excel_Advanced_Sales_Dataset_2000__3[[#This Row],[Quantity]]*Excel_Advanced_Sales_Dataset_2000__3[[#This Row],[Unit Price]]-Excel_Advanced_Sales_Dataset_2000__3[[#This Row],[Discount Amount]]</f>
        <v>1305067.0903039998</v>
      </c>
    </row>
    <row r="76" spans="1:20" x14ac:dyDescent="0.25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>
        <v>15</v>
      </c>
      <c r="J76" s="4">
        <v>31611.84</v>
      </c>
      <c r="K76" s="6">
        <v>13.63</v>
      </c>
      <c r="L76" s="4">
        <v>409547.19</v>
      </c>
      <c r="M76" s="4" t="str" cm="1">
        <f t="array" ref="M76">IF(Excel_Advanced_Sales_Dataset_2000__3[[#This Row],[Total Sales]]&gt;50000,{"Yes"},{"No"})</f>
        <v>Yes</v>
      </c>
      <c r="N76" s="5">
        <v>46286</v>
      </c>
      <c r="O76" s="1" t="s">
        <v>68</v>
      </c>
      <c r="P76" t="s">
        <v>35</v>
      </c>
      <c r="Q76" t="str">
        <f>IF(Excel_Advanced_Sales_Dataset_2000__3[[#This Row],[Delivery Status]]="Pending","Follow Up","Ok")</f>
        <v>Ok</v>
      </c>
      <c r="R76" s="1" t="s">
        <v>53</v>
      </c>
      <c r="S76">
        <f>Excel_Advanced_Sales_Dataset_2000__3[[#This Row],[Quantity]]*Excel_Advanced_Sales_Dataset_2000__3[[#This Row],[Unit Price]]*Excel_Advanced_Sales_Dataset_2000__3[[#This Row],[Discount %]]/100</f>
        <v>64630.406880000002</v>
      </c>
      <c r="T76" s="4">
        <f>Excel_Advanced_Sales_Dataset_2000__3[[#This Row],[Quantity]]*Excel_Advanced_Sales_Dataset_2000__3[[#This Row],[Unit Price]]-Excel_Advanced_Sales_Dataset_2000__3[[#This Row],[Discount Amount]]</f>
        <v>409547.19311999995</v>
      </c>
    </row>
    <row r="77" spans="1:20" x14ac:dyDescent="0.25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>
        <v>17</v>
      </c>
      <c r="J77" s="4">
        <v>15456.12</v>
      </c>
      <c r="K77" s="6">
        <v>10.79</v>
      </c>
      <c r="L77" s="4">
        <v>234402.88</v>
      </c>
      <c r="M77" s="4" t="str" cm="1">
        <f t="array" ref="M77">IF(Excel_Advanced_Sales_Dataset_2000__3[[#This Row],[Total Sales]]&gt;50000,{"Yes"},{"No"})</f>
        <v>Yes</v>
      </c>
      <c r="N77" s="5">
        <v>46121</v>
      </c>
      <c r="O77" s="1" t="s">
        <v>24</v>
      </c>
      <c r="P77" t="s">
        <v>59</v>
      </c>
      <c r="Q77" t="str">
        <f>IF(Excel_Advanced_Sales_Dataset_2000__3[[#This Row],[Delivery Status]]="Pending","Follow Up","Ok")</f>
        <v>Ok</v>
      </c>
      <c r="R77" s="1" t="s">
        <v>53</v>
      </c>
      <c r="S77">
        <f>Excel_Advanced_Sales_Dataset_2000__3[[#This Row],[Quantity]]*Excel_Advanced_Sales_Dataset_2000__3[[#This Row],[Unit Price]]*Excel_Advanced_Sales_Dataset_2000__3[[#This Row],[Discount %]]/100</f>
        <v>28351.160916000004</v>
      </c>
      <c r="T77" s="4">
        <f>Excel_Advanced_Sales_Dataset_2000__3[[#This Row],[Quantity]]*Excel_Advanced_Sales_Dataset_2000__3[[#This Row],[Unit Price]]-Excel_Advanced_Sales_Dataset_2000__3[[#This Row],[Discount Amount]]</f>
        <v>234402.87908400004</v>
      </c>
    </row>
    <row r="78" spans="1:20" x14ac:dyDescent="0.25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>
        <v>20</v>
      </c>
      <c r="J78" s="4">
        <v>1244.17</v>
      </c>
      <c r="K78" s="6">
        <v>5.61</v>
      </c>
      <c r="L78" s="4">
        <v>23487.439999999999</v>
      </c>
      <c r="M78" s="4" t="str" cm="1">
        <f t="array" ref="M78">IF(Excel_Advanced_Sales_Dataset_2000__3[[#This Row],[Total Sales]]&gt;50000,{"Yes"},{"No"})</f>
        <v>No</v>
      </c>
      <c r="N78" s="5">
        <v>46281</v>
      </c>
      <c r="O78" s="1" t="s">
        <v>24</v>
      </c>
      <c r="P78" t="s">
        <v>35</v>
      </c>
      <c r="Q78" t="str">
        <f>IF(Excel_Advanced_Sales_Dataset_2000__3[[#This Row],[Delivery Status]]="Pending","Follow Up","Ok")</f>
        <v>Ok</v>
      </c>
      <c r="R78" s="1" t="s">
        <v>36</v>
      </c>
      <c r="S78">
        <f>Excel_Advanced_Sales_Dataset_2000__3[[#This Row],[Quantity]]*Excel_Advanced_Sales_Dataset_2000__3[[#This Row],[Unit Price]]*Excel_Advanced_Sales_Dataset_2000__3[[#This Row],[Discount %]]/100</f>
        <v>1395.95874</v>
      </c>
      <c r="T78" s="4">
        <f>Excel_Advanced_Sales_Dataset_2000__3[[#This Row],[Quantity]]*Excel_Advanced_Sales_Dataset_2000__3[[#This Row],[Unit Price]]-Excel_Advanced_Sales_Dataset_2000__3[[#This Row],[Discount Amount]]</f>
        <v>23487.44126</v>
      </c>
    </row>
    <row r="79" spans="1:20" x14ac:dyDescent="0.25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>
        <v>12</v>
      </c>
      <c r="J79" s="4">
        <v>25736.06</v>
      </c>
      <c r="K79" s="6">
        <v>13.25</v>
      </c>
      <c r="L79" s="4">
        <v>267912.38</v>
      </c>
      <c r="M79" s="4" t="str" cm="1">
        <f t="array" ref="M79">IF(Excel_Advanced_Sales_Dataset_2000__3[[#This Row],[Total Sales]]&gt;50000,{"Yes"},{"No"})</f>
        <v>Yes</v>
      </c>
      <c r="N79" s="5">
        <v>46120</v>
      </c>
      <c r="O79" s="1" t="s">
        <v>58</v>
      </c>
      <c r="P79" t="s">
        <v>35</v>
      </c>
      <c r="Q79" t="str">
        <f>IF(Excel_Advanced_Sales_Dataset_2000__3[[#This Row],[Delivery Status]]="Pending","Follow Up","Ok")</f>
        <v>Ok</v>
      </c>
      <c r="R79" s="1" t="s">
        <v>36</v>
      </c>
      <c r="S79">
        <f>Excel_Advanced_Sales_Dataset_2000__3[[#This Row],[Quantity]]*Excel_Advanced_Sales_Dataset_2000__3[[#This Row],[Unit Price]]*Excel_Advanced_Sales_Dataset_2000__3[[#This Row],[Discount %]]/100</f>
        <v>40920.335400000004</v>
      </c>
      <c r="T79" s="4">
        <f>Excel_Advanced_Sales_Dataset_2000__3[[#This Row],[Quantity]]*Excel_Advanced_Sales_Dataset_2000__3[[#This Row],[Unit Price]]-Excel_Advanced_Sales_Dataset_2000__3[[#This Row],[Discount Amount]]</f>
        <v>267912.38460000005</v>
      </c>
    </row>
    <row r="80" spans="1:20" x14ac:dyDescent="0.25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>
        <v>23</v>
      </c>
      <c r="J80" s="4">
        <v>17182.990000000002</v>
      </c>
      <c r="K80" s="6">
        <v>18.559999999999999</v>
      </c>
      <c r="L80" s="4">
        <v>321858.02</v>
      </c>
      <c r="M80" s="4" t="str" cm="1">
        <f t="array" ref="M80">IF(Excel_Advanced_Sales_Dataset_2000__3[[#This Row],[Total Sales]]&gt;50000,{"Yes"},{"No"})</f>
        <v>Yes</v>
      </c>
      <c r="N80" s="5">
        <v>46328</v>
      </c>
      <c r="O80" s="1" t="s">
        <v>113</v>
      </c>
      <c r="P80" t="s">
        <v>35</v>
      </c>
      <c r="Q80" t="str">
        <f>IF(Excel_Advanced_Sales_Dataset_2000__3[[#This Row],[Delivery Status]]="Pending","Follow Up","Ok")</f>
        <v>Ok</v>
      </c>
      <c r="R80" s="1" t="s">
        <v>36</v>
      </c>
      <c r="S80">
        <f>Excel_Advanced_Sales_Dataset_2000__3[[#This Row],[Quantity]]*Excel_Advanced_Sales_Dataset_2000__3[[#This Row],[Unit Price]]*Excel_Advanced_Sales_Dataset_2000__3[[#This Row],[Discount %]]/100</f>
        <v>73350.747711999997</v>
      </c>
      <c r="T80" s="4">
        <f>Excel_Advanced_Sales_Dataset_2000__3[[#This Row],[Quantity]]*Excel_Advanced_Sales_Dataset_2000__3[[#This Row],[Unit Price]]-Excel_Advanced_Sales_Dataset_2000__3[[#This Row],[Discount Amount]]</f>
        <v>321858.02228800004</v>
      </c>
    </row>
    <row r="81" spans="1:20" x14ac:dyDescent="0.25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>
        <v>19</v>
      </c>
      <c r="J81" s="4">
        <v>20886.78</v>
      </c>
      <c r="K81" s="6">
        <v>1.67</v>
      </c>
      <c r="L81" s="4">
        <v>390221.44</v>
      </c>
      <c r="M81" s="4" t="str" cm="1">
        <f t="array" ref="M81">IF(Excel_Advanced_Sales_Dataset_2000__3[[#This Row],[Total Sales]]&gt;50000,{"Yes"},{"No"})</f>
        <v>Yes</v>
      </c>
      <c r="N81" s="5">
        <v>46217</v>
      </c>
      <c r="O81" s="1" t="s">
        <v>24</v>
      </c>
      <c r="P81" t="s">
        <v>35</v>
      </c>
      <c r="Q81" t="str">
        <f>IF(Excel_Advanced_Sales_Dataset_2000__3[[#This Row],[Delivery Status]]="Pending","Follow Up","Ok")</f>
        <v>Ok</v>
      </c>
      <c r="R81" s="1" t="s">
        <v>53</v>
      </c>
      <c r="S81">
        <f>Excel_Advanced_Sales_Dataset_2000__3[[#This Row],[Quantity]]*Excel_Advanced_Sales_Dataset_2000__3[[#This Row],[Unit Price]]*Excel_Advanced_Sales_Dataset_2000__3[[#This Row],[Discount %]]/100</f>
        <v>6627.3752939999986</v>
      </c>
      <c r="T81" s="4">
        <f>Excel_Advanced_Sales_Dataset_2000__3[[#This Row],[Quantity]]*Excel_Advanced_Sales_Dataset_2000__3[[#This Row],[Unit Price]]-Excel_Advanced_Sales_Dataset_2000__3[[#This Row],[Discount Amount]]</f>
        <v>390221.44470599992</v>
      </c>
    </row>
    <row r="82" spans="1:20" x14ac:dyDescent="0.25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>
        <v>4</v>
      </c>
      <c r="J82" s="4">
        <v>39025.21</v>
      </c>
      <c r="K82" s="6">
        <v>7.04</v>
      </c>
      <c r="L82" s="4">
        <v>145111.34</v>
      </c>
      <c r="M82" s="4" t="str" cm="1">
        <f t="array" ref="M82">IF(Excel_Advanced_Sales_Dataset_2000__3[[#This Row],[Total Sales]]&gt;50000,{"Yes"},{"No"})</f>
        <v>Yes</v>
      </c>
      <c r="N82" s="5">
        <v>46264</v>
      </c>
      <c r="O82" s="1" t="s">
        <v>58</v>
      </c>
      <c r="P82" t="s">
        <v>35</v>
      </c>
      <c r="Q82" t="str">
        <f>IF(Excel_Advanced_Sales_Dataset_2000__3[[#This Row],[Delivery Status]]="Pending","Follow Up","Ok")</f>
        <v>Ok</v>
      </c>
      <c r="R82" s="1" t="s">
        <v>26</v>
      </c>
      <c r="S82">
        <f>Excel_Advanced_Sales_Dataset_2000__3[[#This Row],[Quantity]]*Excel_Advanced_Sales_Dataset_2000__3[[#This Row],[Unit Price]]*Excel_Advanced_Sales_Dataset_2000__3[[#This Row],[Discount %]]/100</f>
        <v>10989.499136</v>
      </c>
      <c r="T82" s="4">
        <f>Excel_Advanced_Sales_Dataset_2000__3[[#This Row],[Quantity]]*Excel_Advanced_Sales_Dataset_2000__3[[#This Row],[Unit Price]]-Excel_Advanced_Sales_Dataset_2000__3[[#This Row],[Discount Amount]]</f>
        <v>145111.340864</v>
      </c>
    </row>
    <row r="83" spans="1:20" x14ac:dyDescent="0.25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>
        <v>50</v>
      </c>
      <c r="J83" s="4">
        <v>1348.21</v>
      </c>
      <c r="K83" s="6">
        <v>3.02</v>
      </c>
      <c r="L83" s="4">
        <v>65374.7</v>
      </c>
      <c r="M83" s="4" t="str" cm="1">
        <f t="array" ref="M83">IF(Excel_Advanced_Sales_Dataset_2000__3[[#This Row],[Total Sales]]&gt;50000,{"Yes"},{"No"})</f>
        <v>Yes</v>
      </c>
      <c r="N83" s="5">
        <v>46325</v>
      </c>
      <c r="O83" s="1" t="s">
        <v>45</v>
      </c>
      <c r="P83" t="s">
        <v>59</v>
      </c>
      <c r="Q83" t="str">
        <f>IF(Excel_Advanced_Sales_Dataset_2000__3[[#This Row],[Delivery Status]]="Pending","Follow Up","Ok")</f>
        <v>Ok</v>
      </c>
      <c r="R83" s="1" t="s">
        <v>36</v>
      </c>
      <c r="S83">
        <f>Excel_Advanced_Sales_Dataset_2000__3[[#This Row],[Quantity]]*Excel_Advanced_Sales_Dataset_2000__3[[#This Row],[Unit Price]]*Excel_Advanced_Sales_Dataset_2000__3[[#This Row],[Discount %]]/100</f>
        <v>2035.7971</v>
      </c>
      <c r="T83" s="4">
        <f>Excel_Advanced_Sales_Dataset_2000__3[[#This Row],[Quantity]]*Excel_Advanced_Sales_Dataset_2000__3[[#This Row],[Unit Price]]-Excel_Advanced_Sales_Dataset_2000__3[[#This Row],[Discount Amount]]</f>
        <v>65374.702899999997</v>
      </c>
    </row>
    <row r="84" spans="1:20" x14ac:dyDescent="0.25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>
        <v>40</v>
      </c>
      <c r="J84" s="4">
        <v>26839.200000000001</v>
      </c>
      <c r="K84" s="6">
        <v>0.75</v>
      </c>
      <c r="L84" s="4">
        <v>1065516.24</v>
      </c>
      <c r="M84" s="4" t="str" cm="1">
        <f t="array" ref="M84">IF(Excel_Advanced_Sales_Dataset_2000__3[[#This Row],[Total Sales]]&gt;50000,{"Yes"},{"No"})</f>
        <v>Yes</v>
      </c>
      <c r="N84" s="5">
        <v>46163</v>
      </c>
      <c r="O84" s="1" t="s">
        <v>68</v>
      </c>
      <c r="P84" t="s">
        <v>35</v>
      </c>
      <c r="Q84" t="str">
        <f>IF(Excel_Advanced_Sales_Dataset_2000__3[[#This Row],[Delivery Status]]="Pending","Follow Up","Ok")</f>
        <v>Ok</v>
      </c>
      <c r="R84" s="1" t="s">
        <v>26</v>
      </c>
      <c r="S84">
        <f>Excel_Advanced_Sales_Dataset_2000__3[[#This Row],[Quantity]]*Excel_Advanced_Sales_Dataset_2000__3[[#This Row],[Unit Price]]*Excel_Advanced_Sales_Dataset_2000__3[[#This Row],[Discount %]]/100</f>
        <v>8051.76</v>
      </c>
      <c r="T84" s="4">
        <f>Excel_Advanced_Sales_Dataset_2000__3[[#This Row],[Quantity]]*Excel_Advanced_Sales_Dataset_2000__3[[#This Row],[Unit Price]]-Excel_Advanced_Sales_Dataset_2000__3[[#This Row],[Discount Amount]]</f>
        <v>1065516.24</v>
      </c>
    </row>
    <row r="85" spans="1:20" x14ac:dyDescent="0.25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>
        <v>46</v>
      </c>
      <c r="J85" s="4">
        <v>36507.29</v>
      </c>
      <c r="K85" s="6">
        <v>2.66</v>
      </c>
      <c r="L85" s="4">
        <v>1634665.02</v>
      </c>
      <c r="M85" s="4" t="str" cm="1">
        <f t="array" ref="M85">IF(Excel_Advanced_Sales_Dataset_2000__3[[#This Row],[Total Sales]]&gt;50000,{"Yes"},{"No"})</f>
        <v>Yes</v>
      </c>
      <c r="N85" s="5">
        <v>46383</v>
      </c>
      <c r="O85" s="1" t="s">
        <v>68</v>
      </c>
      <c r="P85" t="s">
        <v>35</v>
      </c>
      <c r="Q85" t="str">
        <f>IF(Excel_Advanced_Sales_Dataset_2000__3[[#This Row],[Delivery Status]]="Pending","Follow Up","Ok")</f>
        <v>Ok</v>
      </c>
      <c r="R85" s="1" t="s">
        <v>26</v>
      </c>
      <c r="S85">
        <f>Excel_Advanced_Sales_Dataset_2000__3[[#This Row],[Quantity]]*Excel_Advanced_Sales_Dataset_2000__3[[#This Row],[Unit Price]]*Excel_Advanced_Sales_Dataset_2000__3[[#This Row],[Discount %]]/100</f>
        <v>44670.320044000007</v>
      </c>
      <c r="T85" s="4">
        <f>Excel_Advanced_Sales_Dataset_2000__3[[#This Row],[Quantity]]*Excel_Advanced_Sales_Dataset_2000__3[[#This Row],[Unit Price]]-Excel_Advanced_Sales_Dataset_2000__3[[#This Row],[Discount Amount]]</f>
        <v>1634665.0199560001</v>
      </c>
    </row>
    <row r="86" spans="1:20" x14ac:dyDescent="0.25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>
        <v>9</v>
      </c>
      <c r="J86" s="4">
        <v>24087.439999999999</v>
      </c>
      <c r="K86" s="6">
        <v>2.52</v>
      </c>
      <c r="L86" s="4">
        <v>211323.93</v>
      </c>
      <c r="M86" s="4" t="str" cm="1">
        <f t="array" ref="M86">IF(Excel_Advanced_Sales_Dataset_2000__3[[#This Row],[Total Sales]]&gt;50000,{"Yes"},{"No"})</f>
        <v>Yes</v>
      </c>
      <c r="N86" s="5">
        <v>46232</v>
      </c>
      <c r="O86" s="1" t="s">
        <v>24</v>
      </c>
      <c r="P86" t="s">
        <v>35</v>
      </c>
      <c r="Q86" t="str">
        <f>IF(Excel_Advanced_Sales_Dataset_2000__3[[#This Row],[Delivery Status]]="Pending","Follow Up","Ok")</f>
        <v>Ok</v>
      </c>
      <c r="R86" s="1" t="s">
        <v>26</v>
      </c>
      <c r="S86">
        <f>Excel_Advanced_Sales_Dataset_2000__3[[#This Row],[Quantity]]*Excel_Advanced_Sales_Dataset_2000__3[[#This Row],[Unit Price]]*Excel_Advanced_Sales_Dataset_2000__3[[#This Row],[Discount %]]/100</f>
        <v>5463.0313919999999</v>
      </c>
      <c r="T86" s="4">
        <f>Excel_Advanced_Sales_Dataset_2000__3[[#This Row],[Quantity]]*Excel_Advanced_Sales_Dataset_2000__3[[#This Row],[Unit Price]]-Excel_Advanced_Sales_Dataset_2000__3[[#This Row],[Discount Amount]]</f>
        <v>211323.92860799999</v>
      </c>
    </row>
    <row r="87" spans="1:20" x14ac:dyDescent="0.25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>
        <v>18</v>
      </c>
      <c r="J87" s="4">
        <v>33977.120000000003</v>
      </c>
      <c r="K87" s="6">
        <v>10.66</v>
      </c>
      <c r="L87" s="4">
        <v>546392.86</v>
      </c>
      <c r="M87" s="4" t="str" cm="1">
        <f t="array" ref="M87">IF(Excel_Advanced_Sales_Dataset_2000__3[[#This Row],[Total Sales]]&gt;50000,{"Yes"},{"No"})</f>
        <v>Yes</v>
      </c>
      <c r="N87" s="5">
        <v>46235</v>
      </c>
      <c r="O87" s="1" t="s">
        <v>24</v>
      </c>
      <c r="P87" t="s">
        <v>35</v>
      </c>
      <c r="Q87" t="str">
        <f>IF(Excel_Advanced_Sales_Dataset_2000__3[[#This Row],[Delivery Status]]="Pending","Follow Up","Ok")</f>
        <v>Ok</v>
      </c>
      <c r="R87" s="1" t="s">
        <v>36</v>
      </c>
      <c r="S87">
        <f>Excel_Advanced_Sales_Dataset_2000__3[[#This Row],[Quantity]]*Excel_Advanced_Sales_Dataset_2000__3[[#This Row],[Unit Price]]*Excel_Advanced_Sales_Dataset_2000__3[[#This Row],[Discount %]]/100</f>
        <v>65195.297855999997</v>
      </c>
      <c r="T87" s="4">
        <f>Excel_Advanced_Sales_Dataset_2000__3[[#This Row],[Quantity]]*Excel_Advanced_Sales_Dataset_2000__3[[#This Row],[Unit Price]]-Excel_Advanced_Sales_Dataset_2000__3[[#This Row],[Discount Amount]]</f>
        <v>546392.86214400001</v>
      </c>
    </row>
    <row r="88" spans="1:20" x14ac:dyDescent="0.25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>
        <v>17</v>
      </c>
      <c r="J88" s="4">
        <v>16957.32</v>
      </c>
      <c r="K88" s="6">
        <v>9.85</v>
      </c>
      <c r="L88" s="4">
        <v>259879.41</v>
      </c>
      <c r="M88" s="4" t="str" cm="1">
        <f t="array" ref="M88">IF(Excel_Advanced_Sales_Dataset_2000__3[[#This Row],[Total Sales]]&gt;50000,{"Yes"},{"No"})</f>
        <v>Yes</v>
      </c>
      <c r="N88" s="5">
        <v>46263</v>
      </c>
      <c r="O88" s="1" t="s">
        <v>58</v>
      </c>
      <c r="P88" t="s">
        <v>35</v>
      </c>
      <c r="Q88" t="str">
        <f>IF(Excel_Advanced_Sales_Dataset_2000__3[[#This Row],[Delivery Status]]="Pending","Follow Up","Ok")</f>
        <v>Ok</v>
      </c>
      <c r="R88" s="1" t="s">
        <v>53</v>
      </c>
      <c r="S88">
        <f>Excel_Advanced_Sales_Dataset_2000__3[[#This Row],[Quantity]]*Excel_Advanced_Sales_Dataset_2000__3[[#This Row],[Unit Price]]*Excel_Advanced_Sales_Dataset_2000__3[[#This Row],[Discount %]]/100</f>
        <v>28395.032339999998</v>
      </c>
      <c r="T88" s="4">
        <f>Excel_Advanced_Sales_Dataset_2000__3[[#This Row],[Quantity]]*Excel_Advanced_Sales_Dataset_2000__3[[#This Row],[Unit Price]]-Excel_Advanced_Sales_Dataset_2000__3[[#This Row],[Discount Amount]]</f>
        <v>259879.40766</v>
      </c>
    </row>
    <row r="89" spans="1:20" x14ac:dyDescent="0.25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>
        <v>23</v>
      </c>
      <c r="J89" s="4">
        <v>29748.34</v>
      </c>
      <c r="K89" s="6">
        <v>16.61</v>
      </c>
      <c r="L89" s="4">
        <v>570564.24</v>
      </c>
      <c r="M89" s="4" t="str" cm="1">
        <f t="array" ref="M89">IF(Excel_Advanced_Sales_Dataset_2000__3[[#This Row],[Total Sales]]&gt;50000,{"Yes"},{"No"})</f>
        <v>Yes</v>
      </c>
      <c r="N89" s="5">
        <v>46181</v>
      </c>
      <c r="O89" s="1" t="s">
        <v>113</v>
      </c>
      <c r="P89" t="s">
        <v>25</v>
      </c>
      <c r="Q89" t="str">
        <f>IF(Excel_Advanced_Sales_Dataset_2000__3[[#This Row],[Delivery Status]]="Pending","Follow Up","Ok")</f>
        <v>Follow Up</v>
      </c>
      <c r="R89" s="1" t="s">
        <v>36</v>
      </c>
      <c r="S89">
        <f>Excel_Advanced_Sales_Dataset_2000__3[[#This Row],[Quantity]]*Excel_Advanced_Sales_Dataset_2000__3[[#This Row],[Unit Price]]*Excel_Advanced_Sales_Dataset_2000__3[[#This Row],[Discount %]]/100</f>
        <v>113647.58330199998</v>
      </c>
      <c r="T89" s="4">
        <f>Excel_Advanced_Sales_Dataset_2000__3[[#This Row],[Quantity]]*Excel_Advanced_Sales_Dataset_2000__3[[#This Row],[Unit Price]]-Excel_Advanced_Sales_Dataset_2000__3[[#This Row],[Discount Amount]]</f>
        <v>570564.23669799999</v>
      </c>
    </row>
    <row r="90" spans="1:20" x14ac:dyDescent="0.25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>
        <v>19</v>
      </c>
      <c r="J90" s="4">
        <v>24975.51</v>
      </c>
      <c r="K90" s="6">
        <v>12.2</v>
      </c>
      <c r="L90" s="4">
        <v>416641.46</v>
      </c>
      <c r="M90" s="4" t="str" cm="1">
        <f t="array" ref="M90">IF(Excel_Advanced_Sales_Dataset_2000__3[[#This Row],[Total Sales]]&gt;50000,{"Yes"},{"No"})</f>
        <v>Yes</v>
      </c>
      <c r="N90" s="5">
        <v>46345</v>
      </c>
      <c r="O90" s="1" t="s">
        <v>113</v>
      </c>
      <c r="P90" t="s">
        <v>35</v>
      </c>
      <c r="Q90" t="str">
        <f>IF(Excel_Advanced_Sales_Dataset_2000__3[[#This Row],[Delivery Status]]="Pending","Follow Up","Ok")</f>
        <v>Ok</v>
      </c>
      <c r="R90" s="1" t="s">
        <v>53</v>
      </c>
      <c r="S90">
        <f>Excel_Advanced_Sales_Dataset_2000__3[[#This Row],[Quantity]]*Excel_Advanced_Sales_Dataset_2000__3[[#This Row],[Unit Price]]*Excel_Advanced_Sales_Dataset_2000__3[[#This Row],[Discount %]]/100</f>
        <v>57893.232179999992</v>
      </c>
      <c r="T90" s="4">
        <f>Excel_Advanced_Sales_Dataset_2000__3[[#This Row],[Quantity]]*Excel_Advanced_Sales_Dataset_2000__3[[#This Row],[Unit Price]]-Excel_Advanced_Sales_Dataset_2000__3[[#This Row],[Discount Amount]]</f>
        <v>416641.45781999995</v>
      </c>
    </row>
    <row r="91" spans="1:20" x14ac:dyDescent="0.25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>
        <v>34</v>
      </c>
      <c r="J91" s="4">
        <v>49014.67</v>
      </c>
      <c r="K91" s="6">
        <v>13.21</v>
      </c>
      <c r="L91" s="4">
        <v>1446354.29</v>
      </c>
      <c r="M91" s="4" t="str" cm="1">
        <f t="array" ref="M91">IF(Excel_Advanced_Sales_Dataset_2000__3[[#This Row],[Total Sales]]&gt;50000,{"Yes"},{"No"})</f>
        <v>Yes</v>
      </c>
      <c r="N91" s="5">
        <v>46267</v>
      </c>
      <c r="O91" s="1" t="s">
        <v>45</v>
      </c>
      <c r="P91" t="s">
        <v>35</v>
      </c>
      <c r="Q91" t="str">
        <f>IF(Excel_Advanced_Sales_Dataset_2000__3[[#This Row],[Delivery Status]]="Pending","Follow Up","Ok")</f>
        <v>Ok</v>
      </c>
      <c r="R91" s="1" t="s">
        <v>26</v>
      </c>
      <c r="S91">
        <f>Excel_Advanced_Sales_Dataset_2000__3[[#This Row],[Quantity]]*Excel_Advanced_Sales_Dataset_2000__3[[#This Row],[Unit Price]]*Excel_Advanced_Sales_Dataset_2000__3[[#This Row],[Discount %]]/100</f>
        <v>220144.48883799999</v>
      </c>
      <c r="T91" s="4">
        <f>Excel_Advanced_Sales_Dataset_2000__3[[#This Row],[Quantity]]*Excel_Advanced_Sales_Dataset_2000__3[[#This Row],[Unit Price]]-Excel_Advanced_Sales_Dataset_2000__3[[#This Row],[Discount Amount]]</f>
        <v>1446354.291162</v>
      </c>
    </row>
    <row r="92" spans="1:20" x14ac:dyDescent="0.25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>
        <v>39</v>
      </c>
      <c r="J92" s="4">
        <v>19611.849999999999</v>
      </c>
      <c r="K92" s="6">
        <v>11.59</v>
      </c>
      <c r="L92" s="4">
        <v>676214.63</v>
      </c>
      <c r="M92" s="4" t="str" cm="1">
        <f t="array" ref="M92">IF(Excel_Advanced_Sales_Dataset_2000__3[[#This Row],[Total Sales]]&gt;50000,{"Yes"},{"No"})</f>
        <v>Yes</v>
      </c>
      <c r="N92" s="5">
        <v>46281</v>
      </c>
      <c r="O92" s="1" t="s">
        <v>68</v>
      </c>
      <c r="P92" t="s">
        <v>35</v>
      </c>
      <c r="Q92" t="str">
        <f>IF(Excel_Advanced_Sales_Dataset_2000__3[[#This Row],[Delivery Status]]="Pending","Follow Up","Ok")</f>
        <v>Ok</v>
      </c>
      <c r="R92" s="1" t="s">
        <v>36</v>
      </c>
      <c r="S92">
        <f>Excel_Advanced_Sales_Dataset_2000__3[[#This Row],[Quantity]]*Excel_Advanced_Sales_Dataset_2000__3[[#This Row],[Unit Price]]*Excel_Advanced_Sales_Dataset_2000__3[[#This Row],[Discount %]]/100</f>
        <v>88647.523184999998</v>
      </c>
      <c r="T92" s="4">
        <f>Excel_Advanced_Sales_Dataset_2000__3[[#This Row],[Quantity]]*Excel_Advanced_Sales_Dataset_2000__3[[#This Row],[Unit Price]]-Excel_Advanced_Sales_Dataset_2000__3[[#This Row],[Discount Amount]]</f>
        <v>676214.62681499985</v>
      </c>
    </row>
    <row r="93" spans="1:20" x14ac:dyDescent="0.25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>
        <v>3</v>
      </c>
      <c r="J93" s="4">
        <v>47771.87</v>
      </c>
      <c r="K93" s="6">
        <v>10.67</v>
      </c>
      <c r="L93" s="4">
        <v>128023.83</v>
      </c>
      <c r="M93" s="4" t="str" cm="1">
        <f t="array" ref="M93">IF(Excel_Advanced_Sales_Dataset_2000__3[[#This Row],[Total Sales]]&gt;50000,{"Yes"},{"No"})</f>
        <v>Yes</v>
      </c>
      <c r="N93" s="5">
        <v>46219</v>
      </c>
      <c r="O93" s="1" t="s">
        <v>24</v>
      </c>
      <c r="P93" t="s">
        <v>35</v>
      </c>
      <c r="Q93" t="str">
        <f>IF(Excel_Advanced_Sales_Dataset_2000__3[[#This Row],[Delivery Status]]="Pending","Follow Up","Ok")</f>
        <v>Ok</v>
      </c>
      <c r="R93" s="1" t="s">
        <v>53</v>
      </c>
      <c r="S93">
        <f>Excel_Advanced_Sales_Dataset_2000__3[[#This Row],[Quantity]]*Excel_Advanced_Sales_Dataset_2000__3[[#This Row],[Unit Price]]*Excel_Advanced_Sales_Dataset_2000__3[[#This Row],[Discount %]]/100</f>
        <v>15291.775587000002</v>
      </c>
      <c r="T93" s="4">
        <f>Excel_Advanced_Sales_Dataset_2000__3[[#This Row],[Quantity]]*Excel_Advanced_Sales_Dataset_2000__3[[#This Row],[Unit Price]]-Excel_Advanced_Sales_Dataset_2000__3[[#This Row],[Discount Amount]]</f>
        <v>128023.83441300002</v>
      </c>
    </row>
    <row r="94" spans="1:20" x14ac:dyDescent="0.25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>
        <v>28</v>
      </c>
      <c r="J94" s="4">
        <v>47641.22</v>
      </c>
      <c r="K94" s="6">
        <v>8.73</v>
      </c>
      <c r="L94" s="4">
        <v>1217499.96</v>
      </c>
      <c r="M94" s="4" t="str" cm="1">
        <f t="array" ref="M94">IF(Excel_Advanced_Sales_Dataset_2000__3[[#This Row],[Total Sales]]&gt;50000,{"Yes"},{"No"})</f>
        <v>Yes</v>
      </c>
      <c r="N94" s="5">
        <v>46104</v>
      </c>
      <c r="O94" s="1" t="s">
        <v>58</v>
      </c>
      <c r="P94" t="s">
        <v>35</v>
      </c>
      <c r="Q94" t="str">
        <f>IF(Excel_Advanced_Sales_Dataset_2000__3[[#This Row],[Delivery Status]]="Pending","Follow Up","Ok")</f>
        <v>Ok</v>
      </c>
      <c r="R94" s="1" t="s">
        <v>53</v>
      </c>
      <c r="S94">
        <f>Excel_Advanced_Sales_Dataset_2000__3[[#This Row],[Quantity]]*Excel_Advanced_Sales_Dataset_2000__3[[#This Row],[Unit Price]]*Excel_Advanced_Sales_Dataset_2000__3[[#This Row],[Discount %]]/100</f>
        <v>116454.19816800002</v>
      </c>
      <c r="T94" s="4">
        <f>Excel_Advanced_Sales_Dataset_2000__3[[#This Row],[Quantity]]*Excel_Advanced_Sales_Dataset_2000__3[[#This Row],[Unit Price]]-Excel_Advanced_Sales_Dataset_2000__3[[#This Row],[Discount Amount]]</f>
        <v>1217499.9618320002</v>
      </c>
    </row>
    <row r="95" spans="1:20" x14ac:dyDescent="0.25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>
        <v>18</v>
      </c>
      <c r="J95" s="4">
        <v>4248.4799999999996</v>
      </c>
      <c r="K95" s="6">
        <v>10.77</v>
      </c>
      <c r="L95" s="4">
        <v>68236.539999999994</v>
      </c>
      <c r="M95" s="4" t="str" cm="1">
        <f t="array" ref="M95">IF(Excel_Advanced_Sales_Dataset_2000__3[[#This Row],[Total Sales]]&gt;50000,{"Yes"},{"No"})</f>
        <v>Yes</v>
      </c>
      <c r="N95" s="5">
        <v>46080</v>
      </c>
      <c r="O95" s="1" t="s">
        <v>24</v>
      </c>
      <c r="P95" t="s">
        <v>35</v>
      </c>
      <c r="Q95" t="str">
        <f>IF(Excel_Advanced_Sales_Dataset_2000__3[[#This Row],[Delivery Status]]="Pending","Follow Up","Ok")</f>
        <v>Ok</v>
      </c>
      <c r="R95" s="1" t="s">
        <v>26</v>
      </c>
      <c r="S95">
        <f>Excel_Advanced_Sales_Dataset_2000__3[[#This Row],[Quantity]]*Excel_Advanced_Sales_Dataset_2000__3[[#This Row],[Unit Price]]*Excel_Advanced_Sales_Dataset_2000__3[[#This Row],[Discount %]]/100</f>
        <v>8236.1033279999992</v>
      </c>
      <c r="T95" s="4">
        <f>Excel_Advanced_Sales_Dataset_2000__3[[#This Row],[Quantity]]*Excel_Advanced_Sales_Dataset_2000__3[[#This Row],[Unit Price]]-Excel_Advanced_Sales_Dataset_2000__3[[#This Row],[Discount Amount]]</f>
        <v>68236.536671999987</v>
      </c>
    </row>
    <row r="96" spans="1:20" x14ac:dyDescent="0.25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>
        <v>6</v>
      </c>
      <c r="J96" s="4">
        <v>44059.21</v>
      </c>
      <c r="K96" s="6">
        <v>6.63</v>
      </c>
      <c r="L96" s="4">
        <v>246828.51</v>
      </c>
      <c r="M96" s="4" t="str" cm="1">
        <f t="array" ref="M96">IF(Excel_Advanced_Sales_Dataset_2000__3[[#This Row],[Total Sales]]&gt;50000,{"Yes"},{"No"})</f>
        <v>Yes</v>
      </c>
      <c r="N96" s="5">
        <v>46379</v>
      </c>
      <c r="O96" s="1" t="s">
        <v>68</v>
      </c>
      <c r="P96" t="s">
        <v>25</v>
      </c>
      <c r="Q96" t="str">
        <f>IF(Excel_Advanced_Sales_Dataset_2000__3[[#This Row],[Delivery Status]]="Pending","Follow Up","Ok")</f>
        <v>Follow Up</v>
      </c>
      <c r="R96" s="1" t="s">
        <v>36</v>
      </c>
      <c r="S96">
        <f>Excel_Advanced_Sales_Dataset_2000__3[[#This Row],[Quantity]]*Excel_Advanced_Sales_Dataset_2000__3[[#This Row],[Unit Price]]*Excel_Advanced_Sales_Dataset_2000__3[[#This Row],[Discount %]]/100</f>
        <v>17526.753737999999</v>
      </c>
      <c r="T96" s="4">
        <f>Excel_Advanced_Sales_Dataset_2000__3[[#This Row],[Quantity]]*Excel_Advanced_Sales_Dataset_2000__3[[#This Row],[Unit Price]]-Excel_Advanced_Sales_Dataset_2000__3[[#This Row],[Discount Amount]]</f>
        <v>246828.50626200001</v>
      </c>
    </row>
    <row r="97" spans="1:20" x14ac:dyDescent="0.25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>
        <v>34</v>
      </c>
      <c r="J97" s="4">
        <v>27398.400000000001</v>
      </c>
      <c r="K97" s="6">
        <v>14.16</v>
      </c>
      <c r="L97" s="4">
        <v>799638.74</v>
      </c>
      <c r="M97" s="4" t="str" cm="1">
        <f t="array" ref="M97">IF(Excel_Advanced_Sales_Dataset_2000__3[[#This Row],[Total Sales]]&gt;50000,{"Yes"},{"No"})</f>
        <v>Yes</v>
      </c>
      <c r="N97" s="5">
        <v>46384</v>
      </c>
      <c r="O97" s="1" t="s">
        <v>68</v>
      </c>
      <c r="P97" t="s">
        <v>59</v>
      </c>
      <c r="Q97" t="str">
        <f>IF(Excel_Advanced_Sales_Dataset_2000__3[[#This Row],[Delivery Status]]="Pending","Follow Up","Ok")</f>
        <v>Ok</v>
      </c>
      <c r="R97" s="1" t="s">
        <v>26</v>
      </c>
      <c r="S97">
        <f>Excel_Advanced_Sales_Dataset_2000__3[[#This Row],[Quantity]]*Excel_Advanced_Sales_Dataset_2000__3[[#This Row],[Unit Price]]*Excel_Advanced_Sales_Dataset_2000__3[[#This Row],[Discount %]]/100</f>
        <v>131906.85696000003</v>
      </c>
      <c r="T97" s="4">
        <f>Excel_Advanced_Sales_Dataset_2000__3[[#This Row],[Quantity]]*Excel_Advanced_Sales_Dataset_2000__3[[#This Row],[Unit Price]]-Excel_Advanced_Sales_Dataset_2000__3[[#This Row],[Discount Amount]]</f>
        <v>799638.74304000009</v>
      </c>
    </row>
    <row r="98" spans="1:20" x14ac:dyDescent="0.25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>
        <v>47</v>
      </c>
      <c r="J98" s="4">
        <v>19832.740000000002</v>
      </c>
      <c r="K98" s="6">
        <v>15.09</v>
      </c>
      <c r="L98" s="4">
        <v>791479.04</v>
      </c>
      <c r="M98" s="4" t="str" cm="1">
        <f t="array" ref="M98">IF(Excel_Advanced_Sales_Dataset_2000__3[[#This Row],[Total Sales]]&gt;50000,{"Yes"},{"No"})</f>
        <v>Yes</v>
      </c>
      <c r="N98" s="5">
        <v>46186</v>
      </c>
      <c r="O98" s="1" t="s">
        <v>45</v>
      </c>
      <c r="P98" t="s">
        <v>35</v>
      </c>
      <c r="Q98" t="str">
        <f>IF(Excel_Advanced_Sales_Dataset_2000__3[[#This Row],[Delivery Status]]="Pending","Follow Up","Ok")</f>
        <v>Ok</v>
      </c>
      <c r="R98" s="1" t="s">
        <v>26</v>
      </c>
      <c r="S98">
        <f>Excel_Advanced_Sales_Dataset_2000__3[[#This Row],[Quantity]]*Excel_Advanced_Sales_Dataset_2000__3[[#This Row],[Unit Price]]*Excel_Advanced_Sales_Dataset_2000__3[[#This Row],[Discount %]]/100</f>
        <v>140659.74190200001</v>
      </c>
      <c r="T98" s="4">
        <f>Excel_Advanced_Sales_Dataset_2000__3[[#This Row],[Quantity]]*Excel_Advanced_Sales_Dataset_2000__3[[#This Row],[Unit Price]]-Excel_Advanced_Sales_Dataset_2000__3[[#This Row],[Discount Amount]]</f>
        <v>791479.03809799999</v>
      </c>
    </row>
    <row r="99" spans="1:20" x14ac:dyDescent="0.25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>
        <v>36</v>
      </c>
      <c r="J99" s="4">
        <v>33236.47</v>
      </c>
      <c r="K99" s="6">
        <v>11.04</v>
      </c>
      <c r="L99" s="4">
        <v>1064417.8899999999</v>
      </c>
      <c r="M99" s="4" t="str" cm="1">
        <f t="array" ref="M99">IF(Excel_Advanced_Sales_Dataset_2000__3[[#This Row],[Total Sales]]&gt;50000,{"Yes"},{"No"})</f>
        <v>Yes</v>
      </c>
      <c r="N99" s="5">
        <v>46311</v>
      </c>
      <c r="O99" s="1" t="s">
        <v>68</v>
      </c>
      <c r="P99" t="s">
        <v>35</v>
      </c>
      <c r="Q99" t="str">
        <f>IF(Excel_Advanced_Sales_Dataset_2000__3[[#This Row],[Delivery Status]]="Pending","Follow Up","Ok")</f>
        <v>Ok</v>
      </c>
      <c r="R99" s="1" t="s">
        <v>53</v>
      </c>
      <c r="S99">
        <f>Excel_Advanced_Sales_Dataset_2000__3[[#This Row],[Quantity]]*Excel_Advanced_Sales_Dataset_2000__3[[#This Row],[Unit Price]]*Excel_Advanced_Sales_Dataset_2000__3[[#This Row],[Discount %]]/100</f>
        <v>132095.02636799999</v>
      </c>
      <c r="T99" s="4">
        <f>Excel_Advanced_Sales_Dataset_2000__3[[#This Row],[Quantity]]*Excel_Advanced_Sales_Dataset_2000__3[[#This Row],[Unit Price]]-Excel_Advanced_Sales_Dataset_2000__3[[#This Row],[Discount Amount]]</f>
        <v>1064417.8936319998</v>
      </c>
    </row>
    <row r="100" spans="1:20" x14ac:dyDescent="0.25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>
        <v>3</v>
      </c>
      <c r="J100" s="4">
        <v>28517.52</v>
      </c>
      <c r="K100" s="6">
        <v>19.64</v>
      </c>
      <c r="L100" s="4">
        <v>68750.039999999994</v>
      </c>
      <c r="M100" s="4" t="str" cm="1">
        <f t="array" ref="M100">IF(Excel_Advanced_Sales_Dataset_2000__3[[#This Row],[Total Sales]]&gt;50000,{"Yes"},{"No"})</f>
        <v>Yes</v>
      </c>
      <c r="N100" s="5">
        <v>46082</v>
      </c>
      <c r="O100" s="1" t="s">
        <v>45</v>
      </c>
      <c r="P100" t="s">
        <v>35</v>
      </c>
      <c r="Q100" t="str">
        <f>IF(Excel_Advanced_Sales_Dataset_2000__3[[#This Row],[Delivery Status]]="Pending","Follow Up","Ok")</f>
        <v>Ok</v>
      </c>
      <c r="R100" s="1" t="s">
        <v>53</v>
      </c>
      <c r="S100">
        <f>Excel_Advanced_Sales_Dataset_2000__3[[#This Row],[Quantity]]*Excel_Advanced_Sales_Dataset_2000__3[[#This Row],[Unit Price]]*Excel_Advanced_Sales_Dataset_2000__3[[#This Row],[Discount %]]/100</f>
        <v>16802.522784000001</v>
      </c>
      <c r="T100" s="4">
        <f>Excel_Advanced_Sales_Dataset_2000__3[[#This Row],[Quantity]]*Excel_Advanced_Sales_Dataset_2000__3[[#This Row],[Unit Price]]-Excel_Advanced_Sales_Dataset_2000__3[[#This Row],[Discount Amount]]</f>
        <v>68750.037215999997</v>
      </c>
    </row>
    <row r="101" spans="1:20" x14ac:dyDescent="0.25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>
        <v>4</v>
      </c>
      <c r="J101" s="4">
        <v>9235.6299999999992</v>
      </c>
      <c r="K101" s="6">
        <v>17.2</v>
      </c>
      <c r="L101" s="4">
        <v>30588.41</v>
      </c>
      <c r="M101" s="4" t="str" cm="1">
        <f t="array" ref="M101">IF(Excel_Advanced_Sales_Dataset_2000__3[[#This Row],[Total Sales]]&gt;50000,{"Yes"},{"No"})</f>
        <v>No</v>
      </c>
      <c r="N101" s="5">
        <v>46049</v>
      </c>
      <c r="O101" s="1" t="s">
        <v>58</v>
      </c>
      <c r="P101" t="s">
        <v>35</v>
      </c>
      <c r="Q101" t="str">
        <f>IF(Excel_Advanced_Sales_Dataset_2000__3[[#This Row],[Delivery Status]]="Pending","Follow Up","Ok")</f>
        <v>Ok</v>
      </c>
      <c r="R101" s="1" t="s">
        <v>36</v>
      </c>
      <c r="S101">
        <f>Excel_Advanced_Sales_Dataset_2000__3[[#This Row],[Quantity]]*Excel_Advanced_Sales_Dataset_2000__3[[#This Row],[Unit Price]]*Excel_Advanced_Sales_Dataset_2000__3[[#This Row],[Discount %]]/100</f>
        <v>6354.1134399999992</v>
      </c>
      <c r="T101" s="4">
        <f>Excel_Advanced_Sales_Dataset_2000__3[[#This Row],[Quantity]]*Excel_Advanced_Sales_Dataset_2000__3[[#This Row],[Unit Price]]-Excel_Advanced_Sales_Dataset_2000__3[[#This Row],[Discount Amount]]</f>
        <v>30588.406559999996</v>
      </c>
    </row>
    <row r="102" spans="1:20" x14ac:dyDescent="0.25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>
        <v>16</v>
      </c>
      <c r="J102" s="4">
        <v>28581.58</v>
      </c>
      <c r="K102" s="6">
        <v>4.58</v>
      </c>
      <c r="L102" s="4">
        <v>436360.7</v>
      </c>
      <c r="M102" s="4" t="str" cm="1">
        <f t="array" ref="M102">IF(Excel_Advanced_Sales_Dataset_2000__3[[#This Row],[Total Sales]]&gt;50000,{"Yes"},{"No"})</f>
        <v>Yes</v>
      </c>
      <c r="N102" s="5">
        <v>46353</v>
      </c>
      <c r="O102" s="1" t="s">
        <v>24</v>
      </c>
      <c r="P102" t="s">
        <v>35</v>
      </c>
      <c r="Q102" t="str">
        <f>IF(Excel_Advanced_Sales_Dataset_2000__3[[#This Row],[Delivery Status]]="Pending","Follow Up","Ok")</f>
        <v>Ok</v>
      </c>
      <c r="R102" s="1" t="s">
        <v>36</v>
      </c>
      <c r="S102">
        <f>Excel_Advanced_Sales_Dataset_2000__3[[#This Row],[Quantity]]*Excel_Advanced_Sales_Dataset_2000__3[[#This Row],[Unit Price]]*Excel_Advanced_Sales_Dataset_2000__3[[#This Row],[Discount %]]/100</f>
        <v>20944.581824000001</v>
      </c>
      <c r="T102" s="4">
        <f>Excel_Advanced_Sales_Dataset_2000__3[[#This Row],[Quantity]]*Excel_Advanced_Sales_Dataset_2000__3[[#This Row],[Unit Price]]-Excel_Advanced_Sales_Dataset_2000__3[[#This Row],[Discount Amount]]</f>
        <v>436360.69817600003</v>
      </c>
    </row>
    <row r="103" spans="1:20" x14ac:dyDescent="0.25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>
        <v>35</v>
      </c>
      <c r="J103" s="4">
        <v>9021.84</v>
      </c>
      <c r="K103" s="6">
        <v>18.79</v>
      </c>
      <c r="L103" s="4">
        <v>256432.27</v>
      </c>
      <c r="M103" s="4" t="str" cm="1">
        <f t="array" ref="M103">IF(Excel_Advanced_Sales_Dataset_2000__3[[#This Row],[Total Sales]]&gt;50000,{"Yes"},{"No"})</f>
        <v>Yes</v>
      </c>
      <c r="N103" s="5">
        <v>46155</v>
      </c>
      <c r="O103" s="1" t="s">
        <v>24</v>
      </c>
      <c r="P103" t="s">
        <v>35</v>
      </c>
      <c r="Q103" t="str">
        <f>IF(Excel_Advanced_Sales_Dataset_2000__3[[#This Row],[Delivery Status]]="Pending","Follow Up","Ok")</f>
        <v>Ok</v>
      </c>
      <c r="R103" s="1" t="s">
        <v>53</v>
      </c>
      <c r="S103">
        <f>Excel_Advanced_Sales_Dataset_2000__3[[#This Row],[Quantity]]*Excel_Advanced_Sales_Dataset_2000__3[[#This Row],[Unit Price]]*Excel_Advanced_Sales_Dataset_2000__3[[#This Row],[Discount %]]/100</f>
        <v>59332.13076</v>
      </c>
      <c r="T103" s="4">
        <f>Excel_Advanced_Sales_Dataset_2000__3[[#This Row],[Quantity]]*Excel_Advanced_Sales_Dataset_2000__3[[#This Row],[Unit Price]]-Excel_Advanced_Sales_Dataset_2000__3[[#This Row],[Discount Amount]]</f>
        <v>256432.26924000002</v>
      </c>
    </row>
    <row r="104" spans="1:20" x14ac:dyDescent="0.25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>
        <v>3</v>
      </c>
      <c r="J104" s="4">
        <v>30331.67</v>
      </c>
      <c r="K104" s="6">
        <v>5.48</v>
      </c>
      <c r="L104" s="4">
        <v>86008.48</v>
      </c>
      <c r="M104" s="4" t="str" cm="1">
        <f t="array" ref="M104">IF(Excel_Advanced_Sales_Dataset_2000__3[[#This Row],[Total Sales]]&gt;50000,{"Yes"},{"No"})</f>
        <v>Yes</v>
      </c>
      <c r="N104" s="5">
        <v>46174</v>
      </c>
      <c r="O104" s="1" t="s">
        <v>58</v>
      </c>
      <c r="P104" t="s">
        <v>25</v>
      </c>
      <c r="Q104" t="str">
        <f>IF(Excel_Advanced_Sales_Dataset_2000__3[[#This Row],[Delivery Status]]="Pending","Follow Up","Ok")</f>
        <v>Follow Up</v>
      </c>
      <c r="R104" s="1" t="s">
        <v>36</v>
      </c>
      <c r="S104">
        <f>Excel_Advanced_Sales_Dataset_2000__3[[#This Row],[Quantity]]*Excel_Advanced_Sales_Dataset_2000__3[[#This Row],[Unit Price]]*Excel_Advanced_Sales_Dataset_2000__3[[#This Row],[Discount %]]/100</f>
        <v>4986.5265479999998</v>
      </c>
      <c r="T104" s="4">
        <f>Excel_Advanced_Sales_Dataset_2000__3[[#This Row],[Quantity]]*Excel_Advanced_Sales_Dataset_2000__3[[#This Row],[Unit Price]]-Excel_Advanced_Sales_Dataset_2000__3[[#This Row],[Discount Amount]]</f>
        <v>86008.483452</v>
      </c>
    </row>
    <row r="105" spans="1:20" x14ac:dyDescent="0.25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>
        <v>22</v>
      </c>
      <c r="J105" s="4">
        <v>48211.43</v>
      </c>
      <c r="K105" s="6">
        <v>17.79</v>
      </c>
      <c r="L105" s="4">
        <v>871961.57</v>
      </c>
      <c r="M105" s="4" t="str" cm="1">
        <f t="array" ref="M105">IF(Excel_Advanced_Sales_Dataset_2000__3[[#This Row],[Total Sales]]&gt;50000,{"Yes"},{"No"})</f>
        <v>Yes</v>
      </c>
      <c r="N105" s="5">
        <v>46266</v>
      </c>
      <c r="O105" s="1" t="s">
        <v>58</v>
      </c>
      <c r="P105" t="s">
        <v>35</v>
      </c>
      <c r="Q105" t="str">
        <f>IF(Excel_Advanced_Sales_Dataset_2000__3[[#This Row],[Delivery Status]]="Pending","Follow Up","Ok")</f>
        <v>Ok</v>
      </c>
      <c r="R105" s="1" t="s">
        <v>53</v>
      </c>
      <c r="S105">
        <f>Excel_Advanced_Sales_Dataset_2000__3[[#This Row],[Quantity]]*Excel_Advanced_Sales_Dataset_2000__3[[#This Row],[Unit Price]]*Excel_Advanced_Sales_Dataset_2000__3[[#This Row],[Discount %]]/100</f>
        <v>188689.89473399997</v>
      </c>
      <c r="T105" s="4">
        <f>Excel_Advanced_Sales_Dataset_2000__3[[#This Row],[Quantity]]*Excel_Advanced_Sales_Dataset_2000__3[[#This Row],[Unit Price]]-Excel_Advanced_Sales_Dataset_2000__3[[#This Row],[Discount Amount]]</f>
        <v>871961.56526599999</v>
      </c>
    </row>
    <row r="106" spans="1:20" x14ac:dyDescent="0.25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>
        <v>38</v>
      </c>
      <c r="J106" s="4">
        <v>48593.93</v>
      </c>
      <c r="K106" s="6">
        <v>13.83</v>
      </c>
      <c r="L106" s="4">
        <v>1591188.8</v>
      </c>
      <c r="M106" s="4" t="str" cm="1">
        <f t="array" ref="M106">IF(Excel_Advanced_Sales_Dataset_2000__3[[#This Row],[Total Sales]]&gt;50000,{"Yes"},{"No"})</f>
        <v>Yes</v>
      </c>
      <c r="N106" s="5">
        <v>46174</v>
      </c>
      <c r="O106" s="1" t="s">
        <v>45</v>
      </c>
      <c r="P106" t="s">
        <v>35</v>
      </c>
      <c r="Q106" t="str">
        <f>IF(Excel_Advanced_Sales_Dataset_2000__3[[#This Row],[Delivery Status]]="Pending","Follow Up","Ok")</f>
        <v>Ok</v>
      </c>
      <c r="R106" s="1" t="s">
        <v>36</v>
      </c>
      <c r="S106">
        <f>Excel_Advanced_Sales_Dataset_2000__3[[#This Row],[Quantity]]*Excel_Advanced_Sales_Dataset_2000__3[[#This Row],[Unit Price]]*Excel_Advanced_Sales_Dataset_2000__3[[#This Row],[Discount %]]/100</f>
        <v>255380.53972200002</v>
      </c>
      <c r="T106" s="4">
        <f>Excel_Advanced_Sales_Dataset_2000__3[[#This Row],[Quantity]]*Excel_Advanced_Sales_Dataset_2000__3[[#This Row],[Unit Price]]-Excel_Advanced_Sales_Dataset_2000__3[[#This Row],[Discount Amount]]</f>
        <v>1591188.8002780001</v>
      </c>
    </row>
    <row r="107" spans="1:20" x14ac:dyDescent="0.25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>
        <v>3</v>
      </c>
      <c r="J107" s="4">
        <v>28264.99</v>
      </c>
      <c r="K107" s="6">
        <v>1.74</v>
      </c>
      <c r="L107" s="4">
        <v>83319.539999999994</v>
      </c>
      <c r="M107" s="4" t="str" cm="1">
        <f t="array" ref="M107">IF(Excel_Advanced_Sales_Dataset_2000__3[[#This Row],[Total Sales]]&gt;50000,{"Yes"},{"No"})</f>
        <v>Yes</v>
      </c>
      <c r="N107" s="5">
        <v>46036</v>
      </c>
      <c r="O107" s="1" t="s">
        <v>68</v>
      </c>
      <c r="P107" t="s">
        <v>35</v>
      </c>
      <c r="Q107" t="str">
        <f>IF(Excel_Advanced_Sales_Dataset_2000__3[[#This Row],[Delivery Status]]="Pending","Follow Up","Ok")</f>
        <v>Ok</v>
      </c>
      <c r="R107" s="1" t="s">
        <v>26</v>
      </c>
      <c r="S107">
        <f>Excel_Advanced_Sales_Dataset_2000__3[[#This Row],[Quantity]]*Excel_Advanced_Sales_Dataset_2000__3[[#This Row],[Unit Price]]*Excel_Advanced_Sales_Dataset_2000__3[[#This Row],[Discount %]]/100</f>
        <v>1475.4324780000002</v>
      </c>
      <c r="T107" s="4">
        <f>Excel_Advanced_Sales_Dataset_2000__3[[#This Row],[Quantity]]*Excel_Advanced_Sales_Dataset_2000__3[[#This Row],[Unit Price]]-Excel_Advanced_Sales_Dataset_2000__3[[#This Row],[Discount Amount]]</f>
        <v>83319.537521999999</v>
      </c>
    </row>
    <row r="108" spans="1:20" x14ac:dyDescent="0.25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>
        <v>12</v>
      </c>
      <c r="J108" s="4">
        <v>46854.97</v>
      </c>
      <c r="K108" s="6">
        <v>16.91</v>
      </c>
      <c r="L108" s="4">
        <v>467181.53</v>
      </c>
      <c r="M108" s="4" t="str" cm="1">
        <f t="array" ref="M108">IF(Excel_Advanced_Sales_Dataset_2000__3[[#This Row],[Total Sales]]&gt;50000,{"Yes"},{"No"})</f>
        <v>Yes</v>
      </c>
      <c r="N108" s="5">
        <v>46231</v>
      </c>
      <c r="O108" s="1" t="s">
        <v>58</v>
      </c>
      <c r="P108" t="s">
        <v>35</v>
      </c>
      <c r="Q108" t="str">
        <f>IF(Excel_Advanced_Sales_Dataset_2000__3[[#This Row],[Delivery Status]]="Pending","Follow Up","Ok")</f>
        <v>Ok</v>
      </c>
      <c r="R108" s="1" t="s">
        <v>53</v>
      </c>
      <c r="S108">
        <f>Excel_Advanced_Sales_Dataset_2000__3[[#This Row],[Quantity]]*Excel_Advanced_Sales_Dataset_2000__3[[#This Row],[Unit Price]]*Excel_Advanced_Sales_Dataset_2000__3[[#This Row],[Discount %]]/100</f>
        <v>95078.105123999994</v>
      </c>
      <c r="T108" s="4">
        <f>Excel_Advanced_Sales_Dataset_2000__3[[#This Row],[Quantity]]*Excel_Advanced_Sales_Dataset_2000__3[[#This Row],[Unit Price]]-Excel_Advanced_Sales_Dataset_2000__3[[#This Row],[Discount Amount]]</f>
        <v>467181.53487600002</v>
      </c>
    </row>
    <row r="109" spans="1:20" x14ac:dyDescent="0.25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>
        <v>14</v>
      </c>
      <c r="J109" s="4">
        <v>9638.89</v>
      </c>
      <c r="K109" s="6">
        <v>8.93</v>
      </c>
      <c r="L109" s="4">
        <v>122893.92</v>
      </c>
      <c r="M109" s="4" t="str" cm="1">
        <f t="array" ref="M109">IF(Excel_Advanced_Sales_Dataset_2000__3[[#This Row],[Total Sales]]&gt;50000,{"Yes"},{"No"})</f>
        <v>Yes</v>
      </c>
      <c r="N109" s="5">
        <v>46265</v>
      </c>
      <c r="O109" s="1" t="s">
        <v>24</v>
      </c>
      <c r="P109" t="s">
        <v>35</v>
      </c>
      <c r="Q109" t="str">
        <f>IF(Excel_Advanced_Sales_Dataset_2000__3[[#This Row],[Delivery Status]]="Pending","Follow Up","Ok")</f>
        <v>Ok</v>
      </c>
      <c r="R109" s="1" t="s">
        <v>26</v>
      </c>
      <c r="S109">
        <f>Excel_Advanced_Sales_Dataset_2000__3[[#This Row],[Quantity]]*Excel_Advanced_Sales_Dataset_2000__3[[#This Row],[Unit Price]]*Excel_Advanced_Sales_Dataset_2000__3[[#This Row],[Discount %]]/100</f>
        <v>12050.540277999999</v>
      </c>
      <c r="T109" s="4">
        <f>Excel_Advanced_Sales_Dataset_2000__3[[#This Row],[Quantity]]*Excel_Advanced_Sales_Dataset_2000__3[[#This Row],[Unit Price]]-Excel_Advanced_Sales_Dataset_2000__3[[#This Row],[Discount Amount]]</f>
        <v>122893.91972199999</v>
      </c>
    </row>
    <row r="110" spans="1:20" x14ac:dyDescent="0.25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>
        <v>31</v>
      </c>
      <c r="J110" s="4">
        <v>9270.7000000000007</v>
      </c>
      <c r="K110" s="6">
        <v>6.13</v>
      </c>
      <c r="L110" s="4">
        <v>269774.59000000003</v>
      </c>
      <c r="M110" s="4" t="str" cm="1">
        <f t="array" ref="M110">IF(Excel_Advanced_Sales_Dataset_2000__3[[#This Row],[Total Sales]]&gt;50000,{"Yes"},{"No"})</f>
        <v>Yes</v>
      </c>
      <c r="N110" s="5">
        <v>46066</v>
      </c>
      <c r="O110" s="1" t="s">
        <v>113</v>
      </c>
      <c r="P110" t="s">
        <v>25</v>
      </c>
      <c r="Q110" t="str">
        <f>IF(Excel_Advanced_Sales_Dataset_2000__3[[#This Row],[Delivery Status]]="Pending","Follow Up","Ok")</f>
        <v>Follow Up</v>
      </c>
      <c r="R110" s="1" t="s">
        <v>53</v>
      </c>
      <c r="S110">
        <f>Excel_Advanced_Sales_Dataset_2000__3[[#This Row],[Quantity]]*Excel_Advanced_Sales_Dataset_2000__3[[#This Row],[Unit Price]]*Excel_Advanced_Sales_Dataset_2000__3[[#This Row],[Discount %]]/100</f>
        <v>17617.111209999999</v>
      </c>
      <c r="T110" s="4">
        <f>Excel_Advanced_Sales_Dataset_2000__3[[#This Row],[Quantity]]*Excel_Advanced_Sales_Dataset_2000__3[[#This Row],[Unit Price]]-Excel_Advanced_Sales_Dataset_2000__3[[#This Row],[Discount Amount]]</f>
        <v>269774.58879000001</v>
      </c>
    </row>
    <row r="111" spans="1:20" x14ac:dyDescent="0.25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>
        <v>40</v>
      </c>
      <c r="J111" s="4">
        <v>21677.49</v>
      </c>
      <c r="K111" s="6">
        <v>7.07</v>
      </c>
      <c r="L111" s="4">
        <v>805795.66</v>
      </c>
      <c r="M111" s="4" t="str" cm="1">
        <f t="array" ref="M111">IF(Excel_Advanced_Sales_Dataset_2000__3[[#This Row],[Total Sales]]&gt;50000,{"Yes"},{"No"})</f>
        <v>Yes</v>
      </c>
      <c r="N111" s="5">
        <v>46182</v>
      </c>
      <c r="O111" s="1" t="s">
        <v>68</v>
      </c>
      <c r="P111" t="s">
        <v>35</v>
      </c>
      <c r="Q111" t="str">
        <f>IF(Excel_Advanced_Sales_Dataset_2000__3[[#This Row],[Delivery Status]]="Pending","Follow Up","Ok")</f>
        <v>Ok</v>
      </c>
      <c r="R111" s="1" t="s">
        <v>36</v>
      </c>
      <c r="S111">
        <f>Excel_Advanced_Sales_Dataset_2000__3[[#This Row],[Quantity]]*Excel_Advanced_Sales_Dataset_2000__3[[#This Row],[Unit Price]]*Excel_Advanced_Sales_Dataset_2000__3[[#This Row],[Discount %]]/100</f>
        <v>61303.94172000001</v>
      </c>
      <c r="T111" s="4">
        <f>Excel_Advanced_Sales_Dataset_2000__3[[#This Row],[Quantity]]*Excel_Advanced_Sales_Dataset_2000__3[[#This Row],[Unit Price]]-Excel_Advanced_Sales_Dataset_2000__3[[#This Row],[Discount Amount]]</f>
        <v>805795.65828000009</v>
      </c>
    </row>
    <row r="112" spans="1:20" x14ac:dyDescent="0.25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>
        <v>36</v>
      </c>
      <c r="J112" s="4">
        <v>31665.58</v>
      </c>
      <c r="K112" s="6">
        <v>9.3699999999999992</v>
      </c>
      <c r="L112" s="4">
        <v>1033146.55</v>
      </c>
      <c r="M112" s="4" t="str" cm="1">
        <f t="array" ref="M112">IF(Excel_Advanced_Sales_Dataset_2000__3[[#This Row],[Total Sales]]&gt;50000,{"Yes"},{"No"})</f>
        <v>Yes</v>
      </c>
      <c r="N112" s="5">
        <v>46315</v>
      </c>
      <c r="O112" s="1" t="s">
        <v>68</v>
      </c>
      <c r="P112" t="s">
        <v>35</v>
      </c>
      <c r="Q112" t="str">
        <f>IF(Excel_Advanced_Sales_Dataset_2000__3[[#This Row],[Delivery Status]]="Pending","Follow Up","Ok")</f>
        <v>Ok</v>
      </c>
      <c r="R112" s="1" t="s">
        <v>53</v>
      </c>
      <c r="S112">
        <f>Excel_Advanced_Sales_Dataset_2000__3[[#This Row],[Quantity]]*Excel_Advanced_Sales_Dataset_2000__3[[#This Row],[Unit Price]]*Excel_Advanced_Sales_Dataset_2000__3[[#This Row],[Discount %]]/100</f>
        <v>106814.33445600001</v>
      </c>
      <c r="T112" s="4">
        <f>Excel_Advanced_Sales_Dataset_2000__3[[#This Row],[Quantity]]*Excel_Advanced_Sales_Dataset_2000__3[[#This Row],[Unit Price]]-Excel_Advanced_Sales_Dataset_2000__3[[#This Row],[Discount Amount]]</f>
        <v>1033146.5455440001</v>
      </c>
    </row>
    <row r="113" spans="1:20" x14ac:dyDescent="0.25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>
        <v>24</v>
      </c>
      <c r="J113" s="4">
        <v>42399.23</v>
      </c>
      <c r="K113" s="6">
        <v>6.08</v>
      </c>
      <c r="L113" s="4">
        <v>955712.56</v>
      </c>
      <c r="M113" s="4" t="str" cm="1">
        <f t="array" ref="M113">IF(Excel_Advanced_Sales_Dataset_2000__3[[#This Row],[Total Sales]]&gt;50000,{"Yes"},{"No"})</f>
        <v>Yes</v>
      </c>
      <c r="N113" s="5">
        <v>46072</v>
      </c>
      <c r="O113" s="1" t="s">
        <v>24</v>
      </c>
      <c r="P113" t="s">
        <v>35</v>
      </c>
      <c r="Q113" t="str">
        <f>IF(Excel_Advanced_Sales_Dataset_2000__3[[#This Row],[Delivery Status]]="Pending","Follow Up","Ok")</f>
        <v>Ok</v>
      </c>
      <c r="R113" s="1" t="s">
        <v>26</v>
      </c>
      <c r="S113">
        <f>Excel_Advanced_Sales_Dataset_2000__3[[#This Row],[Quantity]]*Excel_Advanced_Sales_Dataset_2000__3[[#This Row],[Unit Price]]*Excel_Advanced_Sales_Dataset_2000__3[[#This Row],[Discount %]]/100</f>
        <v>61868.956416000001</v>
      </c>
      <c r="T113" s="4">
        <f>Excel_Advanced_Sales_Dataset_2000__3[[#This Row],[Quantity]]*Excel_Advanced_Sales_Dataset_2000__3[[#This Row],[Unit Price]]-Excel_Advanced_Sales_Dataset_2000__3[[#This Row],[Discount Amount]]</f>
        <v>955712.56358399999</v>
      </c>
    </row>
    <row r="114" spans="1:20" x14ac:dyDescent="0.25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>
        <v>23</v>
      </c>
      <c r="J114" s="4">
        <v>40033.480000000003</v>
      </c>
      <c r="K114" s="6">
        <v>1.05</v>
      </c>
      <c r="L114" s="4">
        <v>911101.95</v>
      </c>
      <c r="M114" s="4" t="str" cm="1">
        <f t="array" ref="M114">IF(Excel_Advanced_Sales_Dataset_2000__3[[#This Row],[Total Sales]]&gt;50000,{"Yes"},{"No"})</f>
        <v>Yes</v>
      </c>
      <c r="N114" s="5">
        <v>46353</v>
      </c>
      <c r="O114" s="1" t="s">
        <v>58</v>
      </c>
      <c r="P114" t="s">
        <v>59</v>
      </c>
      <c r="Q114" t="str">
        <f>IF(Excel_Advanced_Sales_Dataset_2000__3[[#This Row],[Delivery Status]]="Pending","Follow Up","Ok")</f>
        <v>Ok</v>
      </c>
      <c r="R114" s="1" t="s">
        <v>36</v>
      </c>
      <c r="S114">
        <f>Excel_Advanced_Sales_Dataset_2000__3[[#This Row],[Quantity]]*Excel_Advanced_Sales_Dataset_2000__3[[#This Row],[Unit Price]]*Excel_Advanced_Sales_Dataset_2000__3[[#This Row],[Discount %]]/100</f>
        <v>9668.0854200000012</v>
      </c>
      <c r="T114" s="4">
        <f>Excel_Advanced_Sales_Dataset_2000__3[[#This Row],[Quantity]]*Excel_Advanced_Sales_Dataset_2000__3[[#This Row],[Unit Price]]-Excel_Advanced_Sales_Dataset_2000__3[[#This Row],[Discount Amount]]</f>
        <v>911101.95458000002</v>
      </c>
    </row>
    <row r="115" spans="1:20" x14ac:dyDescent="0.25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>
        <v>17</v>
      </c>
      <c r="J115" s="4">
        <v>46332.6</v>
      </c>
      <c r="K115" s="6">
        <v>5.25</v>
      </c>
      <c r="L115" s="4">
        <v>746302.35</v>
      </c>
      <c r="M115" s="4" t="str" cm="1">
        <f t="array" ref="M115">IF(Excel_Advanced_Sales_Dataset_2000__3[[#This Row],[Total Sales]]&gt;50000,{"Yes"},{"No"})</f>
        <v>Yes</v>
      </c>
      <c r="N115" s="5">
        <v>46133</v>
      </c>
      <c r="O115" s="1" t="s">
        <v>45</v>
      </c>
      <c r="P115" t="s">
        <v>35</v>
      </c>
      <c r="Q115" t="str">
        <f>IF(Excel_Advanced_Sales_Dataset_2000__3[[#This Row],[Delivery Status]]="Pending","Follow Up","Ok")</f>
        <v>Ok</v>
      </c>
      <c r="R115" s="1" t="s">
        <v>26</v>
      </c>
      <c r="S115">
        <f>Excel_Advanced_Sales_Dataset_2000__3[[#This Row],[Quantity]]*Excel_Advanced_Sales_Dataset_2000__3[[#This Row],[Unit Price]]*Excel_Advanced_Sales_Dataset_2000__3[[#This Row],[Discount %]]/100</f>
        <v>41351.845499999996</v>
      </c>
      <c r="T115" s="4">
        <f>Excel_Advanced_Sales_Dataset_2000__3[[#This Row],[Quantity]]*Excel_Advanced_Sales_Dataset_2000__3[[#This Row],[Unit Price]]-Excel_Advanced_Sales_Dataset_2000__3[[#This Row],[Discount Amount]]</f>
        <v>746302.3544999999</v>
      </c>
    </row>
    <row r="116" spans="1:20" x14ac:dyDescent="0.25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>
        <v>23</v>
      </c>
      <c r="J116" s="4">
        <v>11985.55</v>
      </c>
      <c r="K116" s="6">
        <v>6.75</v>
      </c>
      <c r="L116" s="4">
        <v>257060.08</v>
      </c>
      <c r="M116" s="4" t="str" cm="1">
        <f t="array" ref="M116">IF(Excel_Advanced_Sales_Dataset_2000__3[[#This Row],[Total Sales]]&gt;50000,{"Yes"},{"No"})</f>
        <v>Yes</v>
      </c>
      <c r="N116" s="5">
        <v>46236</v>
      </c>
      <c r="O116" s="1" t="s">
        <v>113</v>
      </c>
      <c r="P116" t="s">
        <v>35</v>
      </c>
      <c r="Q116" t="str">
        <f>IF(Excel_Advanced_Sales_Dataset_2000__3[[#This Row],[Delivery Status]]="Pending","Follow Up","Ok")</f>
        <v>Ok</v>
      </c>
      <c r="R116" s="1" t="s">
        <v>53</v>
      </c>
      <c r="S116">
        <f>Excel_Advanced_Sales_Dataset_2000__3[[#This Row],[Quantity]]*Excel_Advanced_Sales_Dataset_2000__3[[#This Row],[Unit Price]]*Excel_Advanced_Sales_Dataset_2000__3[[#This Row],[Discount %]]/100</f>
        <v>18607.566374999999</v>
      </c>
      <c r="T116" s="4">
        <f>Excel_Advanced_Sales_Dataset_2000__3[[#This Row],[Quantity]]*Excel_Advanced_Sales_Dataset_2000__3[[#This Row],[Unit Price]]-Excel_Advanced_Sales_Dataset_2000__3[[#This Row],[Discount Amount]]</f>
        <v>257060.08362499997</v>
      </c>
    </row>
    <row r="117" spans="1:20" x14ac:dyDescent="0.25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>
        <v>1</v>
      </c>
      <c r="J117" s="4">
        <v>28870.35</v>
      </c>
      <c r="K117" s="6">
        <v>16.53</v>
      </c>
      <c r="L117" s="4">
        <v>24098.080000000002</v>
      </c>
      <c r="M117" s="4" t="str" cm="1">
        <f t="array" ref="M117">IF(Excel_Advanced_Sales_Dataset_2000__3[[#This Row],[Total Sales]]&gt;50000,{"Yes"},{"No"})</f>
        <v>No</v>
      </c>
      <c r="N117" s="5">
        <v>46209</v>
      </c>
      <c r="O117" s="1" t="s">
        <v>58</v>
      </c>
      <c r="P117" t="s">
        <v>35</v>
      </c>
      <c r="Q117" t="str">
        <f>IF(Excel_Advanced_Sales_Dataset_2000__3[[#This Row],[Delivery Status]]="Pending","Follow Up","Ok")</f>
        <v>Ok</v>
      </c>
      <c r="R117" s="1" t="s">
        <v>26</v>
      </c>
      <c r="S117">
        <f>Excel_Advanced_Sales_Dataset_2000__3[[#This Row],[Quantity]]*Excel_Advanced_Sales_Dataset_2000__3[[#This Row],[Unit Price]]*Excel_Advanced_Sales_Dataset_2000__3[[#This Row],[Discount %]]/100</f>
        <v>4772.2688550000003</v>
      </c>
      <c r="T117" s="4">
        <f>Excel_Advanced_Sales_Dataset_2000__3[[#This Row],[Quantity]]*Excel_Advanced_Sales_Dataset_2000__3[[#This Row],[Unit Price]]-Excel_Advanced_Sales_Dataset_2000__3[[#This Row],[Discount Amount]]</f>
        <v>24098.081144999996</v>
      </c>
    </row>
    <row r="118" spans="1:20" x14ac:dyDescent="0.25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>
        <v>27</v>
      </c>
      <c r="J118" s="4">
        <v>3537.29</v>
      </c>
      <c r="K118" s="6">
        <v>2.38</v>
      </c>
      <c r="L118" s="4">
        <v>93233.77</v>
      </c>
      <c r="M118" s="4" t="str" cm="1">
        <f t="array" ref="M118">IF(Excel_Advanced_Sales_Dataset_2000__3[[#This Row],[Total Sales]]&gt;50000,{"Yes"},{"No"})</f>
        <v>Yes</v>
      </c>
      <c r="N118" s="5">
        <v>46300</v>
      </c>
      <c r="O118" s="1" t="s">
        <v>68</v>
      </c>
      <c r="P118" t="s">
        <v>25</v>
      </c>
      <c r="Q118" t="str">
        <f>IF(Excel_Advanced_Sales_Dataset_2000__3[[#This Row],[Delivery Status]]="Pending","Follow Up","Ok")</f>
        <v>Follow Up</v>
      </c>
      <c r="R118" s="1" t="s">
        <v>36</v>
      </c>
      <c r="S118">
        <f>Excel_Advanced_Sales_Dataset_2000__3[[#This Row],[Quantity]]*Excel_Advanced_Sales_Dataset_2000__3[[#This Row],[Unit Price]]*Excel_Advanced_Sales_Dataset_2000__3[[#This Row],[Discount %]]/100</f>
        <v>2273.0625540000001</v>
      </c>
      <c r="T118" s="4">
        <f>Excel_Advanced_Sales_Dataset_2000__3[[#This Row],[Quantity]]*Excel_Advanced_Sales_Dataset_2000__3[[#This Row],[Unit Price]]-Excel_Advanced_Sales_Dataset_2000__3[[#This Row],[Discount Amount]]</f>
        <v>93233.767445999998</v>
      </c>
    </row>
    <row r="119" spans="1:20" x14ac:dyDescent="0.25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>
        <v>8</v>
      </c>
      <c r="J119" s="4">
        <v>48592.1</v>
      </c>
      <c r="K119" s="6">
        <v>16.149999999999999</v>
      </c>
      <c r="L119" s="4">
        <v>325955.81</v>
      </c>
      <c r="M119" s="4" t="str" cm="1">
        <f t="array" ref="M119">IF(Excel_Advanced_Sales_Dataset_2000__3[[#This Row],[Total Sales]]&gt;50000,{"Yes"},{"No"})</f>
        <v>Yes</v>
      </c>
      <c r="N119" s="5">
        <v>46029</v>
      </c>
      <c r="O119" s="1" t="s">
        <v>24</v>
      </c>
      <c r="P119" t="s">
        <v>35</v>
      </c>
      <c r="Q119" t="str">
        <f>IF(Excel_Advanced_Sales_Dataset_2000__3[[#This Row],[Delivery Status]]="Pending","Follow Up","Ok")</f>
        <v>Ok</v>
      </c>
      <c r="R119" s="1" t="s">
        <v>36</v>
      </c>
      <c r="S119">
        <f>Excel_Advanced_Sales_Dataset_2000__3[[#This Row],[Quantity]]*Excel_Advanced_Sales_Dataset_2000__3[[#This Row],[Unit Price]]*Excel_Advanced_Sales_Dataset_2000__3[[#This Row],[Discount %]]/100</f>
        <v>62780.993199999997</v>
      </c>
      <c r="T119" s="4">
        <f>Excel_Advanced_Sales_Dataset_2000__3[[#This Row],[Quantity]]*Excel_Advanced_Sales_Dataset_2000__3[[#This Row],[Unit Price]]-Excel_Advanced_Sales_Dataset_2000__3[[#This Row],[Discount Amount]]</f>
        <v>325955.80680000002</v>
      </c>
    </row>
    <row r="120" spans="1:20" x14ac:dyDescent="0.25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>
        <v>7</v>
      </c>
      <c r="J120" s="4">
        <v>18215.05</v>
      </c>
      <c r="K120" s="6">
        <v>14.13</v>
      </c>
      <c r="L120" s="4">
        <v>109488.84</v>
      </c>
      <c r="M120" s="4" t="str" cm="1">
        <f t="array" ref="M120">IF(Excel_Advanced_Sales_Dataset_2000__3[[#This Row],[Total Sales]]&gt;50000,{"Yes"},{"No"})</f>
        <v>Yes</v>
      </c>
      <c r="N120" s="5">
        <v>46296</v>
      </c>
      <c r="O120" s="1" t="s">
        <v>24</v>
      </c>
      <c r="P120" t="s">
        <v>35</v>
      </c>
      <c r="Q120" t="str">
        <f>IF(Excel_Advanced_Sales_Dataset_2000__3[[#This Row],[Delivery Status]]="Pending","Follow Up","Ok")</f>
        <v>Ok</v>
      </c>
      <c r="R120" s="1" t="s">
        <v>26</v>
      </c>
      <c r="S120">
        <f>Excel_Advanced_Sales_Dataset_2000__3[[#This Row],[Quantity]]*Excel_Advanced_Sales_Dataset_2000__3[[#This Row],[Unit Price]]*Excel_Advanced_Sales_Dataset_2000__3[[#This Row],[Discount %]]/100</f>
        <v>18016.505955000001</v>
      </c>
      <c r="T120" s="4">
        <f>Excel_Advanced_Sales_Dataset_2000__3[[#This Row],[Quantity]]*Excel_Advanced_Sales_Dataset_2000__3[[#This Row],[Unit Price]]-Excel_Advanced_Sales_Dataset_2000__3[[#This Row],[Discount Amount]]</f>
        <v>109488.84404499999</v>
      </c>
    </row>
    <row r="121" spans="1:20" x14ac:dyDescent="0.25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>
        <v>44</v>
      </c>
      <c r="J121" s="4">
        <v>45796.99</v>
      </c>
      <c r="K121" s="6">
        <v>3.74</v>
      </c>
      <c r="L121" s="4">
        <v>1939704.03</v>
      </c>
      <c r="M121" s="4" t="str" cm="1">
        <f t="array" ref="M121">IF(Excel_Advanced_Sales_Dataset_2000__3[[#This Row],[Total Sales]]&gt;50000,{"Yes"},{"No"})</f>
        <v>Yes</v>
      </c>
      <c r="N121" s="5">
        <v>46372</v>
      </c>
      <c r="O121" s="1" t="s">
        <v>45</v>
      </c>
      <c r="P121" t="s">
        <v>35</v>
      </c>
      <c r="Q121" t="str">
        <f>IF(Excel_Advanced_Sales_Dataset_2000__3[[#This Row],[Delivery Status]]="Pending","Follow Up","Ok")</f>
        <v>Ok</v>
      </c>
      <c r="R121" s="1" t="s">
        <v>53</v>
      </c>
      <c r="S121">
        <f>Excel_Advanced_Sales_Dataset_2000__3[[#This Row],[Quantity]]*Excel_Advanced_Sales_Dataset_2000__3[[#This Row],[Unit Price]]*Excel_Advanced_Sales_Dataset_2000__3[[#This Row],[Discount %]]/100</f>
        <v>75363.526744000003</v>
      </c>
      <c r="T121" s="4">
        <f>Excel_Advanced_Sales_Dataset_2000__3[[#This Row],[Quantity]]*Excel_Advanced_Sales_Dataset_2000__3[[#This Row],[Unit Price]]-Excel_Advanced_Sales_Dataset_2000__3[[#This Row],[Discount Amount]]</f>
        <v>1939704.0332559999</v>
      </c>
    </row>
    <row r="122" spans="1:20" x14ac:dyDescent="0.25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>
        <v>44</v>
      </c>
      <c r="J122" s="4">
        <v>19293.11</v>
      </c>
      <c r="K122" s="6">
        <v>5.7</v>
      </c>
      <c r="L122" s="4">
        <v>800509.72</v>
      </c>
      <c r="M122" s="4" t="str" cm="1">
        <f t="array" ref="M122">IF(Excel_Advanced_Sales_Dataset_2000__3[[#This Row],[Total Sales]]&gt;50000,{"Yes"},{"No"})</f>
        <v>Yes</v>
      </c>
      <c r="N122" s="5">
        <v>46178</v>
      </c>
      <c r="O122" s="1" t="s">
        <v>24</v>
      </c>
      <c r="P122" t="s">
        <v>35</v>
      </c>
      <c r="Q122" t="str">
        <f>IF(Excel_Advanced_Sales_Dataset_2000__3[[#This Row],[Delivery Status]]="Pending","Follow Up","Ok")</f>
        <v>Ok</v>
      </c>
      <c r="R122" s="1" t="s">
        <v>26</v>
      </c>
      <c r="S122">
        <f>Excel_Advanced_Sales_Dataset_2000__3[[#This Row],[Quantity]]*Excel_Advanced_Sales_Dataset_2000__3[[#This Row],[Unit Price]]*Excel_Advanced_Sales_Dataset_2000__3[[#This Row],[Discount %]]/100</f>
        <v>48387.119880000006</v>
      </c>
      <c r="T122" s="4">
        <f>Excel_Advanced_Sales_Dataset_2000__3[[#This Row],[Quantity]]*Excel_Advanced_Sales_Dataset_2000__3[[#This Row],[Unit Price]]-Excel_Advanced_Sales_Dataset_2000__3[[#This Row],[Discount Amount]]</f>
        <v>800509.72012000007</v>
      </c>
    </row>
    <row r="123" spans="1:20" x14ac:dyDescent="0.25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>
        <v>27</v>
      </c>
      <c r="J123" s="4">
        <v>38800.42</v>
      </c>
      <c r="K123" s="6">
        <v>14.35</v>
      </c>
      <c r="L123" s="4">
        <v>897279.11</v>
      </c>
      <c r="M123" s="4" t="str" cm="1">
        <f t="array" ref="M123">IF(Excel_Advanced_Sales_Dataset_2000__3[[#This Row],[Total Sales]]&gt;50000,{"Yes"},{"No"})</f>
        <v>Yes</v>
      </c>
      <c r="N123" s="5">
        <v>46189</v>
      </c>
      <c r="O123" s="1" t="s">
        <v>24</v>
      </c>
      <c r="P123" t="s">
        <v>35</v>
      </c>
      <c r="Q123" t="str">
        <f>IF(Excel_Advanced_Sales_Dataset_2000__3[[#This Row],[Delivery Status]]="Pending","Follow Up","Ok")</f>
        <v>Ok</v>
      </c>
      <c r="R123" s="1" t="s">
        <v>26</v>
      </c>
      <c r="S123">
        <f>Excel_Advanced_Sales_Dataset_2000__3[[#This Row],[Quantity]]*Excel_Advanced_Sales_Dataset_2000__3[[#This Row],[Unit Price]]*Excel_Advanced_Sales_Dataset_2000__3[[#This Row],[Discount %]]/100</f>
        <v>150332.22728999998</v>
      </c>
      <c r="T123" s="4">
        <f>Excel_Advanced_Sales_Dataset_2000__3[[#This Row],[Quantity]]*Excel_Advanced_Sales_Dataset_2000__3[[#This Row],[Unit Price]]-Excel_Advanced_Sales_Dataset_2000__3[[#This Row],[Discount Amount]]</f>
        <v>897279.11271000002</v>
      </c>
    </row>
    <row r="124" spans="1:20" x14ac:dyDescent="0.25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>
        <v>16</v>
      </c>
      <c r="J124" s="4">
        <v>12293.97</v>
      </c>
      <c r="K124" s="6">
        <v>9.7100000000000009</v>
      </c>
      <c r="L124" s="4">
        <v>177603.61</v>
      </c>
      <c r="M124" s="4" t="str" cm="1">
        <f t="array" ref="M124">IF(Excel_Advanced_Sales_Dataset_2000__3[[#This Row],[Total Sales]]&gt;50000,{"Yes"},{"No"})</f>
        <v>Yes</v>
      </c>
      <c r="N124" s="5">
        <v>46350</v>
      </c>
      <c r="O124" s="1" t="s">
        <v>113</v>
      </c>
      <c r="P124" t="s">
        <v>35</v>
      </c>
      <c r="Q124" t="str">
        <f>IF(Excel_Advanced_Sales_Dataset_2000__3[[#This Row],[Delivery Status]]="Pending","Follow Up","Ok")</f>
        <v>Ok</v>
      </c>
      <c r="R124" s="1" t="s">
        <v>36</v>
      </c>
      <c r="S124">
        <f>Excel_Advanced_Sales_Dataset_2000__3[[#This Row],[Quantity]]*Excel_Advanced_Sales_Dataset_2000__3[[#This Row],[Unit Price]]*Excel_Advanced_Sales_Dataset_2000__3[[#This Row],[Discount %]]/100</f>
        <v>19099.911792000003</v>
      </c>
      <c r="T124" s="4">
        <f>Excel_Advanced_Sales_Dataset_2000__3[[#This Row],[Quantity]]*Excel_Advanced_Sales_Dataset_2000__3[[#This Row],[Unit Price]]-Excel_Advanced_Sales_Dataset_2000__3[[#This Row],[Discount Amount]]</f>
        <v>177603.60820799999</v>
      </c>
    </row>
    <row r="125" spans="1:20" x14ac:dyDescent="0.25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>
        <v>6</v>
      </c>
      <c r="J125" s="4">
        <v>15721.08</v>
      </c>
      <c r="K125" s="6">
        <v>6.89</v>
      </c>
      <c r="L125" s="4">
        <v>87827.39</v>
      </c>
      <c r="M125" s="4" t="str" cm="1">
        <f t="array" ref="M125">IF(Excel_Advanced_Sales_Dataset_2000__3[[#This Row],[Total Sales]]&gt;50000,{"Yes"},{"No"})</f>
        <v>Yes</v>
      </c>
      <c r="N125" s="5">
        <v>46216</v>
      </c>
      <c r="O125" s="1" t="s">
        <v>24</v>
      </c>
      <c r="P125" t="s">
        <v>35</v>
      </c>
      <c r="Q125" t="str">
        <f>IF(Excel_Advanced_Sales_Dataset_2000__3[[#This Row],[Delivery Status]]="Pending","Follow Up","Ok")</f>
        <v>Ok</v>
      </c>
      <c r="R125" s="1" t="s">
        <v>53</v>
      </c>
      <c r="S125">
        <f>Excel_Advanced_Sales_Dataset_2000__3[[#This Row],[Quantity]]*Excel_Advanced_Sales_Dataset_2000__3[[#This Row],[Unit Price]]*Excel_Advanced_Sales_Dataset_2000__3[[#This Row],[Discount %]]/100</f>
        <v>6499.0944719999998</v>
      </c>
      <c r="T125" s="4">
        <f>Excel_Advanced_Sales_Dataset_2000__3[[#This Row],[Quantity]]*Excel_Advanced_Sales_Dataset_2000__3[[#This Row],[Unit Price]]-Excel_Advanced_Sales_Dataset_2000__3[[#This Row],[Discount Amount]]</f>
        <v>87827.385527999999</v>
      </c>
    </row>
    <row r="126" spans="1:20" x14ac:dyDescent="0.25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>
        <v>18</v>
      </c>
      <c r="J126" s="4">
        <v>36528.42</v>
      </c>
      <c r="K126" s="6">
        <v>1.06</v>
      </c>
      <c r="L126" s="4">
        <v>650541.93999999994</v>
      </c>
      <c r="M126" s="4" t="str" cm="1">
        <f t="array" ref="M126">IF(Excel_Advanced_Sales_Dataset_2000__3[[#This Row],[Total Sales]]&gt;50000,{"Yes"},{"No"})</f>
        <v>Yes</v>
      </c>
      <c r="N126" s="5">
        <v>46073</v>
      </c>
      <c r="O126" s="1" t="s">
        <v>68</v>
      </c>
      <c r="P126" t="s">
        <v>59</v>
      </c>
      <c r="Q126" t="str">
        <f>IF(Excel_Advanced_Sales_Dataset_2000__3[[#This Row],[Delivery Status]]="Pending","Follow Up","Ok")</f>
        <v>Ok</v>
      </c>
      <c r="R126" s="1" t="s">
        <v>36</v>
      </c>
      <c r="S126">
        <f>Excel_Advanced_Sales_Dataset_2000__3[[#This Row],[Quantity]]*Excel_Advanced_Sales_Dataset_2000__3[[#This Row],[Unit Price]]*Excel_Advanced_Sales_Dataset_2000__3[[#This Row],[Discount %]]/100</f>
        <v>6969.6225359999989</v>
      </c>
      <c r="T126" s="4">
        <f>Excel_Advanced_Sales_Dataset_2000__3[[#This Row],[Quantity]]*Excel_Advanced_Sales_Dataset_2000__3[[#This Row],[Unit Price]]-Excel_Advanced_Sales_Dataset_2000__3[[#This Row],[Discount Amount]]</f>
        <v>650541.93746399996</v>
      </c>
    </row>
    <row r="127" spans="1:20" x14ac:dyDescent="0.25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>
        <v>15</v>
      </c>
      <c r="J127" s="4">
        <v>20640.75</v>
      </c>
      <c r="K127" s="6">
        <v>19.97</v>
      </c>
      <c r="L127" s="4">
        <v>247781.88</v>
      </c>
      <c r="M127" s="4" t="str" cm="1">
        <f t="array" ref="M127">IF(Excel_Advanced_Sales_Dataset_2000__3[[#This Row],[Total Sales]]&gt;50000,{"Yes"},{"No"})</f>
        <v>Yes</v>
      </c>
      <c r="N127" s="5">
        <v>46375</v>
      </c>
      <c r="O127" s="1" t="s">
        <v>113</v>
      </c>
      <c r="P127" t="s">
        <v>35</v>
      </c>
      <c r="Q127" t="str">
        <f>IF(Excel_Advanced_Sales_Dataset_2000__3[[#This Row],[Delivery Status]]="Pending","Follow Up","Ok")</f>
        <v>Ok</v>
      </c>
      <c r="R127" s="1" t="s">
        <v>53</v>
      </c>
      <c r="S127">
        <f>Excel_Advanced_Sales_Dataset_2000__3[[#This Row],[Quantity]]*Excel_Advanced_Sales_Dataset_2000__3[[#This Row],[Unit Price]]*Excel_Advanced_Sales_Dataset_2000__3[[#This Row],[Discount %]]/100</f>
        <v>61829.366624999995</v>
      </c>
      <c r="T127" s="4">
        <f>Excel_Advanced_Sales_Dataset_2000__3[[#This Row],[Quantity]]*Excel_Advanced_Sales_Dataset_2000__3[[#This Row],[Unit Price]]-Excel_Advanced_Sales_Dataset_2000__3[[#This Row],[Discount Amount]]</f>
        <v>247781.883375</v>
      </c>
    </row>
    <row r="128" spans="1:20" x14ac:dyDescent="0.25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>
        <v>18</v>
      </c>
      <c r="J128" s="4">
        <v>10736.67</v>
      </c>
      <c r="K128" s="6">
        <v>6.78</v>
      </c>
      <c r="L128" s="4">
        <v>180157.03</v>
      </c>
      <c r="M128" s="4" t="str" cm="1">
        <f t="array" ref="M128">IF(Excel_Advanced_Sales_Dataset_2000__3[[#This Row],[Total Sales]]&gt;50000,{"Yes"},{"No"})</f>
        <v>Yes</v>
      </c>
      <c r="N128" s="5">
        <v>46330</v>
      </c>
      <c r="O128" s="1" t="s">
        <v>113</v>
      </c>
      <c r="P128" t="s">
        <v>35</v>
      </c>
      <c r="Q128" t="str">
        <f>IF(Excel_Advanced_Sales_Dataset_2000__3[[#This Row],[Delivery Status]]="Pending","Follow Up","Ok")</f>
        <v>Ok</v>
      </c>
      <c r="R128" s="1" t="s">
        <v>53</v>
      </c>
      <c r="S128">
        <f>Excel_Advanced_Sales_Dataset_2000__3[[#This Row],[Quantity]]*Excel_Advanced_Sales_Dataset_2000__3[[#This Row],[Unit Price]]*Excel_Advanced_Sales_Dataset_2000__3[[#This Row],[Discount %]]/100</f>
        <v>13103.032068</v>
      </c>
      <c r="T128" s="4">
        <f>Excel_Advanced_Sales_Dataset_2000__3[[#This Row],[Quantity]]*Excel_Advanced_Sales_Dataset_2000__3[[#This Row],[Unit Price]]-Excel_Advanced_Sales_Dataset_2000__3[[#This Row],[Discount Amount]]</f>
        <v>180157.027932</v>
      </c>
    </row>
    <row r="129" spans="1:20" x14ac:dyDescent="0.25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>
        <v>16</v>
      </c>
      <c r="J129" s="4">
        <v>33032.69</v>
      </c>
      <c r="K129" s="6">
        <v>8.98</v>
      </c>
      <c r="L129" s="4">
        <v>481061.67</v>
      </c>
      <c r="M129" s="4" t="str" cm="1">
        <f t="array" ref="M129">IF(Excel_Advanced_Sales_Dataset_2000__3[[#This Row],[Total Sales]]&gt;50000,{"Yes"},{"No"})</f>
        <v>Yes</v>
      </c>
      <c r="N129" s="5">
        <v>46106</v>
      </c>
      <c r="O129" s="1" t="s">
        <v>24</v>
      </c>
      <c r="P129" t="s">
        <v>35</v>
      </c>
      <c r="Q129" t="str">
        <f>IF(Excel_Advanced_Sales_Dataset_2000__3[[#This Row],[Delivery Status]]="Pending","Follow Up","Ok")</f>
        <v>Ok</v>
      </c>
      <c r="R129" s="1" t="s">
        <v>36</v>
      </c>
      <c r="S129">
        <f>Excel_Advanced_Sales_Dataset_2000__3[[#This Row],[Quantity]]*Excel_Advanced_Sales_Dataset_2000__3[[#This Row],[Unit Price]]*Excel_Advanced_Sales_Dataset_2000__3[[#This Row],[Discount %]]/100</f>
        <v>47461.368992000011</v>
      </c>
      <c r="T129" s="4">
        <f>Excel_Advanced_Sales_Dataset_2000__3[[#This Row],[Quantity]]*Excel_Advanced_Sales_Dataset_2000__3[[#This Row],[Unit Price]]-Excel_Advanced_Sales_Dataset_2000__3[[#This Row],[Discount Amount]]</f>
        <v>481061.67100800003</v>
      </c>
    </row>
    <row r="130" spans="1:20" x14ac:dyDescent="0.25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>
        <v>16</v>
      </c>
      <c r="J130" s="4">
        <v>15802.32</v>
      </c>
      <c r="K130" s="6">
        <v>7.11</v>
      </c>
      <c r="L130" s="4">
        <v>234860.4</v>
      </c>
      <c r="M130" s="4" t="str" cm="1">
        <f t="array" ref="M130">IF(Excel_Advanced_Sales_Dataset_2000__3[[#This Row],[Total Sales]]&gt;50000,{"Yes"},{"No"})</f>
        <v>Yes</v>
      </c>
      <c r="N130" s="5">
        <v>46367</v>
      </c>
      <c r="O130" s="1" t="s">
        <v>113</v>
      </c>
      <c r="P130" t="s">
        <v>35</v>
      </c>
      <c r="Q130" t="str">
        <f>IF(Excel_Advanced_Sales_Dataset_2000__3[[#This Row],[Delivery Status]]="Pending","Follow Up","Ok")</f>
        <v>Ok</v>
      </c>
      <c r="R130" s="1" t="s">
        <v>53</v>
      </c>
      <c r="S130">
        <f>Excel_Advanced_Sales_Dataset_2000__3[[#This Row],[Quantity]]*Excel_Advanced_Sales_Dataset_2000__3[[#This Row],[Unit Price]]*Excel_Advanced_Sales_Dataset_2000__3[[#This Row],[Discount %]]/100</f>
        <v>17976.719231999999</v>
      </c>
      <c r="T130" s="4">
        <f>Excel_Advanced_Sales_Dataset_2000__3[[#This Row],[Quantity]]*Excel_Advanced_Sales_Dataset_2000__3[[#This Row],[Unit Price]]-Excel_Advanced_Sales_Dataset_2000__3[[#This Row],[Discount Amount]]</f>
        <v>234860.40076799999</v>
      </c>
    </row>
    <row r="131" spans="1:20" x14ac:dyDescent="0.25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>
        <v>19</v>
      </c>
      <c r="J131" s="4">
        <v>38935.81</v>
      </c>
      <c r="K131" s="6">
        <v>5.31</v>
      </c>
      <c r="L131" s="4">
        <v>700498.05</v>
      </c>
      <c r="M131" s="4" t="str" cm="1">
        <f t="array" ref="M131">IF(Excel_Advanced_Sales_Dataset_2000__3[[#This Row],[Total Sales]]&gt;50000,{"Yes"},{"No"})</f>
        <v>Yes</v>
      </c>
      <c r="N131" s="5">
        <v>46141</v>
      </c>
      <c r="O131" s="1" t="s">
        <v>24</v>
      </c>
      <c r="P131" t="s">
        <v>35</v>
      </c>
      <c r="Q131" t="str">
        <f>IF(Excel_Advanced_Sales_Dataset_2000__3[[#This Row],[Delivery Status]]="Pending","Follow Up","Ok")</f>
        <v>Ok</v>
      </c>
      <c r="R131" s="1" t="s">
        <v>36</v>
      </c>
      <c r="S131">
        <f>Excel_Advanced_Sales_Dataset_2000__3[[#This Row],[Quantity]]*Excel_Advanced_Sales_Dataset_2000__3[[#This Row],[Unit Price]]*Excel_Advanced_Sales_Dataset_2000__3[[#This Row],[Discount %]]/100</f>
        <v>39282.338708999989</v>
      </c>
      <c r="T131" s="4">
        <f>Excel_Advanced_Sales_Dataset_2000__3[[#This Row],[Quantity]]*Excel_Advanced_Sales_Dataset_2000__3[[#This Row],[Unit Price]]-Excel_Advanced_Sales_Dataset_2000__3[[#This Row],[Discount Amount]]</f>
        <v>700498.05129099987</v>
      </c>
    </row>
    <row r="132" spans="1:20" x14ac:dyDescent="0.25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>
        <v>44</v>
      </c>
      <c r="J132" s="4">
        <v>45740.58</v>
      </c>
      <c r="K132" s="6">
        <v>13.01</v>
      </c>
      <c r="L132" s="4">
        <v>1750748.14</v>
      </c>
      <c r="M132" s="4" t="str" cm="1">
        <f t="array" ref="M132">IF(Excel_Advanced_Sales_Dataset_2000__3[[#This Row],[Total Sales]]&gt;50000,{"Yes"},{"No"})</f>
        <v>Yes</v>
      </c>
      <c r="N132" s="5">
        <v>46194</v>
      </c>
      <c r="O132" s="1" t="s">
        <v>45</v>
      </c>
      <c r="P132" t="s">
        <v>25</v>
      </c>
      <c r="Q132" t="str">
        <f>IF(Excel_Advanced_Sales_Dataset_2000__3[[#This Row],[Delivery Status]]="Pending","Follow Up","Ok")</f>
        <v>Follow Up</v>
      </c>
      <c r="R132" s="1" t="s">
        <v>53</v>
      </c>
      <c r="S132">
        <f>Excel_Advanced_Sales_Dataset_2000__3[[#This Row],[Quantity]]*Excel_Advanced_Sales_Dataset_2000__3[[#This Row],[Unit Price]]*Excel_Advanced_Sales_Dataset_2000__3[[#This Row],[Discount %]]/100</f>
        <v>261837.37615199998</v>
      </c>
      <c r="T132" s="4">
        <f>Excel_Advanced_Sales_Dataset_2000__3[[#This Row],[Quantity]]*Excel_Advanced_Sales_Dataset_2000__3[[#This Row],[Unit Price]]-Excel_Advanced_Sales_Dataset_2000__3[[#This Row],[Discount Amount]]</f>
        <v>1750748.1438480001</v>
      </c>
    </row>
    <row r="133" spans="1:20" x14ac:dyDescent="0.25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>
        <v>7</v>
      </c>
      <c r="J133" s="4">
        <v>10596.77</v>
      </c>
      <c r="K133" s="6">
        <v>11.12</v>
      </c>
      <c r="L133" s="4">
        <v>65928.86</v>
      </c>
      <c r="M133" s="4" t="str" cm="1">
        <f t="array" ref="M133">IF(Excel_Advanced_Sales_Dataset_2000__3[[#This Row],[Total Sales]]&gt;50000,{"Yes"},{"No"})</f>
        <v>Yes</v>
      </c>
      <c r="N133" s="5">
        <v>46199</v>
      </c>
      <c r="O133" s="1" t="s">
        <v>113</v>
      </c>
      <c r="P133" t="s">
        <v>35</v>
      </c>
      <c r="Q133" t="str">
        <f>IF(Excel_Advanced_Sales_Dataset_2000__3[[#This Row],[Delivery Status]]="Pending","Follow Up","Ok")</f>
        <v>Ok</v>
      </c>
      <c r="R133" s="1" t="s">
        <v>26</v>
      </c>
      <c r="S133">
        <f>Excel_Advanced_Sales_Dataset_2000__3[[#This Row],[Quantity]]*Excel_Advanced_Sales_Dataset_2000__3[[#This Row],[Unit Price]]*Excel_Advanced_Sales_Dataset_2000__3[[#This Row],[Discount %]]/100</f>
        <v>8248.5257679999995</v>
      </c>
      <c r="T133" s="4">
        <f>Excel_Advanced_Sales_Dataset_2000__3[[#This Row],[Quantity]]*Excel_Advanced_Sales_Dataset_2000__3[[#This Row],[Unit Price]]-Excel_Advanced_Sales_Dataset_2000__3[[#This Row],[Discount Amount]]</f>
        <v>65928.864231999993</v>
      </c>
    </row>
    <row r="134" spans="1:20" x14ac:dyDescent="0.25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>
        <v>49</v>
      </c>
      <c r="J134" s="4">
        <v>17519.599999999999</v>
      </c>
      <c r="K134" s="6">
        <v>12.94</v>
      </c>
      <c r="L134" s="4">
        <v>747375.62</v>
      </c>
      <c r="M134" s="4" t="str" cm="1">
        <f t="array" ref="M134">IF(Excel_Advanced_Sales_Dataset_2000__3[[#This Row],[Total Sales]]&gt;50000,{"Yes"},{"No"})</f>
        <v>Yes</v>
      </c>
      <c r="N134" s="5">
        <v>46146</v>
      </c>
      <c r="O134" s="1" t="s">
        <v>24</v>
      </c>
      <c r="P134" t="s">
        <v>35</v>
      </c>
      <c r="Q134" t="str">
        <f>IF(Excel_Advanced_Sales_Dataset_2000__3[[#This Row],[Delivery Status]]="Pending","Follow Up","Ok")</f>
        <v>Ok</v>
      </c>
      <c r="R134" s="1" t="s">
        <v>53</v>
      </c>
      <c r="S134">
        <f>Excel_Advanced_Sales_Dataset_2000__3[[#This Row],[Quantity]]*Excel_Advanced_Sales_Dataset_2000__3[[#This Row],[Unit Price]]*Excel_Advanced_Sales_Dataset_2000__3[[#This Row],[Discount %]]/100</f>
        <v>111084.77575999997</v>
      </c>
      <c r="T134" s="4">
        <f>Excel_Advanced_Sales_Dataset_2000__3[[#This Row],[Quantity]]*Excel_Advanced_Sales_Dataset_2000__3[[#This Row],[Unit Price]]-Excel_Advanced_Sales_Dataset_2000__3[[#This Row],[Discount Amount]]</f>
        <v>747375.62423999992</v>
      </c>
    </row>
    <row r="135" spans="1:20" x14ac:dyDescent="0.25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>
        <v>30</v>
      </c>
      <c r="J135" s="4">
        <v>25280.85</v>
      </c>
      <c r="K135" s="6">
        <v>12.58</v>
      </c>
      <c r="L135" s="4">
        <v>663015.56999999995</v>
      </c>
      <c r="M135" s="4" t="str" cm="1">
        <f t="array" ref="M135">IF(Excel_Advanced_Sales_Dataset_2000__3[[#This Row],[Total Sales]]&gt;50000,{"Yes"},{"No"})</f>
        <v>Yes</v>
      </c>
      <c r="N135" s="5">
        <v>46052</v>
      </c>
      <c r="O135" s="1" t="s">
        <v>68</v>
      </c>
      <c r="P135" t="s">
        <v>35</v>
      </c>
      <c r="Q135" t="str">
        <f>IF(Excel_Advanced_Sales_Dataset_2000__3[[#This Row],[Delivery Status]]="Pending","Follow Up","Ok")</f>
        <v>Ok</v>
      </c>
      <c r="R135" s="1" t="s">
        <v>26</v>
      </c>
      <c r="S135">
        <f>Excel_Advanced_Sales_Dataset_2000__3[[#This Row],[Quantity]]*Excel_Advanced_Sales_Dataset_2000__3[[#This Row],[Unit Price]]*Excel_Advanced_Sales_Dataset_2000__3[[#This Row],[Discount %]]/100</f>
        <v>95409.92790000001</v>
      </c>
      <c r="T135" s="4">
        <f>Excel_Advanced_Sales_Dataset_2000__3[[#This Row],[Quantity]]*Excel_Advanced_Sales_Dataset_2000__3[[#This Row],[Unit Price]]-Excel_Advanced_Sales_Dataset_2000__3[[#This Row],[Discount Amount]]</f>
        <v>663015.57209999999</v>
      </c>
    </row>
    <row r="136" spans="1:20" x14ac:dyDescent="0.25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>
        <v>48</v>
      </c>
      <c r="J136" s="4">
        <v>27932.95</v>
      </c>
      <c r="K136" s="6">
        <v>16.14</v>
      </c>
      <c r="L136" s="4">
        <v>1124379.45</v>
      </c>
      <c r="M136" s="4" t="str" cm="1">
        <f t="array" ref="M136">IF(Excel_Advanced_Sales_Dataset_2000__3[[#This Row],[Total Sales]]&gt;50000,{"Yes"},{"No"})</f>
        <v>Yes</v>
      </c>
      <c r="N136" s="5">
        <v>46130</v>
      </c>
      <c r="O136" s="1" t="s">
        <v>24</v>
      </c>
      <c r="P136" t="s">
        <v>59</v>
      </c>
      <c r="Q136" t="str">
        <f>IF(Excel_Advanced_Sales_Dataset_2000__3[[#This Row],[Delivery Status]]="Pending","Follow Up","Ok")</f>
        <v>Ok</v>
      </c>
      <c r="R136" s="1" t="s">
        <v>36</v>
      </c>
      <c r="S136">
        <f>Excel_Advanced_Sales_Dataset_2000__3[[#This Row],[Quantity]]*Excel_Advanced_Sales_Dataset_2000__3[[#This Row],[Unit Price]]*Excel_Advanced_Sales_Dataset_2000__3[[#This Row],[Discount %]]/100</f>
        <v>216402.15024000005</v>
      </c>
      <c r="T136" s="4">
        <f>Excel_Advanced_Sales_Dataset_2000__3[[#This Row],[Quantity]]*Excel_Advanced_Sales_Dataset_2000__3[[#This Row],[Unit Price]]-Excel_Advanced_Sales_Dataset_2000__3[[#This Row],[Discount Amount]]</f>
        <v>1124379.44976</v>
      </c>
    </row>
    <row r="137" spans="1:20" x14ac:dyDescent="0.25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>
        <v>49</v>
      </c>
      <c r="J137" s="4">
        <v>34321.01</v>
      </c>
      <c r="K137" s="6">
        <v>8.56</v>
      </c>
      <c r="L137" s="4">
        <v>1537773.45</v>
      </c>
      <c r="M137" s="4" t="str" cm="1">
        <f t="array" ref="M137">IF(Excel_Advanced_Sales_Dataset_2000__3[[#This Row],[Total Sales]]&gt;50000,{"Yes"},{"No"})</f>
        <v>Yes</v>
      </c>
      <c r="N137" s="5">
        <v>46154</v>
      </c>
      <c r="O137" s="1" t="s">
        <v>113</v>
      </c>
      <c r="P137" t="s">
        <v>35</v>
      </c>
      <c r="Q137" t="str">
        <f>IF(Excel_Advanced_Sales_Dataset_2000__3[[#This Row],[Delivery Status]]="Pending","Follow Up","Ok")</f>
        <v>Ok</v>
      </c>
      <c r="R137" s="1" t="s">
        <v>26</v>
      </c>
      <c r="S137">
        <f>Excel_Advanced_Sales_Dataset_2000__3[[#This Row],[Quantity]]*Excel_Advanced_Sales_Dataset_2000__3[[#This Row],[Unit Price]]*Excel_Advanced_Sales_Dataset_2000__3[[#This Row],[Discount %]]/100</f>
        <v>143956.04434400002</v>
      </c>
      <c r="T137" s="4">
        <f>Excel_Advanced_Sales_Dataset_2000__3[[#This Row],[Quantity]]*Excel_Advanced_Sales_Dataset_2000__3[[#This Row],[Unit Price]]-Excel_Advanced_Sales_Dataset_2000__3[[#This Row],[Discount Amount]]</f>
        <v>1537773.4456559999</v>
      </c>
    </row>
    <row r="138" spans="1:20" x14ac:dyDescent="0.25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>
        <v>34</v>
      </c>
      <c r="J138" s="4">
        <v>2140.2800000000002</v>
      </c>
      <c r="K138" s="6">
        <v>19.68</v>
      </c>
      <c r="L138" s="4">
        <v>58448.480000000003</v>
      </c>
      <c r="M138" s="4" t="str" cm="1">
        <f t="array" ref="M138">IF(Excel_Advanced_Sales_Dataset_2000__3[[#This Row],[Total Sales]]&gt;50000,{"Yes"},{"No"})</f>
        <v>Yes</v>
      </c>
      <c r="N138" s="5">
        <v>46073</v>
      </c>
      <c r="O138" s="1" t="s">
        <v>45</v>
      </c>
      <c r="P138" t="s">
        <v>35</v>
      </c>
      <c r="Q138" t="str">
        <f>IF(Excel_Advanced_Sales_Dataset_2000__3[[#This Row],[Delivery Status]]="Pending","Follow Up","Ok")</f>
        <v>Ok</v>
      </c>
      <c r="R138" s="1" t="s">
        <v>26</v>
      </c>
      <c r="S138">
        <f>Excel_Advanced_Sales_Dataset_2000__3[[#This Row],[Quantity]]*Excel_Advanced_Sales_Dataset_2000__3[[#This Row],[Unit Price]]*Excel_Advanced_Sales_Dataset_2000__3[[#This Row],[Discount %]]/100</f>
        <v>14321.041536000001</v>
      </c>
      <c r="T138" s="4">
        <f>Excel_Advanced_Sales_Dataset_2000__3[[#This Row],[Quantity]]*Excel_Advanced_Sales_Dataset_2000__3[[#This Row],[Unit Price]]-Excel_Advanced_Sales_Dataset_2000__3[[#This Row],[Discount Amount]]</f>
        <v>58448.478464</v>
      </c>
    </row>
    <row r="139" spans="1:20" x14ac:dyDescent="0.25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>
        <v>37</v>
      </c>
      <c r="J139" s="4">
        <v>33592.39</v>
      </c>
      <c r="K139" s="6">
        <v>1.32</v>
      </c>
      <c r="L139" s="4">
        <v>1226511.9099999999</v>
      </c>
      <c r="M139" s="4" t="str" cm="1">
        <f t="array" ref="M139">IF(Excel_Advanced_Sales_Dataset_2000__3[[#This Row],[Total Sales]]&gt;50000,{"Yes"},{"No"})</f>
        <v>Yes</v>
      </c>
      <c r="N139" s="5">
        <v>46093</v>
      </c>
      <c r="O139" s="1" t="s">
        <v>113</v>
      </c>
      <c r="P139" t="s">
        <v>35</v>
      </c>
      <c r="Q139" t="str">
        <f>IF(Excel_Advanced_Sales_Dataset_2000__3[[#This Row],[Delivery Status]]="Pending","Follow Up","Ok")</f>
        <v>Ok</v>
      </c>
      <c r="R139" s="1" t="s">
        <v>36</v>
      </c>
      <c r="S139">
        <f>Excel_Advanced_Sales_Dataset_2000__3[[#This Row],[Quantity]]*Excel_Advanced_Sales_Dataset_2000__3[[#This Row],[Unit Price]]*Excel_Advanced_Sales_Dataset_2000__3[[#This Row],[Discount %]]/100</f>
        <v>16406.523276</v>
      </c>
      <c r="T139" s="4">
        <f>Excel_Advanced_Sales_Dataset_2000__3[[#This Row],[Quantity]]*Excel_Advanced_Sales_Dataset_2000__3[[#This Row],[Unit Price]]-Excel_Advanced_Sales_Dataset_2000__3[[#This Row],[Discount Amount]]</f>
        <v>1226511.9067239999</v>
      </c>
    </row>
    <row r="140" spans="1:20" x14ac:dyDescent="0.25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>
        <v>22</v>
      </c>
      <c r="J140" s="4">
        <v>15039.39</v>
      </c>
      <c r="K140" s="6">
        <v>17.25</v>
      </c>
      <c r="L140" s="4">
        <v>273792.09000000003</v>
      </c>
      <c r="M140" s="4" t="str" cm="1">
        <f t="array" ref="M140">IF(Excel_Advanced_Sales_Dataset_2000__3[[#This Row],[Total Sales]]&gt;50000,{"Yes"},{"No"})</f>
        <v>Yes</v>
      </c>
      <c r="N140" s="5">
        <v>46142</v>
      </c>
      <c r="O140" s="1" t="s">
        <v>24</v>
      </c>
      <c r="P140" t="s">
        <v>35</v>
      </c>
      <c r="Q140" t="str">
        <f>IF(Excel_Advanced_Sales_Dataset_2000__3[[#This Row],[Delivery Status]]="Pending","Follow Up","Ok")</f>
        <v>Ok</v>
      </c>
      <c r="R140" s="1" t="s">
        <v>36</v>
      </c>
      <c r="S140">
        <f>Excel_Advanced_Sales_Dataset_2000__3[[#This Row],[Quantity]]*Excel_Advanced_Sales_Dataset_2000__3[[#This Row],[Unit Price]]*Excel_Advanced_Sales_Dataset_2000__3[[#This Row],[Discount %]]/100</f>
        <v>57074.485049999988</v>
      </c>
      <c r="T140" s="4">
        <f>Excel_Advanced_Sales_Dataset_2000__3[[#This Row],[Quantity]]*Excel_Advanced_Sales_Dataset_2000__3[[#This Row],[Unit Price]]-Excel_Advanced_Sales_Dataset_2000__3[[#This Row],[Discount Amount]]</f>
        <v>273792.09494999994</v>
      </c>
    </row>
    <row r="141" spans="1:20" x14ac:dyDescent="0.25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>
        <v>11</v>
      </c>
      <c r="J141" s="4">
        <v>26619.37</v>
      </c>
      <c r="K141" s="6">
        <v>3.1</v>
      </c>
      <c r="L141" s="4">
        <v>283735.86</v>
      </c>
      <c r="M141" s="4" t="str" cm="1">
        <f t="array" ref="M141">IF(Excel_Advanced_Sales_Dataset_2000__3[[#This Row],[Total Sales]]&gt;50000,{"Yes"},{"No"})</f>
        <v>Yes</v>
      </c>
      <c r="N141" s="5">
        <v>46217</v>
      </c>
      <c r="O141" s="1" t="s">
        <v>58</v>
      </c>
      <c r="P141" t="s">
        <v>35</v>
      </c>
      <c r="Q141" t="str">
        <f>IF(Excel_Advanced_Sales_Dataset_2000__3[[#This Row],[Delivery Status]]="Pending","Follow Up","Ok")</f>
        <v>Ok</v>
      </c>
      <c r="R141" s="1" t="s">
        <v>53</v>
      </c>
      <c r="S141">
        <f>Excel_Advanced_Sales_Dataset_2000__3[[#This Row],[Quantity]]*Excel_Advanced_Sales_Dataset_2000__3[[#This Row],[Unit Price]]*Excel_Advanced_Sales_Dataset_2000__3[[#This Row],[Discount %]]/100</f>
        <v>9077.2051699999993</v>
      </c>
      <c r="T141" s="4">
        <f>Excel_Advanced_Sales_Dataset_2000__3[[#This Row],[Quantity]]*Excel_Advanced_Sales_Dataset_2000__3[[#This Row],[Unit Price]]-Excel_Advanced_Sales_Dataset_2000__3[[#This Row],[Discount Amount]]</f>
        <v>283735.86483000003</v>
      </c>
    </row>
    <row r="142" spans="1:20" x14ac:dyDescent="0.25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>
        <v>17</v>
      </c>
      <c r="J142" s="4">
        <v>2486.5</v>
      </c>
      <c r="K142" s="6">
        <v>4.5999999999999996</v>
      </c>
      <c r="L142" s="4">
        <v>40326.06</v>
      </c>
      <c r="M142" s="4" t="str" cm="1">
        <f t="array" ref="M142">IF(Excel_Advanced_Sales_Dataset_2000__3[[#This Row],[Total Sales]]&gt;50000,{"Yes"},{"No"})</f>
        <v>No</v>
      </c>
      <c r="N142" s="5">
        <v>46058</v>
      </c>
      <c r="O142" s="1" t="s">
        <v>24</v>
      </c>
      <c r="P142" t="s">
        <v>35</v>
      </c>
      <c r="Q142" t="str">
        <f>IF(Excel_Advanced_Sales_Dataset_2000__3[[#This Row],[Delivery Status]]="Pending","Follow Up","Ok")</f>
        <v>Ok</v>
      </c>
      <c r="R142" s="1" t="s">
        <v>26</v>
      </c>
      <c r="S142">
        <f>Excel_Advanced_Sales_Dataset_2000__3[[#This Row],[Quantity]]*Excel_Advanced_Sales_Dataset_2000__3[[#This Row],[Unit Price]]*Excel_Advanced_Sales_Dataset_2000__3[[#This Row],[Discount %]]/100</f>
        <v>1944.443</v>
      </c>
      <c r="T142" s="4">
        <f>Excel_Advanced_Sales_Dataset_2000__3[[#This Row],[Quantity]]*Excel_Advanced_Sales_Dataset_2000__3[[#This Row],[Unit Price]]-Excel_Advanced_Sales_Dataset_2000__3[[#This Row],[Discount Amount]]</f>
        <v>40326.057000000001</v>
      </c>
    </row>
    <row r="143" spans="1:20" x14ac:dyDescent="0.25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>
        <v>44</v>
      </c>
      <c r="J143" s="4">
        <v>9290.35</v>
      </c>
      <c r="K143" s="6">
        <v>9.68</v>
      </c>
      <c r="L143" s="4">
        <v>369205.94</v>
      </c>
      <c r="M143" s="4" t="str" cm="1">
        <f t="array" ref="M143">IF(Excel_Advanced_Sales_Dataset_2000__3[[#This Row],[Total Sales]]&gt;50000,{"Yes"},{"No"})</f>
        <v>Yes</v>
      </c>
      <c r="N143" s="5">
        <v>46340</v>
      </c>
      <c r="O143" s="1" t="s">
        <v>68</v>
      </c>
      <c r="P143" t="s">
        <v>35</v>
      </c>
      <c r="Q143" t="str">
        <f>IF(Excel_Advanced_Sales_Dataset_2000__3[[#This Row],[Delivery Status]]="Pending","Follow Up","Ok")</f>
        <v>Ok</v>
      </c>
      <c r="R143" s="1" t="s">
        <v>36</v>
      </c>
      <c r="S143">
        <f>Excel_Advanced_Sales_Dataset_2000__3[[#This Row],[Quantity]]*Excel_Advanced_Sales_Dataset_2000__3[[#This Row],[Unit Price]]*Excel_Advanced_Sales_Dataset_2000__3[[#This Row],[Discount %]]/100</f>
        <v>39569.458720000002</v>
      </c>
      <c r="T143" s="4">
        <f>Excel_Advanced_Sales_Dataset_2000__3[[#This Row],[Quantity]]*Excel_Advanced_Sales_Dataset_2000__3[[#This Row],[Unit Price]]-Excel_Advanced_Sales_Dataset_2000__3[[#This Row],[Discount Amount]]</f>
        <v>369205.94128000003</v>
      </c>
    </row>
    <row r="144" spans="1:20" x14ac:dyDescent="0.25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>
        <v>49</v>
      </c>
      <c r="J144" s="4">
        <v>33550.58</v>
      </c>
      <c r="K144" s="6">
        <v>19.09</v>
      </c>
      <c r="L144" s="4">
        <v>1330142.94</v>
      </c>
      <c r="M144" s="4" t="str" cm="1">
        <f t="array" ref="M144">IF(Excel_Advanced_Sales_Dataset_2000__3[[#This Row],[Total Sales]]&gt;50000,{"Yes"},{"No"})</f>
        <v>Yes</v>
      </c>
      <c r="N144" s="5">
        <v>46064</v>
      </c>
      <c r="O144" s="1" t="s">
        <v>24</v>
      </c>
      <c r="P144" t="s">
        <v>35</v>
      </c>
      <c r="Q144" t="str">
        <f>IF(Excel_Advanced_Sales_Dataset_2000__3[[#This Row],[Delivery Status]]="Pending","Follow Up","Ok")</f>
        <v>Ok</v>
      </c>
      <c r="R144" s="1" t="s">
        <v>53</v>
      </c>
      <c r="S144">
        <f>Excel_Advanced_Sales_Dataset_2000__3[[#This Row],[Quantity]]*Excel_Advanced_Sales_Dataset_2000__3[[#This Row],[Unit Price]]*Excel_Advanced_Sales_Dataset_2000__3[[#This Row],[Discount %]]/100</f>
        <v>313835.48037800001</v>
      </c>
      <c r="T144" s="4">
        <f>Excel_Advanced_Sales_Dataset_2000__3[[#This Row],[Quantity]]*Excel_Advanced_Sales_Dataset_2000__3[[#This Row],[Unit Price]]-Excel_Advanced_Sales_Dataset_2000__3[[#This Row],[Discount Amount]]</f>
        <v>1330142.9396220001</v>
      </c>
    </row>
    <row r="145" spans="1:20" x14ac:dyDescent="0.25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>
        <v>10</v>
      </c>
      <c r="J145" s="4">
        <v>32462.99</v>
      </c>
      <c r="K145" s="6">
        <v>6.6</v>
      </c>
      <c r="L145" s="4">
        <v>303204.33</v>
      </c>
      <c r="M145" s="4" t="str" cm="1">
        <f t="array" ref="M145">IF(Excel_Advanced_Sales_Dataset_2000__3[[#This Row],[Total Sales]]&gt;50000,{"Yes"},{"No"})</f>
        <v>Yes</v>
      </c>
      <c r="N145" s="5">
        <v>46093</v>
      </c>
      <c r="O145" s="1" t="s">
        <v>58</v>
      </c>
      <c r="P145" t="s">
        <v>35</v>
      </c>
      <c r="Q145" t="str">
        <f>IF(Excel_Advanced_Sales_Dataset_2000__3[[#This Row],[Delivery Status]]="Pending","Follow Up","Ok")</f>
        <v>Ok</v>
      </c>
      <c r="R145" s="1" t="s">
        <v>53</v>
      </c>
      <c r="S145">
        <f>Excel_Advanced_Sales_Dataset_2000__3[[#This Row],[Quantity]]*Excel_Advanced_Sales_Dataset_2000__3[[#This Row],[Unit Price]]*Excel_Advanced_Sales_Dataset_2000__3[[#This Row],[Discount %]]/100</f>
        <v>21425.573399999997</v>
      </c>
      <c r="T145" s="4">
        <f>Excel_Advanced_Sales_Dataset_2000__3[[#This Row],[Quantity]]*Excel_Advanced_Sales_Dataset_2000__3[[#This Row],[Unit Price]]-Excel_Advanced_Sales_Dataset_2000__3[[#This Row],[Discount Amount]]</f>
        <v>303204.32660000003</v>
      </c>
    </row>
    <row r="146" spans="1:20" x14ac:dyDescent="0.25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>
        <v>43</v>
      </c>
      <c r="J146" s="4">
        <v>37568.15</v>
      </c>
      <c r="K146" s="6">
        <v>7.79</v>
      </c>
      <c r="L146" s="4">
        <v>1489588.42</v>
      </c>
      <c r="M146" s="4" t="str" cm="1">
        <f t="array" ref="M146">IF(Excel_Advanced_Sales_Dataset_2000__3[[#This Row],[Total Sales]]&gt;50000,{"Yes"},{"No"})</f>
        <v>Yes</v>
      </c>
      <c r="N146" s="5">
        <v>46366</v>
      </c>
      <c r="O146" s="1" t="s">
        <v>58</v>
      </c>
      <c r="P146" t="s">
        <v>35</v>
      </c>
      <c r="Q146" t="str">
        <f>IF(Excel_Advanced_Sales_Dataset_2000__3[[#This Row],[Delivery Status]]="Pending","Follow Up","Ok")</f>
        <v>Ok</v>
      </c>
      <c r="R146" s="1" t="s">
        <v>36</v>
      </c>
      <c r="S146">
        <f>Excel_Advanced_Sales_Dataset_2000__3[[#This Row],[Quantity]]*Excel_Advanced_Sales_Dataset_2000__3[[#This Row],[Unit Price]]*Excel_Advanced_Sales_Dataset_2000__3[[#This Row],[Discount %]]/100</f>
        <v>125842.03205499999</v>
      </c>
      <c r="T146" s="4">
        <f>Excel_Advanced_Sales_Dataset_2000__3[[#This Row],[Quantity]]*Excel_Advanced_Sales_Dataset_2000__3[[#This Row],[Unit Price]]-Excel_Advanced_Sales_Dataset_2000__3[[#This Row],[Discount Amount]]</f>
        <v>1489588.4179449999</v>
      </c>
    </row>
    <row r="147" spans="1:20" x14ac:dyDescent="0.25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>
        <v>30</v>
      </c>
      <c r="J147" s="4">
        <v>8742.27</v>
      </c>
      <c r="K147" s="6">
        <v>14.34</v>
      </c>
      <c r="L147" s="4">
        <v>224658.85</v>
      </c>
      <c r="M147" s="4" t="str" cm="1">
        <f t="array" ref="M147">IF(Excel_Advanced_Sales_Dataset_2000__3[[#This Row],[Total Sales]]&gt;50000,{"Yes"},{"No"})</f>
        <v>Yes</v>
      </c>
      <c r="N147" s="5">
        <v>46130</v>
      </c>
      <c r="O147" s="1" t="s">
        <v>24</v>
      </c>
      <c r="P147" t="s">
        <v>35</v>
      </c>
      <c r="Q147" t="str">
        <f>IF(Excel_Advanced_Sales_Dataset_2000__3[[#This Row],[Delivery Status]]="Pending","Follow Up","Ok")</f>
        <v>Ok</v>
      </c>
      <c r="R147" s="1" t="s">
        <v>53</v>
      </c>
      <c r="S147">
        <f>Excel_Advanced_Sales_Dataset_2000__3[[#This Row],[Quantity]]*Excel_Advanced_Sales_Dataset_2000__3[[#This Row],[Unit Price]]*Excel_Advanced_Sales_Dataset_2000__3[[#This Row],[Discount %]]/100</f>
        <v>37609.245540000004</v>
      </c>
      <c r="T147" s="4">
        <f>Excel_Advanced_Sales_Dataset_2000__3[[#This Row],[Quantity]]*Excel_Advanced_Sales_Dataset_2000__3[[#This Row],[Unit Price]]-Excel_Advanced_Sales_Dataset_2000__3[[#This Row],[Discount Amount]]</f>
        <v>224658.85446000003</v>
      </c>
    </row>
    <row r="148" spans="1:20" x14ac:dyDescent="0.25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>
        <v>43</v>
      </c>
      <c r="J148" s="4">
        <v>24551.42</v>
      </c>
      <c r="K148" s="6">
        <v>8.1</v>
      </c>
      <c r="L148" s="4">
        <v>970198.46</v>
      </c>
      <c r="M148" s="4" t="str" cm="1">
        <f t="array" ref="M148">IF(Excel_Advanced_Sales_Dataset_2000__3[[#This Row],[Total Sales]]&gt;50000,{"Yes"},{"No"})</f>
        <v>Yes</v>
      </c>
      <c r="N148" s="5">
        <v>46289</v>
      </c>
      <c r="O148" s="1" t="s">
        <v>68</v>
      </c>
      <c r="P148" t="s">
        <v>35</v>
      </c>
      <c r="Q148" t="str">
        <f>IF(Excel_Advanced_Sales_Dataset_2000__3[[#This Row],[Delivery Status]]="Pending","Follow Up","Ok")</f>
        <v>Ok</v>
      </c>
      <c r="R148" s="1" t="s">
        <v>53</v>
      </c>
      <c r="S148">
        <f>Excel_Advanced_Sales_Dataset_2000__3[[#This Row],[Quantity]]*Excel_Advanced_Sales_Dataset_2000__3[[#This Row],[Unit Price]]*Excel_Advanced_Sales_Dataset_2000__3[[#This Row],[Discount %]]/100</f>
        <v>85512.595859999972</v>
      </c>
      <c r="T148" s="4">
        <f>Excel_Advanced_Sales_Dataset_2000__3[[#This Row],[Quantity]]*Excel_Advanced_Sales_Dataset_2000__3[[#This Row],[Unit Price]]-Excel_Advanced_Sales_Dataset_2000__3[[#This Row],[Discount Amount]]</f>
        <v>970198.46413999982</v>
      </c>
    </row>
    <row r="149" spans="1:20" x14ac:dyDescent="0.25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>
        <v>50</v>
      </c>
      <c r="J149" s="4">
        <v>48532.65</v>
      </c>
      <c r="K149" s="6">
        <v>18.13</v>
      </c>
      <c r="L149" s="4">
        <v>1986684.03</v>
      </c>
      <c r="M149" s="4" t="str" cm="1">
        <f t="array" ref="M149">IF(Excel_Advanced_Sales_Dataset_2000__3[[#This Row],[Total Sales]]&gt;50000,{"Yes"},{"No"})</f>
        <v>Yes</v>
      </c>
      <c r="N149" s="5">
        <v>46278</v>
      </c>
      <c r="O149" s="1" t="s">
        <v>58</v>
      </c>
      <c r="P149" t="s">
        <v>35</v>
      </c>
      <c r="Q149" t="str">
        <f>IF(Excel_Advanced_Sales_Dataset_2000__3[[#This Row],[Delivery Status]]="Pending","Follow Up","Ok")</f>
        <v>Ok</v>
      </c>
      <c r="R149" s="1" t="s">
        <v>26</v>
      </c>
      <c r="S149">
        <f>Excel_Advanced_Sales_Dataset_2000__3[[#This Row],[Quantity]]*Excel_Advanced_Sales_Dataset_2000__3[[#This Row],[Unit Price]]*Excel_Advanced_Sales_Dataset_2000__3[[#This Row],[Discount %]]/100</f>
        <v>439948.47224999993</v>
      </c>
      <c r="T149" s="4">
        <f>Excel_Advanced_Sales_Dataset_2000__3[[#This Row],[Quantity]]*Excel_Advanced_Sales_Dataset_2000__3[[#This Row],[Unit Price]]-Excel_Advanced_Sales_Dataset_2000__3[[#This Row],[Discount Amount]]</f>
        <v>1986684.0277500001</v>
      </c>
    </row>
    <row r="150" spans="1:20" x14ac:dyDescent="0.25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>
        <v>39</v>
      </c>
      <c r="J150" s="4">
        <v>47243.54</v>
      </c>
      <c r="K150" s="6">
        <v>1.1299999999999999</v>
      </c>
      <c r="L150" s="4">
        <v>1821677.83</v>
      </c>
      <c r="M150" s="4" t="str" cm="1">
        <f t="array" ref="M150">IF(Excel_Advanced_Sales_Dataset_2000__3[[#This Row],[Total Sales]]&gt;50000,{"Yes"},{"No"})</f>
        <v>Yes</v>
      </c>
      <c r="N150" s="5">
        <v>46190</v>
      </c>
      <c r="O150" s="1" t="s">
        <v>24</v>
      </c>
      <c r="P150" t="s">
        <v>35</v>
      </c>
      <c r="Q150" t="str">
        <f>IF(Excel_Advanced_Sales_Dataset_2000__3[[#This Row],[Delivery Status]]="Pending","Follow Up","Ok")</f>
        <v>Ok</v>
      </c>
      <c r="R150" s="1" t="s">
        <v>36</v>
      </c>
      <c r="S150">
        <f>Excel_Advanced_Sales_Dataset_2000__3[[#This Row],[Quantity]]*Excel_Advanced_Sales_Dataset_2000__3[[#This Row],[Unit Price]]*Excel_Advanced_Sales_Dataset_2000__3[[#This Row],[Discount %]]/100</f>
        <v>20820.228078</v>
      </c>
      <c r="T150" s="4">
        <f>Excel_Advanced_Sales_Dataset_2000__3[[#This Row],[Quantity]]*Excel_Advanced_Sales_Dataset_2000__3[[#This Row],[Unit Price]]-Excel_Advanced_Sales_Dataset_2000__3[[#This Row],[Discount Amount]]</f>
        <v>1821677.831922</v>
      </c>
    </row>
    <row r="151" spans="1:20" x14ac:dyDescent="0.25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>
        <v>5</v>
      </c>
      <c r="J151" s="4">
        <v>29877.57</v>
      </c>
      <c r="K151" s="6">
        <v>5.15</v>
      </c>
      <c r="L151" s="4">
        <v>141694.38</v>
      </c>
      <c r="M151" s="4" t="str" cm="1">
        <f t="array" ref="M151">IF(Excel_Advanced_Sales_Dataset_2000__3[[#This Row],[Total Sales]]&gt;50000,{"Yes"},{"No"})</f>
        <v>Yes</v>
      </c>
      <c r="N151" s="5">
        <v>46191</v>
      </c>
      <c r="O151" s="1" t="s">
        <v>45</v>
      </c>
      <c r="P151" t="s">
        <v>35</v>
      </c>
      <c r="Q151" t="str">
        <f>IF(Excel_Advanced_Sales_Dataset_2000__3[[#This Row],[Delivery Status]]="Pending","Follow Up","Ok")</f>
        <v>Ok</v>
      </c>
      <c r="R151" s="1" t="s">
        <v>53</v>
      </c>
      <c r="S151">
        <f>Excel_Advanced_Sales_Dataset_2000__3[[#This Row],[Quantity]]*Excel_Advanced_Sales_Dataset_2000__3[[#This Row],[Unit Price]]*Excel_Advanced_Sales_Dataset_2000__3[[#This Row],[Discount %]]/100</f>
        <v>7693.4742750000014</v>
      </c>
      <c r="T151" s="4">
        <f>Excel_Advanced_Sales_Dataset_2000__3[[#This Row],[Quantity]]*Excel_Advanced_Sales_Dataset_2000__3[[#This Row],[Unit Price]]-Excel_Advanced_Sales_Dataset_2000__3[[#This Row],[Discount Amount]]</f>
        <v>141694.37572499999</v>
      </c>
    </row>
    <row r="152" spans="1:20" x14ac:dyDescent="0.25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>
        <v>38</v>
      </c>
      <c r="J152" s="4">
        <v>32043.75</v>
      </c>
      <c r="K152" s="6">
        <v>10.65</v>
      </c>
      <c r="L152" s="4">
        <v>1087981.44</v>
      </c>
      <c r="M152" s="4" t="str" cm="1">
        <f t="array" ref="M152">IF(Excel_Advanced_Sales_Dataset_2000__3[[#This Row],[Total Sales]]&gt;50000,{"Yes"},{"No"})</f>
        <v>Yes</v>
      </c>
      <c r="N152" s="5">
        <v>46025</v>
      </c>
      <c r="O152" s="1" t="s">
        <v>68</v>
      </c>
      <c r="P152" t="s">
        <v>35</v>
      </c>
      <c r="Q152" t="str">
        <f>IF(Excel_Advanced_Sales_Dataset_2000__3[[#This Row],[Delivery Status]]="Pending","Follow Up","Ok")</f>
        <v>Ok</v>
      </c>
      <c r="R152" s="1" t="s">
        <v>36</v>
      </c>
      <c r="S152">
        <f>Excel_Advanced_Sales_Dataset_2000__3[[#This Row],[Quantity]]*Excel_Advanced_Sales_Dataset_2000__3[[#This Row],[Unit Price]]*Excel_Advanced_Sales_Dataset_2000__3[[#This Row],[Discount %]]/100</f>
        <v>129681.05624999999</v>
      </c>
      <c r="T152" s="4">
        <f>Excel_Advanced_Sales_Dataset_2000__3[[#This Row],[Quantity]]*Excel_Advanced_Sales_Dataset_2000__3[[#This Row],[Unit Price]]-Excel_Advanced_Sales_Dataset_2000__3[[#This Row],[Discount Amount]]</f>
        <v>1087981.4437500001</v>
      </c>
    </row>
    <row r="153" spans="1:20" x14ac:dyDescent="0.25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>
        <v>16</v>
      </c>
      <c r="J153" s="4">
        <v>14889.71</v>
      </c>
      <c r="K153" s="6">
        <v>2.86</v>
      </c>
      <c r="L153" s="4">
        <v>231421.83</v>
      </c>
      <c r="M153" s="4" t="str" cm="1">
        <f t="array" ref="M153">IF(Excel_Advanced_Sales_Dataset_2000__3[[#This Row],[Total Sales]]&gt;50000,{"Yes"},{"No"})</f>
        <v>Yes</v>
      </c>
      <c r="N153" s="5">
        <v>46348</v>
      </c>
      <c r="O153" s="1" t="s">
        <v>58</v>
      </c>
      <c r="P153" t="s">
        <v>35</v>
      </c>
      <c r="Q153" t="str">
        <f>IF(Excel_Advanced_Sales_Dataset_2000__3[[#This Row],[Delivery Status]]="Pending","Follow Up","Ok")</f>
        <v>Ok</v>
      </c>
      <c r="R153" s="1" t="s">
        <v>36</v>
      </c>
      <c r="S153">
        <f>Excel_Advanced_Sales_Dataset_2000__3[[#This Row],[Quantity]]*Excel_Advanced_Sales_Dataset_2000__3[[#This Row],[Unit Price]]*Excel_Advanced_Sales_Dataset_2000__3[[#This Row],[Discount %]]/100</f>
        <v>6813.5312960000001</v>
      </c>
      <c r="T153" s="4">
        <f>Excel_Advanced_Sales_Dataset_2000__3[[#This Row],[Quantity]]*Excel_Advanced_Sales_Dataset_2000__3[[#This Row],[Unit Price]]-Excel_Advanced_Sales_Dataset_2000__3[[#This Row],[Discount Amount]]</f>
        <v>231421.82870399999</v>
      </c>
    </row>
    <row r="154" spans="1:20" x14ac:dyDescent="0.25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>
        <v>5</v>
      </c>
      <c r="J154" s="4">
        <v>25557.66</v>
      </c>
      <c r="K154" s="6">
        <v>19.72</v>
      </c>
      <c r="L154" s="4">
        <v>102588.45</v>
      </c>
      <c r="M154" s="4" t="str" cm="1">
        <f t="array" ref="M154">IF(Excel_Advanced_Sales_Dataset_2000__3[[#This Row],[Total Sales]]&gt;50000,{"Yes"},{"No"})</f>
        <v>Yes</v>
      </c>
      <c r="N154" s="5">
        <v>46170</v>
      </c>
      <c r="O154" s="1" t="s">
        <v>45</v>
      </c>
      <c r="P154" t="s">
        <v>35</v>
      </c>
      <c r="Q154" t="str">
        <f>IF(Excel_Advanced_Sales_Dataset_2000__3[[#This Row],[Delivery Status]]="Pending","Follow Up","Ok")</f>
        <v>Ok</v>
      </c>
      <c r="R154" s="1" t="s">
        <v>36</v>
      </c>
      <c r="S154">
        <f>Excel_Advanced_Sales_Dataset_2000__3[[#This Row],[Quantity]]*Excel_Advanced_Sales_Dataset_2000__3[[#This Row],[Unit Price]]*Excel_Advanced_Sales_Dataset_2000__3[[#This Row],[Discount %]]/100</f>
        <v>25199.852760000002</v>
      </c>
      <c r="T154" s="4">
        <f>Excel_Advanced_Sales_Dataset_2000__3[[#This Row],[Quantity]]*Excel_Advanced_Sales_Dataset_2000__3[[#This Row],[Unit Price]]-Excel_Advanced_Sales_Dataset_2000__3[[#This Row],[Discount Amount]]</f>
        <v>102588.44724000001</v>
      </c>
    </row>
    <row r="155" spans="1:20" x14ac:dyDescent="0.25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>
        <v>31</v>
      </c>
      <c r="J155" s="4">
        <v>27169.18</v>
      </c>
      <c r="K155" s="6">
        <v>18.23</v>
      </c>
      <c r="L155" s="4">
        <v>688703.39</v>
      </c>
      <c r="M155" s="4" t="str" cm="1">
        <f t="array" ref="M155">IF(Excel_Advanced_Sales_Dataset_2000__3[[#This Row],[Total Sales]]&gt;50000,{"Yes"},{"No"})</f>
        <v>Yes</v>
      </c>
      <c r="N155" s="5">
        <v>46301</v>
      </c>
      <c r="O155" s="1" t="s">
        <v>24</v>
      </c>
      <c r="P155" t="s">
        <v>25</v>
      </c>
      <c r="Q155" t="str">
        <f>IF(Excel_Advanced_Sales_Dataset_2000__3[[#This Row],[Delivery Status]]="Pending","Follow Up","Ok")</f>
        <v>Follow Up</v>
      </c>
      <c r="R155" s="1" t="s">
        <v>36</v>
      </c>
      <c r="S155">
        <f>Excel_Advanced_Sales_Dataset_2000__3[[#This Row],[Quantity]]*Excel_Advanced_Sales_Dataset_2000__3[[#This Row],[Unit Price]]*Excel_Advanced_Sales_Dataset_2000__3[[#This Row],[Discount %]]/100</f>
        <v>153541.186934</v>
      </c>
      <c r="T155" s="4">
        <f>Excel_Advanced_Sales_Dataset_2000__3[[#This Row],[Quantity]]*Excel_Advanced_Sales_Dataset_2000__3[[#This Row],[Unit Price]]-Excel_Advanced_Sales_Dataset_2000__3[[#This Row],[Discount Amount]]</f>
        <v>688703.39306599996</v>
      </c>
    </row>
    <row r="156" spans="1:20" x14ac:dyDescent="0.25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>
        <v>50</v>
      </c>
      <c r="J156" s="4">
        <v>7743.79</v>
      </c>
      <c r="K156" s="6">
        <v>6.7</v>
      </c>
      <c r="L156" s="4">
        <v>361247.8</v>
      </c>
      <c r="M156" s="4" t="str" cm="1">
        <f t="array" ref="M156">IF(Excel_Advanced_Sales_Dataset_2000__3[[#This Row],[Total Sales]]&gt;50000,{"Yes"},{"No"})</f>
        <v>Yes</v>
      </c>
      <c r="N156" s="5">
        <v>46220</v>
      </c>
      <c r="O156" s="1" t="s">
        <v>58</v>
      </c>
      <c r="P156" t="s">
        <v>25</v>
      </c>
      <c r="Q156" t="str">
        <f>IF(Excel_Advanced_Sales_Dataset_2000__3[[#This Row],[Delivery Status]]="Pending","Follow Up","Ok")</f>
        <v>Follow Up</v>
      </c>
      <c r="R156" s="1" t="s">
        <v>26</v>
      </c>
      <c r="S156">
        <f>Excel_Advanced_Sales_Dataset_2000__3[[#This Row],[Quantity]]*Excel_Advanced_Sales_Dataset_2000__3[[#This Row],[Unit Price]]*Excel_Advanced_Sales_Dataset_2000__3[[#This Row],[Discount %]]/100</f>
        <v>25941.696499999998</v>
      </c>
      <c r="T156" s="4">
        <f>Excel_Advanced_Sales_Dataset_2000__3[[#This Row],[Quantity]]*Excel_Advanced_Sales_Dataset_2000__3[[#This Row],[Unit Price]]-Excel_Advanced_Sales_Dataset_2000__3[[#This Row],[Discount Amount]]</f>
        <v>361247.80349999998</v>
      </c>
    </row>
    <row r="157" spans="1:20" x14ac:dyDescent="0.25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>
        <v>50</v>
      </c>
      <c r="J157" s="4">
        <v>29709.95</v>
      </c>
      <c r="K157" s="6">
        <v>7.9</v>
      </c>
      <c r="L157" s="4">
        <v>1368143.2</v>
      </c>
      <c r="M157" s="4" t="str" cm="1">
        <f t="array" ref="M157">IF(Excel_Advanced_Sales_Dataset_2000__3[[#This Row],[Total Sales]]&gt;50000,{"Yes"},{"No"})</f>
        <v>Yes</v>
      </c>
      <c r="N157" s="5">
        <v>46141</v>
      </c>
      <c r="O157" s="1" t="s">
        <v>45</v>
      </c>
      <c r="P157" t="s">
        <v>35</v>
      </c>
      <c r="Q157" t="str">
        <f>IF(Excel_Advanced_Sales_Dataset_2000__3[[#This Row],[Delivery Status]]="Pending","Follow Up","Ok")</f>
        <v>Ok</v>
      </c>
      <c r="R157" s="1" t="s">
        <v>53</v>
      </c>
      <c r="S157">
        <f>Excel_Advanced_Sales_Dataset_2000__3[[#This Row],[Quantity]]*Excel_Advanced_Sales_Dataset_2000__3[[#This Row],[Unit Price]]*Excel_Advanced_Sales_Dataset_2000__3[[#This Row],[Discount %]]/100</f>
        <v>117354.30250000001</v>
      </c>
      <c r="T157" s="4">
        <f>Excel_Advanced_Sales_Dataset_2000__3[[#This Row],[Quantity]]*Excel_Advanced_Sales_Dataset_2000__3[[#This Row],[Unit Price]]-Excel_Advanced_Sales_Dataset_2000__3[[#This Row],[Discount Amount]]</f>
        <v>1368143.1975</v>
      </c>
    </row>
    <row r="158" spans="1:20" x14ac:dyDescent="0.25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>
        <v>24</v>
      </c>
      <c r="J158" s="4">
        <v>6071.91</v>
      </c>
      <c r="K158" s="6">
        <v>2.2400000000000002</v>
      </c>
      <c r="L158" s="4">
        <v>142461.57999999999</v>
      </c>
      <c r="M158" s="4" t="str" cm="1">
        <f t="array" ref="M158">IF(Excel_Advanced_Sales_Dataset_2000__3[[#This Row],[Total Sales]]&gt;50000,{"Yes"},{"No"})</f>
        <v>Yes</v>
      </c>
      <c r="N158" s="5">
        <v>46329</v>
      </c>
      <c r="O158" s="1" t="s">
        <v>58</v>
      </c>
      <c r="P158" t="s">
        <v>35</v>
      </c>
      <c r="Q158" t="str">
        <f>IF(Excel_Advanced_Sales_Dataset_2000__3[[#This Row],[Delivery Status]]="Pending","Follow Up","Ok")</f>
        <v>Ok</v>
      </c>
      <c r="R158" s="1" t="s">
        <v>53</v>
      </c>
      <c r="S158">
        <f>Excel_Advanced_Sales_Dataset_2000__3[[#This Row],[Quantity]]*Excel_Advanced_Sales_Dataset_2000__3[[#This Row],[Unit Price]]*Excel_Advanced_Sales_Dataset_2000__3[[#This Row],[Discount %]]/100</f>
        <v>3264.258816</v>
      </c>
      <c r="T158" s="4">
        <f>Excel_Advanced_Sales_Dataset_2000__3[[#This Row],[Quantity]]*Excel_Advanced_Sales_Dataset_2000__3[[#This Row],[Unit Price]]-Excel_Advanced_Sales_Dataset_2000__3[[#This Row],[Discount Amount]]</f>
        <v>142461.58118400001</v>
      </c>
    </row>
    <row r="159" spans="1:20" x14ac:dyDescent="0.25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>
        <v>5</v>
      </c>
      <c r="J159" s="4">
        <v>39694.870000000003</v>
      </c>
      <c r="K159" s="6">
        <v>7.17</v>
      </c>
      <c r="L159" s="4">
        <v>184243.74</v>
      </c>
      <c r="M159" s="4" t="str" cm="1">
        <f t="array" ref="M159">IF(Excel_Advanced_Sales_Dataset_2000__3[[#This Row],[Total Sales]]&gt;50000,{"Yes"},{"No"})</f>
        <v>Yes</v>
      </c>
      <c r="N159" s="5">
        <v>46387</v>
      </c>
      <c r="O159" s="1" t="s">
        <v>68</v>
      </c>
      <c r="P159" t="s">
        <v>35</v>
      </c>
      <c r="Q159" t="str">
        <f>IF(Excel_Advanced_Sales_Dataset_2000__3[[#This Row],[Delivery Status]]="Pending","Follow Up","Ok")</f>
        <v>Ok</v>
      </c>
      <c r="R159" s="1" t="s">
        <v>26</v>
      </c>
      <c r="S159">
        <f>Excel_Advanced_Sales_Dataset_2000__3[[#This Row],[Quantity]]*Excel_Advanced_Sales_Dataset_2000__3[[#This Row],[Unit Price]]*Excel_Advanced_Sales_Dataset_2000__3[[#This Row],[Discount %]]/100</f>
        <v>14230.610895</v>
      </c>
      <c r="T159" s="4">
        <f>Excel_Advanced_Sales_Dataset_2000__3[[#This Row],[Quantity]]*Excel_Advanced_Sales_Dataset_2000__3[[#This Row],[Unit Price]]-Excel_Advanced_Sales_Dataset_2000__3[[#This Row],[Discount Amount]]</f>
        <v>184243.73910500002</v>
      </c>
    </row>
    <row r="160" spans="1:20" x14ac:dyDescent="0.25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>
        <v>33</v>
      </c>
      <c r="J160" s="4">
        <v>817.27</v>
      </c>
      <c r="K160" s="6">
        <v>5.39</v>
      </c>
      <c r="L160" s="4">
        <v>25516.23</v>
      </c>
      <c r="M160" s="4" t="str" cm="1">
        <f t="array" ref="M160">IF(Excel_Advanced_Sales_Dataset_2000__3[[#This Row],[Total Sales]]&gt;50000,{"Yes"},{"No"})</f>
        <v>No</v>
      </c>
      <c r="N160" s="5">
        <v>46278</v>
      </c>
      <c r="O160" s="1" t="s">
        <v>113</v>
      </c>
      <c r="P160" t="s">
        <v>35</v>
      </c>
      <c r="Q160" t="str">
        <f>IF(Excel_Advanced_Sales_Dataset_2000__3[[#This Row],[Delivery Status]]="Pending","Follow Up","Ok")</f>
        <v>Ok</v>
      </c>
      <c r="R160" s="1" t="s">
        <v>53</v>
      </c>
      <c r="S160">
        <f>Excel_Advanced_Sales_Dataset_2000__3[[#This Row],[Quantity]]*Excel_Advanced_Sales_Dataset_2000__3[[#This Row],[Unit Price]]*Excel_Advanced_Sales_Dataset_2000__3[[#This Row],[Discount %]]/100</f>
        <v>1453.6781490000001</v>
      </c>
      <c r="T160" s="4">
        <f>Excel_Advanced_Sales_Dataset_2000__3[[#This Row],[Quantity]]*Excel_Advanced_Sales_Dataset_2000__3[[#This Row],[Unit Price]]-Excel_Advanced_Sales_Dataset_2000__3[[#This Row],[Discount Amount]]</f>
        <v>25516.231851</v>
      </c>
    </row>
    <row r="161" spans="1:20" x14ac:dyDescent="0.25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>
        <v>48</v>
      </c>
      <c r="J161" s="4">
        <v>43633.57</v>
      </c>
      <c r="K161" s="6">
        <v>6.34</v>
      </c>
      <c r="L161" s="4">
        <v>1961625.68</v>
      </c>
      <c r="M161" s="4" t="str" cm="1">
        <f t="array" ref="M161">IF(Excel_Advanced_Sales_Dataset_2000__3[[#This Row],[Total Sales]]&gt;50000,{"Yes"},{"No"})</f>
        <v>Yes</v>
      </c>
      <c r="N161" s="5">
        <v>46339</v>
      </c>
      <c r="O161" s="1" t="s">
        <v>68</v>
      </c>
      <c r="P161" t="s">
        <v>25</v>
      </c>
      <c r="Q161" t="str">
        <f>IF(Excel_Advanced_Sales_Dataset_2000__3[[#This Row],[Delivery Status]]="Pending","Follow Up","Ok")</f>
        <v>Follow Up</v>
      </c>
      <c r="R161" s="1" t="s">
        <v>26</v>
      </c>
      <c r="S161">
        <f>Excel_Advanced_Sales_Dataset_2000__3[[#This Row],[Quantity]]*Excel_Advanced_Sales_Dataset_2000__3[[#This Row],[Unit Price]]*Excel_Advanced_Sales_Dataset_2000__3[[#This Row],[Discount %]]/100</f>
        <v>132785.68022399998</v>
      </c>
      <c r="T161" s="4">
        <f>Excel_Advanced_Sales_Dataset_2000__3[[#This Row],[Quantity]]*Excel_Advanced_Sales_Dataset_2000__3[[#This Row],[Unit Price]]-Excel_Advanced_Sales_Dataset_2000__3[[#This Row],[Discount Amount]]</f>
        <v>1961625.6797759999</v>
      </c>
    </row>
    <row r="162" spans="1:20" x14ac:dyDescent="0.25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>
        <v>28</v>
      </c>
      <c r="J162" s="4">
        <v>44084.14</v>
      </c>
      <c r="K162" s="6">
        <v>13.12</v>
      </c>
      <c r="L162" s="4">
        <v>1072408.42</v>
      </c>
      <c r="M162" s="4" t="str" cm="1">
        <f t="array" ref="M162">IF(Excel_Advanced_Sales_Dataset_2000__3[[#This Row],[Total Sales]]&gt;50000,{"Yes"},{"No"})</f>
        <v>Yes</v>
      </c>
      <c r="N162" s="5">
        <v>46112</v>
      </c>
      <c r="O162" s="1" t="s">
        <v>58</v>
      </c>
      <c r="P162" t="s">
        <v>35</v>
      </c>
      <c r="Q162" t="str">
        <f>IF(Excel_Advanced_Sales_Dataset_2000__3[[#This Row],[Delivery Status]]="Pending","Follow Up","Ok")</f>
        <v>Ok</v>
      </c>
      <c r="R162" s="1" t="s">
        <v>53</v>
      </c>
      <c r="S162">
        <f>Excel_Advanced_Sales_Dataset_2000__3[[#This Row],[Quantity]]*Excel_Advanced_Sales_Dataset_2000__3[[#This Row],[Unit Price]]*Excel_Advanced_Sales_Dataset_2000__3[[#This Row],[Discount %]]/100</f>
        <v>161947.49670399996</v>
      </c>
      <c r="T162" s="4">
        <f>Excel_Advanced_Sales_Dataset_2000__3[[#This Row],[Quantity]]*Excel_Advanced_Sales_Dataset_2000__3[[#This Row],[Unit Price]]-Excel_Advanced_Sales_Dataset_2000__3[[#This Row],[Discount Amount]]</f>
        <v>1072408.4232959999</v>
      </c>
    </row>
    <row r="163" spans="1:20" x14ac:dyDescent="0.25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>
        <v>34</v>
      </c>
      <c r="J163" s="4">
        <v>2588.21</v>
      </c>
      <c r="K163" s="6">
        <v>16.579999999999998</v>
      </c>
      <c r="L163" s="4">
        <v>73408.88</v>
      </c>
      <c r="M163" s="4" t="str" cm="1">
        <f t="array" ref="M163">IF(Excel_Advanced_Sales_Dataset_2000__3[[#This Row],[Total Sales]]&gt;50000,{"Yes"},{"No"})</f>
        <v>Yes</v>
      </c>
      <c r="N163" s="5">
        <v>46210</v>
      </c>
      <c r="O163" s="1" t="s">
        <v>58</v>
      </c>
      <c r="P163" t="s">
        <v>35</v>
      </c>
      <c r="Q163" t="str">
        <f>IF(Excel_Advanced_Sales_Dataset_2000__3[[#This Row],[Delivery Status]]="Pending","Follow Up","Ok")</f>
        <v>Ok</v>
      </c>
      <c r="R163" s="1" t="s">
        <v>26</v>
      </c>
      <c r="S163">
        <f>Excel_Advanced_Sales_Dataset_2000__3[[#This Row],[Quantity]]*Excel_Advanced_Sales_Dataset_2000__3[[#This Row],[Unit Price]]*Excel_Advanced_Sales_Dataset_2000__3[[#This Row],[Discount %]]/100</f>
        <v>14590.257411999999</v>
      </c>
      <c r="T163" s="4">
        <f>Excel_Advanced_Sales_Dataset_2000__3[[#This Row],[Quantity]]*Excel_Advanced_Sales_Dataset_2000__3[[#This Row],[Unit Price]]-Excel_Advanced_Sales_Dataset_2000__3[[#This Row],[Discount Amount]]</f>
        <v>73408.882588000008</v>
      </c>
    </row>
    <row r="164" spans="1:20" x14ac:dyDescent="0.25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>
        <v>40</v>
      </c>
      <c r="J164" s="4">
        <v>36497.39</v>
      </c>
      <c r="K164" s="6">
        <v>18.149999999999999</v>
      </c>
      <c r="L164" s="4">
        <v>1194924.55</v>
      </c>
      <c r="M164" s="4" t="str" cm="1">
        <f t="array" ref="M164">IF(Excel_Advanced_Sales_Dataset_2000__3[[#This Row],[Total Sales]]&gt;50000,{"Yes"},{"No"})</f>
        <v>Yes</v>
      </c>
      <c r="N164" s="5">
        <v>46081</v>
      </c>
      <c r="O164" s="1" t="s">
        <v>45</v>
      </c>
      <c r="P164" t="s">
        <v>35</v>
      </c>
      <c r="Q164" t="str">
        <f>IF(Excel_Advanced_Sales_Dataset_2000__3[[#This Row],[Delivery Status]]="Pending","Follow Up","Ok")</f>
        <v>Ok</v>
      </c>
      <c r="R164" s="1" t="s">
        <v>36</v>
      </c>
      <c r="S164">
        <f>Excel_Advanced_Sales_Dataset_2000__3[[#This Row],[Quantity]]*Excel_Advanced_Sales_Dataset_2000__3[[#This Row],[Unit Price]]*Excel_Advanced_Sales_Dataset_2000__3[[#This Row],[Discount %]]/100</f>
        <v>264971.0514</v>
      </c>
      <c r="T164" s="4">
        <f>Excel_Advanced_Sales_Dataset_2000__3[[#This Row],[Quantity]]*Excel_Advanced_Sales_Dataset_2000__3[[#This Row],[Unit Price]]-Excel_Advanced_Sales_Dataset_2000__3[[#This Row],[Discount Amount]]</f>
        <v>1194924.5486000001</v>
      </c>
    </row>
    <row r="165" spans="1:20" x14ac:dyDescent="0.25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>
        <v>1</v>
      </c>
      <c r="J165" s="4">
        <v>32459.95</v>
      </c>
      <c r="K165" s="6">
        <v>9.1999999999999993</v>
      </c>
      <c r="L165" s="4">
        <v>29473.63</v>
      </c>
      <c r="M165" s="4" t="str" cm="1">
        <f t="array" ref="M165">IF(Excel_Advanced_Sales_Dataset_2000__3[[#This Row],[Total Sales]]&gt;50000,{"Yes"},{"No"})</f>
        <v>No</v>
      </c>
      <c r="N165" s="5">
        <v>46182</v>
      </c>
      <c r="O165" s="1" t="s">
        <v>45</v>
      </c>
      <c r="P165" t="s">
        <v>59</v>
      </c>
      <c r="Q165" t="str">
        <f>IF(Excel_Advanced_Sales_Dataset_2000__3[[#This Row],[Delivery Status]]="Pending","Follow Up","Ok")</f>
        <v>Ok</v>
      </c>
      <c r="R165" s="1" t="s">
        <v>36</v>
      </c>
      <c r="S165">
        <f>Excel_Advanced_Sales_Dataset_2000__3[[#This Row],[Quantity]]*Excel_Advanced_Sales_Dataset_2000__3[[#This Row],[Unit Price]]*Excel_Advanced_Sales_Dataset_2000__3[[#This Row],[Discount %]]/100</f>
        <v>2986.3154</v>
      </c>
      <c r="T165" s="4">
        <f>Excel_Advanced_Sales_Dataset_2000__3[[#This Row],[Quantity]]*Excel_Advanced_Sales_Dataset_2000__3[[#This Row],[Unit Price]]-Excel_Advanced_Sales_Dataset_2000__3[[#This Row],[Discount Amount]]</f>
        <v>29473.634600000001</v>
      </c>
    </row>
    <row r="166" spans="1:20" x14ac:dyDescent="0.25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>
        <v>3</v>
      </c>
      <c r="J166" s="4">
        <v>48760.62</v>
      </c>
      <c r="K166" s="6">
        <v>9.73</v>
      </c>
      <c r="L166" s="4">
        <v>132048.64000000001</v>
      </c>
      <c r="M166" s="4" t="str" cm="1">
        <f t="array" ref="M166">IF(Excel_Advanced_Sales_Dataset_2000__3[[#This Row],[Total Sales]]&gt;50000,{"Yes"},{"No"})</f>
        <v>Yes</v>
      </c>
      <c r="N166" s="5">
        <v>46050</v>
      </c>
      <c r="O166" s="1" t="s">
        <v>45</v>
      </c>
      <c r="P166" t="s">
        <v>35</v>
      </c>
      <c r="Q166" t="str">
        <f>IF(Excel_Advanced_Sales_Dataset_2000__3[[#This Row],[Delivery Status]]="Pending","Follow Up","Ok")</f>
        <v>Ok</v>
      </c>
      <c r="R166" s="1" t="s">
        <v>26</v>
      </c>
      <c r="S166">
        <f>Excel_Advanced_Sales_Dataset_2000__3[[#This Row],[Quantity]]*Excel_Advanced_Sales_Dataset_2000__3[[#This Row],[Unit Price]]*Excel_Advanced_Sales_Dataset_2000__3[[#This Row],[Discount %]]/100</f>
        <v>14233.224978000002</v>
      </c>
      <c r="T166" s="4">
        <f>Excel_Advanced_Sales_Dataset_2000__3[[#This Row],[Quantity]]*Excel_Advanced_Sales_Dataset_2000__3[[#This Row],[Unit Price]]-Excel_Advanced_Sales_Dataset_2000__3[[#This Row],[Discount Amount]]</f>
        <v>132048.635022</v>
      </c>
    </row>
    <row r="167" spans="1:20" x14ac:dyDescent="0.25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>
        <v>39</v>
      </c>
      <c r="J167" s="4">
        <v>43293.52</v>
      </c>
      <c r="K167" s="6">
        <v>8.82</v>
      </c>
      <c r="L167" s="4">
        <v>1539526.23</v>
      </c>
      <c r="M167" s="4" t="str" cm="1">
        <f t="array" ref="M167">IF(Excel_Advanced_Sales_Dataset_2000__3[[#This Row],[Total Sales]]&gt;50000,{"Yes"},{"No"})</f>
        <v>Yes</v>
      </c>
      <c r="N167" s="5">
        <v>46372</v>
      </c>
      <c r="O167" s="1" t="s">
        <v>45</v>
      </c>
      <c r="P167" t="s">
        <v>35</v>
      </c>
      <c r="Q167" t="str">
        <f>IF(Excel_Advanced_Sales_Dataset_2000__3[[#This Row],[Delivery Status]]="Pending","Follow Up","Ok")</f>
        <v>Ok</v>
      </c>
      <c r="R167" s="1" t="s">
        <v>53</v>
      </c>
      <c r="S167">
        <f>Excel_Advanced_Sales_Dataset_2000__3[[#This Row],[Quantity]]*Excel_Advanced_Sales_Dataset_2000__3[[#This Row],[Unit Price]]*Excel_Advanced_Sales_Dataset_2000__3[[#This Row],[Discount %]]/100</f>
        <v>148921.05009599999</v>
      </c>
      <c r="T167" s="4">
        <f>Excel_Advanced_Sales_Dataset_2000__3[[#This Row],[Quantity]]*Excel_Advanced_Sales_Dataset_2000__3[[#This Row],[Unit Price]]-Excel_Advanced_Sales_Dataset_2000__3[[#This Row],[Discount Amount]]</f>
        <v>1539526.2299039997</v>
      </c>
    </row>
    <row r="168" spans="1:20" x14ac:dyDescent="0.25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>
        <v>11</v>
      </c>
      <c r="J168" s="4">
        <v>5620.99</v>
      </c>
      <c r="K168" s="6">
        <v>12.59</v>
      </c>
      <c r="L168" s="4">
        <v>54046.38</v>
      </c>
      <c r="M168" s="4" t="str" cm="1">
        <f t="array" ref="M168">IF(Excel_Advanced_Sales_Dataset_2000__3[[#This Row],[Total Sales]]&gt;50000,{"Yes"},{"No"})</f>
        <v>Yes</v>
      </c>
      <c r="N168" s="5">
        <v>46061</v>
      </c>
      <c r="O168" s="1" t="s">
        <v>58</v>
      </c>
      <c r="P168" t="s">
        <v>35</v>
      </c>
      <c r="Q168" t="str">
        <f>IF(Excel_Advanced_Sales_Dataset_2000__3[[#This Row],[Delivery Status]]="Pending","Follow Up","Ok")</f>
        <v>Ok</v>
      </c>
      <c r="R168" s="1" t="s">
        <v>26</v>
      </c>
      <c r="S168">
        <f>Excel_Advanced_Sales_Dataset_2000__3[[#This Row],[Quantity]]*Excel_Advanced_Sales_Dataset_2000__3[[#This Row],[Unit Price]]*Excel_Advanced_Sales_Dataset_2000__3[[#This Row],[Discount %]]/100</f>
        <v>7784.509051</v>
      </c>
      <c r="T168" s="4">
        <f>Excel_Advanced_Sales_Dataset_2000__3[[#This Row],[Quantity]]*Excel_Advanced_Sales_Dataset_2000__3[[#This Row],[Unit Price]]-Excel_Advanced_Sales_Dataset_2000__3[[#This Row],[Discount Amount]]</f>
        <v>54046.380948999999</v>
      </c>
    </row>
    <row r="169" spans="1:20" x14ac:dyDescent="0.25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>
        <v>20</v>
      </c>
      <c r="J169" s="4">
        <v>27214.97</v>
      </c>
      <c r="K169" s="6">
        <v>10.25</v>
      </c>
      <c r="L169" s="4">
        <v>488508.71</v>
      </c>
      <c r="M169" s="4" t="str" cm="1">
        <f t="array" ref="M169">IF(Excel_Advanced_Sales_Dataset_2000__3[[#This Row],[Total Sales]]&gt;50000,{"Yes"},{"No"})</f>
        <v>Yes</v>
      </c>
      <c r="N169" s="5">
        <v>46107</v>
      </c>
      <c r="O169" s="1" t="s">
        <v>45</v>
      </c>
      <c r="P169" t="s">
        <v>25</v>
      </c>
      <c r="Q169" t="str">
        <f>IF(Excel_Advanced_Sales_Dataset_2000__3[[#This Row],[Delivery Status]]="Pending","Follow Up","Ok")</f>
        <v>Follow Up</v>
      </c>
      <c r="R169" s="1" t="s">
        <v>26</v>
      </c>
      <c r="S169">
        <f>Excel_Advanced_Sales_Dataset_2000__3[[#This Row],[Quantity]]*Excel_Advanced_Sales_Dataset_2000__3[[#This Row],[Unit Price]]*Excel_Advanced_Sales_Dataset_2000__3[[#This Row],[Discount %]]/100</f>
        <v>55790.688500000004</v>
      </c>
      <c r="T169" s="4">
        <f>Excel_Advanced_Sales_Dataset_2000__3[[#This Row],[Quantity]]*Excel_Advanced_Sales_Dataset_2000__3[[#This Row],[Unit Price]]-Excel_Advanced_Sales_Dataset_2000__3[[#This Row],[Discount Amount]]</f>
        <v>488508.71150000003</v>
      </c>
    </row>
    <row r="170" spans="1:20" x14ac:dyDescent="0.25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>
        <v>38</v>
      </c>
      <c r="J170" s="4">
        <v>29706.35</v>
      </c>
      <c r="K170" s="6">
        <v>19.38</v>
      </c>
      <c r="L170" s="4">
        <v>910071.86</v>
      </c>
      <c r="M170" s="4" t="str" cm="1">
        <f t="array" ref="M170">IF(Excel_Advanced_Sales_Dataset_2000__3[[#This Row],[Total Sales]]&gt;50000,{"Yes"},{"No"})</f>
        <v>Yes</v>
      </c>
      <c r="N170" s="5">
        <v>46240</v>
      </c>
      <c r="O170" s="1" t="s">
        <v>68</v>
      </c>
      <c r="P170" t="s">
        <v>35</v>
      </c>
      <c r="Q170" t="str">
        <f>IF(Excel_Advanced_Sales_Dataset_2000__3[[#This Row],[Delivery Status]]="Pending","Follow Up","Ok")</f>
        <v>Ok</v>
      </c>
      <c r="R170" s="1" t="s">
        <v>26</v>
      </c>
      <c r="S170">
        <f>Excel_Advanced_Sales_Dataset_2000__3[[#This Row],[Quantity]]*Excel_Advanced_Sales_Dataset_2000__3[[#This Row],[Unit Price]]*Excel_Advanced_Sales_Dataset_2000__3[[#This Row],[Discount %]]/100</f>
        <v>218769.44394000003</v>
      </c>
      <c r="T170" s="4">
        <f>Excel_Advanced_Sales_Dataset_2000__3[[#This Row],[Quantity]]*Excel_Advanced_Sales_Dataset_2000__3[[#This Row],[Unit Price]]-Excel_Advanced_Sales_Dataset_2000__3[[#This Row],[Discount Amount]]</f>
        <v>910071.85606000002</v>
      </c>
    </row>
    <row r="171" spans="1:20" x14ac:dyDescent="0.25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>
        <v>41</v>
      </c>
      <c r="J171" s="4">
        <v>35211.22</v>
      </c>
      <c r="K171" s="6">
        <v>15.16</v>
      </c>
      <c r="L171" s="4">
        <v>1224801.1599999999</v>
      </c>
      <c r="M171" s="4" t="str" cm="1">
        <f t="array" ref="M171">IF(Excel_Advanced_Sales_Dataset_2000__3[[#This Row],[Total Sales]]&gt;50000,{"Yes"},{"No"})</f>
        <v>Yes</v>
      </c>
      <c r="N171" s="5">
        <v>46327</v>
      </c>
      <c r="O171" s="1" t="s">
        <v>24</v>
      </c>
      <c r="P171" t="s">
        <v>35</v>
      </c>
      <c r="Q171" t="str">
        <f>IF(Excel_Advanced_Sales_Dataset_2000__3[[#This Row],[Delivery Status]]="Pending","Follow Up","Ok")</f>
        <v>Ok</v>
      </c>
      <c r="R171" s="1" t="s">
        <v>53</v>
      </c>
      <c r="S171">
        <f>Excel_Advanced_Sales_Dataset_2000__3[[#This Row],[Quantity]]*Excel_Advanced_Sales_Dataset_2000__3[[#This Row],[Unit Price]]*Excel_Advanced_Sales_Dataset_2000__3[[#This Row],[Discount %]]/100</f>
        <v>218858.85903200001</v>
      </c>
      <c r="T171" s="4">
        <f>Excel_Advanced_Sales_Dataset_2000__3[[#This Row],[Quantity]]*Excel_Advanced_Sales_Dataset_2000__3[[#This Row],[Unit Price]]-Excel_Advanced_Sales_Dataset_2000__3[[#This Row],[Discount Amount]]</f>
        <v>1224801.1609680001</v>
      </c>
    </row>
    <row r="172" spans="1:20" x14ac:dyDescent="0.25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>
        <v>46</v>
      </c>
      <c r="J172" s="4">
        <v>18608.25</v>
      </c>
      <c r="K172" s="6">
        <v>7.74</v>
      </c>
      <c r="L172" s="4">
        <v>789726.69</v>
      </c>
      <c r="M172" s="4" t="str" cm="1">
        <f t="array" ref="M172">IF(Excel_Advanced_Sales_Dataset_2000__3[[#This Row],[Total Sales]]&gt;50000,{"Yes"},{"No"})</f>
        <v>Yes</v>
      </c>
      <c r="N172" s="5">
        <v>46063</v>
      </c>
      <c r="O172" s="1" t="s">
        <v>113</v>
      </c>
      <c r="P172" t="s">
        <v>35</v>
      </c>
      <c r="Q172" t="str">
        <f>IF(Excel_Advanced_Sales_Dataset_2000__3[[#This Row],[Delivery Status]]="Pending","Follow Up","Ok")</f>
        <v>Ok</v>
      </c>
      <c r="R172" s="1" t="s">
        <v>26</v>
      </c>
      <c r="S172">
        <f>Excel_Advanced_Sales_Dataset_2000__3[[#This Row],[Quantity]]*Excel_Advanced_Sales_Dataset_2000__3[[#This Row],[Unit Price]]*Excel_Advanced_Sales_Dataset_2000__3[[#This Row],[Discount %]]/100</f>
        <v>66252.813299999994</v>
      </c>
      <c r="T172" s="4">
        <f>Excel_Advanced_Sales_Dataset_2000__3[[#This Row],[Quantity]]*Excel_Advanced_Sales_Dataset_2000__3[[#This Row],[Unit Price]]-Excel_Advanced_Sales_Dataset_2000__3[[#This Row],[Discount Amount]]</f>
        <v>789726.68669999996</v>
      </c>
    </row>
    <row r="173" spans="1:20" x14ac:dyDescent="0.25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>
        <v>33</v>
      </c>
      <c r="J173" s="4">
        <v>7649.84</v>
      </c>
      <c r="K173" s="6">
        <v>5.05</v>
      </c>
      <c r="L173" s="4">
        <v>239696.26</v>
      </c>
      <c r="M173" s="4" t="str" cm="1">
        <f t="array" ref="M173">IF(Excel_Advanced_Sales_Dataset_2000__3[[#This Row],[Total Sales]]&gt;50000,{"Yes"},{"No"})</f>
        <v>Yes</v>
      </c>
      <c r="N173" s="5">
        <v>46094</v>
      </c>
      <c r="O173" s="1" t="s">
        <v>24</v>
      </c>
      <c r="P173" t="s">
        <v>35</v>
      </c>
      <c r="Q173" t="str">
        <f>IF(Excel_Advanced_Sales_Dataset_2000__3[[#This Row],[Delivery Status]]="Pending","Follow Up","Ok")</f>
        <v>Ok</v>
      </c>
      <c r="R173" s="1" t="s">
        <v>53</v>
      </c>
      <c r="S173">
        <f>Excel_Advanced_Sales_Dataset_2000__3[[#This Row],[Quantity]]*Excel_Advanced_Sales_Dataset_2000__3[[#This Row],[Unit Price]]*Excel_Advanced_Sales_Dataset_2000__3[[#This Row],[Discount %]]/100</f>
        <v>12748.458359999999</v>
      </c>
      <c r="T173" s="4">
        <f>Excel_Advanced_Sales_Dataset_2000__3[[#This Row],[Quantity]]*Excel_Advanced_Sales_Dataset_2000__3[[#This Row],[Unit Price]]-Excel_Advanced_Sales_Dataset_2000__3[[#This Row],[Discount Amount]]</f>
        <v>239696.26164000001</v>
      </c>
    </row>
    <row r="174" spans="1:20" x14ac:dyDescent="0.25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>
        <v>7</v>
      </c>
      <c r="J174" s="4">
        <v>45229.64</v>
      </c>
      <c r="K174" s="6">
        <v>10.79</v>
      </c>
      <c r="L174" s="4">
        <v>282445.53000000003</v>
      </c>
      <c r="M174" s="4" t="str" cm="1">
        <f t="array" ref="M174">IF(Excel_Advanced_Sales_Dataset_2000__3[[#This Row],[Total Sales]]&gt;50000,{"Yes"},{"No"})</f>
        <v>Yes</v>
      </c>
      <c r="N174" s="5">
        <v>46319</v>
      </c>
      <c r="O174" s="1" t="s">
        <v>58</v>
      </c>
      <c r="P174" t="s">
        <v>35</v>
      </c>
      <c r="Q174" t="str">
        <f>IF(Excel_Advanced_Sales_Dataset_2000__3[[#This Row],[Delivery Status]]="Pending","Follow Up","Ok")</f>
        <v>Ok</v>
      </c>
      <c r="R174" s="1" t="s">
        <v>53</v>
      </c>
      <c r="S174">
        <f>Excel_Advanced_Sales_Dataset_2000__3[[#This Row],[Quantity]]*Excel_Advanced_Sales_Dataset_2000__3[[#This Row],[Unit Price]]*Excel_Advanced_Sales_Dataset_2000__3[[#This Row],[Discount %]]/100</f>
        <v>34161.947091999995</v>
      </c>
      <c r="T174" s="4">
        <f>Excel_Advanced_Sales_Dataset_2000__3[[#This Row],[Quantity]]*Excel_Advanced_Sales_Dataset_2000__3[[#This Row],[Unit Price]]-Excel_Advanced_Sales_Dataset_2000__3[[#This Row],[Discount Amount]]</f>
        <v>282445.53290799999</v>
      </c>
    </row>
    <row r="175" spans="1:20" x14ac:dyDescent="0.25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>
        <v>11</v>
      </c>
      <c r="J175" s="4">
        <v>14168.51</v>
      </c>
      <c r="K175" s="6">
        <v>3.89</v>
      </c>
      <c r="L175" s="4">
        <v>149790.9</v>
      </c>
      <c r="M175" s="4" t="str" cm="1">
        <f t="array" ref="M175">IF(Excel_Advanced_Sales_Dataset_2000__3[[#This Row],[Total Sales]]&gt;50000,{"Yes"},{"No"})</f>
        <v>Yes</v>
      </c>
      <c r="N175" s="5">
        <v>46232</v>
      </c>
      <c r="O175" s="1" t="s">
        <v>113</v>
      </c>
      <c r="P175" t="s">
        <v>35</v>
      </c>
      <c r="Q175" t="str">
        <f>IF(Excel_Advanced_Sales_Dataset_2000__3[[#This Row],[Delivery Status]]="Pending","Follow Up","Ok")</f>
        <v>Ok</v>
      </c>
      <c r="R175" s="1" t="s">
        <v>36</v>
      </c>
      <c r="S175">
        <f>Excel_Advanced_Sales_Dataset_2000__3[[#This Row],[Quantity]]*Excel_Advanced_Sales_Dataset_2000__3[[#This Row],[Unit Price]]*Excel_Advanced_Sales_Dataset_2000__3[[#This Row],[Discount %]]/100</f>
        <v>6062.7054290000015</v>
      </c>
      <c r="T175" s="4">
        <f>Excel_Advanced_Sales_Dataset_2000__3[[#This Row],[Quantity]]*Excel_Advanced_Sales_Dataset_2000__3[[#This Row],[Unit Price]]-Excel_Advanced_Sales_Dataset_2000__3[[#This Row],[Discount Amount]]</f>
        <v>149790.90457100002</v>
      </c>
    </row>
    <row r="176" spans="1:20" x14ac:dyDescent="0.25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>
        <v>44</v>
      </c>
      <c r="J176" s="4">
        <v>15923.3</v>
      </c>
      <c r="K176" s="6">
        <v>18.66</v>
      </c>
      <c r="L176" s="4">
        <v>569888.54</v>
      </c>
      <c r="M176" s="4" t="str" cm="1">
        <f t="array" ref="M176">IF(Excel_Advanced_Sales_Dataset_2000__3[[#This Row],[Total Sales]]&gt;50000,{"Yes"},{"No"})</f>
        <v>Yes</v>
      </c>
      <c r="N176" s="5">
        <v>46236</v>
      </c>
      <c r="O176" s="1" t="s">
        <v>45</v>
      </c>
      <c r="P176" t="s">
        <v>59</v>
      </c>
      <c r="Q176" t="str">
        <f>IF(Excel_Advanced_Sales_Dataset_2000__3[[#This Row],[Delivery Status]]="Pending","Follow Up","Ok")</f>
        <v>Ok</v>
      </c>
      <c r="R176" s="1" t="s">
        <v>36</v>
      </c>
      <c r="S176">
        <f>Excel_Advanced_Sales_Dataset_2000__3[[#This Row],[Quantity]]*Excel_Advanced_Sales_Dataset_2000__3[[#This Row],[Unit Price]]*Excel_Advanced_Sales_Dataset_2000__3[[#This Row],[Discount %]]/100</f>
        <v>130736.66231999999</v>
      </c>
      <c r="T176" s="4">
        <f>Excel_Advanced_Sales_Dataset_2000__3[[#This Row],[Quantity]]*Excel_Advanced_Sales_Dataset_2000__3[[#This Row],[Unit Price]]-Excel_Advanced_Sales_Dataset_2000__3[[#This Row],[Discount Amount]]</f>
        <v>569888.53767999995</v>
      </c>
    </row>
    <row r="177" spans="1:20" x14ac:dyDescent="0.25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>
        <v>50</v>
      </c>
      <c r="J177" s="4">
        <v>45445.3</v>
      </c>
      <c r="K177" s="6">
        <v>0.42</v>
      </c>
      <c r="L177" s="4">
        <v>2262721.4900000002</v>
      </c>
      <c r="M177" s="4" t="str" cm="1">
        <f t="array" ref="M177">IF(Excel_Advanced_Sales_Dataset_2000__3[[#This Row],[Total Sales]]&gt;50000,{"Yes"},{"No"})</f>
        <v>Yes</v>
      </c>
      <c r="N177" s="5">
        <v>46244</v>
      </c>
      <c r="O177" s="1" t="s">
        <v>45</v>
      </c>
      <c r="P177" t="s">
        <v>35</v>
      </c>
      <c r="Q177" t="str">
        <f>IF(Excel_Advanced_Sales_Dataset_2000__3[[#This Row],[Delivery Status]]="Pending","Follow Up","Ok")</f>
        <v>Ok</v>
      </c>
      <c r="R177" s="1" t="s">
        <v>53</v>
      </c>
      <c r="S177">
        <f>Excel_Advanced_Sales_Dataset_2000__3[[#This Row],[Quantity]]*Excel_Advanced_Sales_Dataset_2000__3[[#This Row],[Unit Price]]*Excel_Advanced_Sales_Dataset_2000__3[[#This Row],[Discount %]]/100</f>
        <v>9543.512999999999</v>
      </c>
      <c r="T177" s="4">
        <f>Excel_Advanced_Sales_Dataset_2000__3[[#This Row],[Quantity]]*Excel_Advanced_Sales_Dataset_2000__3[[#This Row],[Unit Price]]-Excel_Advanced_Sales_Dataset_2000__3[[#This Row],[Discount Amount]]</f>
        <v>2262721.4870000002</v>
      </c>
    </row>
    <row r="178" spans="1:20" x14ac:dyDescent="0.25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>
        <v>39</v>
      </c>
      <c r="J178" s="4">
        <v>43309.08</v>
      </c>
      <c r="K178" s="6">
        <v>15.81</v>
      </c>
      <c r="L178" s="4">
        <v>1422014.66</v>
      </c>
      <c r="M178" s="4" t="str" cm="1">
        <f t="array" ref="M178">IF(Excel_Advanced_Sales_Dataset_2000__3[[#This Row],[Total Sales]]&gt;50000,{"Yes"},{"No"})</f>
        <v>Yes</v>
      </c>
      <c r="N178" s="5">
        <v>46031</v>
      </c>
      <c r="O178" s="1" t="s">
        <v>58</v>
      </c>
      <c r="P178" t="s">
        <v>35</v>
      </c>
      <c r="Q178" t="str">
        <f>IF(Excel_Advanced_Sales_Dataset_2000__3[[#This Row],[Delivery Status]]="Pending","Follow Up","Ok")</f>
        <v>Ok</v>
      </c>
      <c r="R178" s="1" t="s">
        <v>36</v>
      </c>
      <c r="S178">
        <f>Excel_Advanced_Sales_Dataset_2000__3[[#This Row],[Quantity]]*Excel_Advanced_Sales_Dataset_2000__3[[#This Row],[Unit Price]]*Excel_Advanced_Sales_Dataset_2000__3[[#This Row],[Discount %]]/100</f>
        <v>267039.45637200004</v>
      </c>
      <c r="T178" s="4">
        <f>Excel_Advanced_Sales_Dataset_2000__3[[#This Row],[Quantity]]*Excel_Advanced_Sales_Dataset_2000__3[[#This Row],[Unit Price]]-Excel_Advanced_Sales_Dataset_2000__3[[#This Row],[Discount Amount]]</f>
        <v>1422014.6636280001</v>
      </c>
    </row>
    <row r="179" spans="1:20" x14ac:dyDescent="0.25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>
        <v>28</v>
      </c>
      <c r="J179" s="4">
        <v>44388.02</v>
      </c>
      <c r="K179" s="6">
        <v>19.73</v>
      </c>
      <c r="L179" s="4">
        <v>997647.38</v>
      </c>
      <c r="M179" s="4" t="str" cm="1">
        <f t="array" ref="M179">IF(Excel_Advanced_Sales_Dataset_2000__3[[#This Row],[Total Sales]]&gt;50000,{"Yes"},{"No"})</f>
        <v>Yes</v>
      </c>
      <c r="N179" s="5">
        <v>46030</v>
      </c>
      <c r="O179" s="1" t="s">
        <v>58</v>
      </c>
      <c r="P179" t="s">
        <v>35</v>
      </c>
      <c r="Q179" t="str">
        <f>IF(Excel_Advanced_Sales_Dataset_2000__3[[#This Row],[Delivery Status]]="Pending","Follow Up","Ok")</f>
        <v>Ok</v>
      </c>
      <c r="R179" s="1" t="s">
        <v>26</v>
      </c>
      <c r="S179">
        <f>Excel_Advanced_Sales_Dataset_2000__3[[#This Row],[Quantity]]*Excel_Advanced_Sales_Dataset_2000__3[[#This Row],[Unit Price]]*Excel_Advanced_Sales_Dataset_2000__3[[#This Row],[Discount %]]/100</f>
        <v>245217.17768799997</v>
      </c>
      <c r="T179" s="4">
        <f>Excel_Advanced_Sales_Dataset_2000__3[[#This Row],[Quantity]]*Excel_Advanced_Sales_Dataset_2000__3[[#This Row],[Unit Price]]-Excel_Advanced_Sales_Dataset_2000__3[[#This Row],[Discount Amount]]</f>
        <v>997647.3823119998</v>
      </c>
    </row>
    <row r="180" spans="1:20" x14ac:dyDescent="0.25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>
        <v>39</v>
      </c>
      <c r="J180" s="4">
        <v>28460.36</v>
      </c>
      <c r="K180" s="6">
        <v>1.97</v>
      </c>
      <c r="L180" s="4">
        <v>1088087.95</v>
      </c>
      <c r="M180" s="4" t="str" cm="1">
        <f t="array" ref="M180">IF(Excel_Advanced_Sales_Dataset_2000__3[[#This Row],[Total Sales]]&gt;50000,{"Yes"},{"No"})</f>
        <v>Yes</v>
      </c>
      <c r="N180" s="5">
        <v>46217</v>
      </c>
      <c r="O180" s="1" t="s">
        <v>113</v>
      </c>
      <c r="P180" t="s">
        <v>25</v>
      </c>
      <c r="Q180" t="str">
        <f>IF(Excel_Advanced_Sales_Dataset_2000__3[[#This Row],[Delivery Status]]="Pending","Follow Up","Ok")</f>
        <v>Follow Up</v>
      </c>
      <c r="R180" s="1" t="s">
        <v>36</v>
      </c>
      <c r="S180">
        <f>Excel_Advanced_Sales_Dataset_2000__3[[#This Row],[Quantity]]*Excel_Advanced_Sales_Dataset_2000__3[[#This Row],[Unit Price]]*Excel_Advanced_Sales_Dataset_2000__3[[#This Row],[Discount %]]/100</f>
        <v>21866.094588</v>
      </c>
      <c r="T180" s="4">
        <f>Excel_Advanced_Sales_Dataset_2000__3[[#This Row],[Quantity]]*Excel_Advanced_Sales_Dataset_2000__3[[#This Row],[Unit Price]]-Excel_Advanced_Sales_Dataset_2000__3[[#This Row],[Discount Amount]]</f>
        <v>1088087.9454119999</v>
      </c>
    </row>
    <row r="181" spans="1:20" x14ac:dyDescent="0.25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>
        <v>3</v>
      </c>
      <c r="J181" s="4">
        <v>1321.2</v>
      </c>
      <c r="K181" s="6">
        <v>12.47</v>
      </c>
      <c r="L181" s="4">
        <v>3469.34</v>
      </c>
      <c r="M181" s="4" t="str" cm="1">
        <f t="array" ref="M181">IF(Excel_Advanced_Sales_Dataset_2000__3[[#This Row],[Total Sales]]&gt;50000,{"Yes"},{"No"})</f>
        <v>No</v>
      </c>
      <c r="N181" s="5">
        <v>46148</v>
      </c>
      <c r="O181" s="1" t="s">
        <v>24</v>
      </c>
      <c r="P181" t="s">
        <v>35</v>
      </c>
      <c r="Q181" t="str">
        <f>IF(Excel_Advanced_Sales_Dataset_2000__3[[#This Row],[Delivery Status]]="Pending","Follow Up","Ok")</f>
        <v>Ok</v>
      </c>
      <c r="R181" s="1" t="s">
        <v>36</v>
      </c>
      <c r="S181">
        <f>Excel_Advanced_Sales_Dataset_2000__3[[#This Row],[Quantity]]*Excel_Advanced_Sales_Dataset_2000__3[[#This Row],[Unit Price]]*Excel_Advanced_Sales_Dataset_2000__3[[#This Row],[Discount %]]/100</f>
        <v>494.26092000000006</v>
      </c>
      <c r="T181" s="4">
        <f>Excel_Advanced_Sales_Dataset_2000__3[[#This Row],[Quantity]]*Excel_Advanced_Sales_Dataset_2000__3[[#This Row],[Unit Price]]-Excel_Advanced_Sales_Dataset_2000__3[[#This Row],[Discount Amount]]</f>
        <v>3469.3390800000002</v>
      </c>
    </row>
    <row r="182" spans="1:20" x14ac:dyDescent="0.25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>
        <v>3</v>
      </c>
      <c r="J182" s="4">
        <v>2344.3000000000002</v>
      </c>
      <c r="K182" s="6">
        <v>14.29</v>
      </c>
      <c r="L182" s="4">
        <v>6027.9</v>
      </c>
      <c r="M182" s="4" t="str" cm="1">
        <f t="array" ref="M182">IF(Excel_Advanced_Sales_Dataset_2000__3[[#This Row],[Total Sales]]&gt;50000,{"Yes"},{"No"})</f>
        <v>No</v>
      </c>
      <c r="N182" s="5">
        <v>46340</v>
      </c>
      <c r="O182" s="1" t="s">
        <v>24</v>
      </c>
      <c r="P182" t="s">
        <v>35</v>
      </c>
      <c r="Q182" t="str">
        <f>IF(Excel_Advanced_Sales_Dataset_2000__3[[#This Row],[Delivery Status]]="Pending","Follow Up","Ok")</f>
        <v>Ok</v>
      </c>
      <c r="R182" s="1" t="s">
        <v>53</v>
      </c>
      <c r="S182">
        <f>Excel_Advanced_Sales_Dataset_2000__3[[#This Row],[Quantity]]*Excel_Advanced_Sales_Dataset_2000__3[[#This Row],[Unit Price]]*Excel_Advanced_Sales_Dataset_2000__3[[#This Row],[Discount %]]/100</f>
        <v>1005.0014100000001</v>
      </c>
      <c r="T182" s="4">
        <f>Excel_Advanced_Sales_Dataset_2000__3[[#This Row],[Quantity]]*Excel_Advanced_Sales_Dataset_2000__3[[#This Row],[Unit Price]]-Excel_Advanced_Sales_Dataset_2000__3[[#This Row],[Discount Amount]]</f>
        <v>6027.8985900000007</v>
      </c>
    </row>
    <row r="183" spans="1:20" x14ac:dyDescent="0.25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>
        <v>31</v>
      </c>
      <c r="J183" s="4">
        <v>7192.82</v>
      </c>
      <c r="K183" s="6">
        <v>19.45</v>
      </c>
      <c r="L183" s="4">
        <v>179608.31</v>
      </c>
      <c r="M183" s="4" t="str" cm="1">
        <f t="array" ref="M183">IF(Excel_Advanced_Sales_Dataset_2000__3[[#This Row],[Total Sales]]&gt;50000,{"Yes"},{"No"})</f>
        <v>Yes</v>
      </c>
      <c r="N183" s="5">
        <v>46196</v>
      </c>
      <c r="O183" s="1" t="s">
        <v>45</v>
      </c>
      <c r="P183" t="s">
        <v>35</v>
      </c>
      <c r="Q183" t="str">
        <f>IF(Excel_Advanced_Sales_Dataset_2000__3[[#This Row],[Delivery Status]]="Pending","Follow Up","Ok")</f>
        <v>Ok</v>
      </c>
      <c r="R183" s="1" t="s">
        <v>36</v>
      </c>
      <c r="S183">
        <f>Excel_Advanced_Sales_Dataset_2000__3[[#This Row],[Quantity]]*Excel_Advanced_Sales_Dataset_2000__3[[#This Row],[Unit Price]]*Excel_Advanced_Sales_Dataset_2000__3[[#This Row],[Discount %]]/100</f>
        <v>43369.108189999992</v>
      </c>
      <c r="T183" s="4">
        <f>Excel_Advanced_Sales_Dataset_2000__3[[#This Row],[Quantity]]*Excel_Advanced_Sales_Dataset_2000__3[[#This Row],[Unit Price]]-Excel_Advanced_Sales_Dataset_2000__3[[#This Row],[Discount Amount]]</f>
        <v>179608.31180999998</v>
      </c>
    </row>
    <row r="184" spans="1:20" x14ac:dyDescent="0.25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>
        <v>29</v>
      </c>
      <c r="J184" s="4">
        <v>23384.84</v>
      </c>
      <c r="K184" s="6">
        <v>11.98</v>
      </c>
      <c r="L184" s="4">
        <v>596916.75</v>
      </c>
      <c r="M184" s="4" t="str" cm="1">
        <f t="array" ref="M184">IF(Excel_Advanced_Sales_Dataset_2000__3[[#This Row],[Total Sales]]&gt;50000,{"Yes"},{"No"})</f>
        <v>Yes</v>
      </c>
      <c r="N184" s="5">
        <v>46307</v>
      </c>
      <c r="O184" s="1" t="s">
        <v>113</v>
      </c>
      <c r="P184" t="s">
        <v>35</v>
      </c>
      <c r="Q184" t="str">
        <f>IF(Excel_Advanced_Sales_Dataset_2000__3[[#This Row],[Delivery Status]]="Pending","Follow Up","Ok")</f>
        <v>Ok</v>
      </c>
      <c r="R184" s="1" t="s">
        <v>36</v>
      </c>
      <c r="S184">
        <f>Excel_Advanced_Sales_Dataset_2000__3[[#This Row],[Quantity]]*Excel_Advanced_Sales_Dataset_2000__3[[#This Row],[Unit Price]]*Excel_Advanced_Sales_Dataset_2000__3[[#This Row],[Discount %]]/100</f>
        <v>81243.611128000004</v>
      </c>
      <c r="T184" s="4">
        <f>Excel_Advanced_Sales_Dataset_2000__3[[#This Row],[Quantity]]*Excel_Advanced_Sales_Dataset_2000__3[[#This Row],[Unit Price]]-Excel_Advanced_Sales_Dataset_2000__3[[#This Row],[Discount Amount]]</f>
        <v>596916.74887200003</v>
      </c>
    </row>
    <row r="185" spans="1:20" x14ac:dyDescent="0.25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>
        <v>42</v>
      </c>
      <c r="J185" s="4">
        <v>30032.92</v>
      </c>
      <c r="K185" s="6">
        <v>6.44</v>
      </c>
      <c r="L185" s="4">
        <v>1180149.6000000001</v>
      </c>
      <c r="M185" s="4" t="str" cm="1">
        <f t="array" ref="M185">IF(Excel_Advanced_Sales_Dataset_2000__3[[#This Row],[Total Sales]]&gt;50000,{"Yes"},{"No"})</f>
        <v>Yes</v>
      </c>
      <c r="N185" s="5">
        <v>46231</v>
      </c>
      <c r="O185" s="1" t="s">
        <v>113</v>
      </c>
      <c r="P185" t="s">
        <v>35</v>
      </c>
      <c r="Q185" t="str">
        <f>IF(Excel_Advanced_Sales_Dataset_2000__3[[#This Row],[Delivery Status]]="Pending","Follow Up","Ok")</f>
        <v>Ok</v>
      </c>
      <c r="R185" s="1" t="s">
        <v>26</v>
      </c>
      <c r="S185">
        <f>Excel_Advanced_Sales_Dataset_2000__3[[#This Row],[Quantity]]*Excel_Advanced_Sales_Dataset_2000__3[[#This Row],[Unit Price]]*Excel_Advanced_Sales_Dataset_2000__3[[#This Row],[Discount %]]/100</f>
        <v>81233.042016000007</v>
      </c>
      <c r="T185" s="4">
        <f>Excel_Advanced_Sales_Dataset_2000__3[[#This Row],[Quantity]]*Excel_Advanced_Sales_Dataset_2000__3[[#This Row],[Unit Price]]-Excel_Advanced_Sales_Dataset_2000__3[[#This Row],[Discount Amount]]</f>
        <v>1180149.5979839999</v>
      </c>
    </row>
    <row r="186" spans="1:20" x14ac:dyDescent="0.25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>
        <v>43</v>
      </c>
      <c r="J186" s="4">
        <v>6703.1</v>
      </c>
      <c r="K186" s="6">
        <v>11.79</v>
      </c>
      <c r="L186" s="4">
        <v>254250.59</v>
      </c>
      <c r="M186" s="4" t="str" cm="1">
        <f t="array" ref="M186">IF(Excel_Advanced_Sales_Dataset_2000__3[[#This Row],[Total Sales]]&gt;50000,{"Yes"},{"No"})</f>
        <v>Yes</v>
      </c>
      <c r="N186" s="5">
        <v>46029</v>
      </c>
      <c r="O186" s="1" t="s">
        <v>113</v>
      </c>
      <c r="P186" t="s">
        <v>35</v>
      </c>
      <c r="Q186" t="str">
        <f>IF(Excel_Advanced_Sales_Dataset_2000__3[[#This Row],[Delivery Status]]="Pending","Follow Up","Ok")</f>
        <v>Ok</v>
      </c>
      <c r="R186" s="1" t="s">
        <v>36</v>
      </c>
      <c r="S186">
        <f>Excel_Advanced_Sales_Dataset_2000__3[[#This Row],[Quantity]]*Excel_Advanced_Sales_Dataset_2000__3[[#This Row],[Unit Price]]*Excel_Advanced_Sales_Dataset_2000__3[[#This Row],[Discount %]]/100</f>
        <v>33982.70607</v>
      </c>
      <c r="T186" s="4">
        <f>Excel_Advanced_Sales_Dataset_2000__3[[#This Row],[Quantity]]*Excel_Advanced_Sales_Dataset_2000__3[[#This Row],[Unit Price]]-Excel_Advanced_Sales_Dataset_2000__3[[#This Row],[Discount Amount]]</f>
        <v>254250.59392999997</v>
      </c>
    </row>
    <row r="187" spans="1:20" x14ac:dyDescent="0.25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>
        <v>41</v>
      </c>
      <c r="J187" s="4">
        <v>12323.38</v>
      </c>
      <c r="K187" s="6">
        <v>4.9800000000000004</v>
      </c>
      <c r="L187" s="4">
        <v>480096.7</v>
      </c>
      <c r="M187" s="4" t="str" cm="1">
        <f t="array" ref="M187">IF(Excel_Advanced_Sales_Dataset_2000__3[[#This Row],[Total Sales]]&gt;50000,{"Yes"},{"No"})</f>
        <v>Yes</v>
      </c>
      <c r="N187" s="5">
        <v>46298</v>
      </c>
      <c r="O187" s="1" t="s">
        <v>45</v>
      </c>
      <c r="P187" t="s">
        <v>35</v>
      </c>
      <c r="Q187" t="str">
        <f>IF(Excel_Advanced_Sales_Dataset_2000__3[[#This Row],[Delivery Status]]="Pending","Follow Up","Ok")</f>
        <v>Ok</v>
      </c>
      <c r="R187" s="1" t="s">
        <v>53</v>
      </c>
      <c r="S187">
        <f>Excel_Advanced_Sales_Dataset_2000__3[[#This Row],[Quantity]]*Excel_Advanced_Sales_Dataset_2000__3[[#This Row],[Unit Price]]*Excel_Advanced_Sales_Dataset_2000__3[[#This Row],[Discount %]]/100</f>
        <v>25161.877283999998</v>
      </c>
      <c r="T187" s="4">
        <f>Excel_Advanced_Sales_Dataset_2000__3[[#This Row],[Quantity]]*Excel_Advanced_Sales_Dataset_2000__3[[#This Row],[Unit Price]]-Excel_Advanced_Sales_Dataset_2000__3[[#This Row],[Discount Amount]]</f>
        <v>480096.70271599997</v>
      </c>
    </row>
    <row r="188" spans="1:20" x14ac:dyDescent="0.25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>
        <v>33</v>
      </c>
      <c r="J188" s="4">
        <v>13372.96</v>
      </c>
      <c r="K188" s="6">
        <v>4.5999999999999996</v>
      </c>
      <c r="L188" s="4">
        <v>421007.53</v>
      </c>
      <c r="M188" s="4" t="str" cm="1">
        <f t="array" ref="M188">IF(Excel_Advanced_Sales_Dataset_2000__3[[#This Row],[Total Sales]]&gt;50000,{"Yes"},{"No"})</f>
        <v>Yes</v>
      </c>
      <c r="N188" s="5">
        <v>46310</v>
      </c>
      <c r="O188" s="1" t="s">
        <v>113</v>
      </c>
      <c r="P188" t="s">
        <v>35</v>
      </c>
      <c r="Q188" t="str">
        <f>IF(Excel_Advanced_Sales_Dataset_2000__3[[#This Row],[Delivery Status]]="Pending","Follow Up","Ok")</f>
        <v>Ok</v>
      </c>
      <c r="R188" s="1" t="s">
        <v>26</v>
      </c>
      <c r="S188">
        <f>Excel_Advanced_Sales_Dataset_2000__3[[#This Row],[Quantity]]*Excel_Advanced_Sales_Dataset_2000__3[[#This Row],[Unit Price]]*Excel_Advanced_Sales_Dataset_2000__3[[#This Row],[Discount %]]/100</f>
        <v>20300.153279999999</v>
      </c>
      <c r="T188" s="4">
        <f>Excel_Advanced_Sales_Dataset_2000__3[[#This Row],[Quantity]]*Excel_Advanced_Sales_Dataset_2000__3[[#This Row],[Unit Price]]-Excel_Advanced_Sales_Dataset_2000__3[[#This Row],[Discount Amount]]</f>
        <v>421007.52671999997</v>
      </c>
    </row>
    <row r="189" spans="1:20" x14ac:dyDescent="0.25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>
        <v>25</v>
      </c>
      <c r="J189" s="4">
        <v>37816.15</v>
      </c>
      <c r="K189" s="6">
        <v>5.0599999999999996</v>
      </c>
      <c r="L189" s="4">
        <v>897566.32</v>
      </c>
      <c r="M189" s="4" t="str" cm="1">
        <f t="array" ref="M189">IF(Excel_Advanced_Sales_Dataset_2000__3[[#This Row],[Total Sales]]&gt;50000,{"Yes"},{"No"})</f>
        <v>Yes</v>
      </c>
      <c r="N189" s="5">
        <v>46218</v>
      </c>
      <c r="O189" s="1" t="s">
        <v>58</v>
      </c>
      <c r="P189" t="s">
        <v>35</v>
      </c>
      <c r="Q189" t="str">
        <f>IF(Excel_Advanced_Sales_Dataset_2000__3[[#This Row],[Delivery Status]]="Pending","Follow Up","Ok")</f>
        <v>Ok</v>
      </c>
      <c r="R189" s="1" t="s">
        <v>36</v>
      </c>
      <c r="S189">
        <f>Excel_Advanced_Sales_Dataset_2000__3[[#This Row],[Quantity]]*Excel_Advanced_Sales_Dataset_2000__3[[#This Row],[Unit Price]]*Excel_Advanced_Sales_Dataset_2000__3[[#This Row],[Discount %]]/100</f>
        <v>47837.429749999996</v>
      </c>
      <c r="T189" s="4">
        <f>Excel_Advanced_Sales_Dataset_2000__3[[#This Row],[Quantity]]*Excel_Advanced_Sales_Dataset_2000__3[[#This Row],[Unit Price]]-Excel_Advanced_Sales_Dataset_2000__3[[#This Row],[Discount Amount]]</f>
        <v>897566.32024999999</v>
      </c>
    </row>
    <row r="190" spans="1:20" x14ac:dyDescent="0.25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>
        <v>17</v>
      </c>
      <c r="J190" s="4">
        <v>5086.3599999999997</v>
      </c>
      <c r="K190" s="6">
        <v>15.93</v>
      </c>
      <c r="L190" s="4">
        <v>72693.75</v>
      </c>
      <c r="M190" s="4" t="str" cm="1">
        <f t="array" ref="M190">IF(Excel_Advanced_Sales_Dataset_2000__3[[#This Row],[Total Sales]]&gt;50000,{"Yes"},{"No"})</f>
        <v>Yes</v>
      </c>
      <c r="N190" s="5">
        <v>46145</v>
      </c>
      <c r="O190" s="1" t="s">
        <v>68</v>
      </c>
      <c r="P190" t="s">
        <v>35</v>
      </c>
      <c r="Q190" t="str">
        <f>IF(Excel_Advanced_Sales_Dataset_2000__3[[#This Row],[Delivery Status]]="Pending","Follow Up","Ok")</f>
        <v>Ok</v>
      </c>
      <c r="R190" s="1" t="s">
        <v>26</v>
      </c>
      <c r="S190">
        <f>Excel_Advanced_Sales_Dataset_2000__3[[#This Row],[Quantity]]*Excel_Advanced_Sales_Dataset_2000__3[[#This Row],[Unit Price]]*Excel_Advanced_Sales_Dataset_2000__3[[#This Row],[Discount %]]/100</f>
        <v>13774.371515999999</v>
      </c>
      <c r="T190" s="4">
        <f>Excel_Advanced_Sales_Dataset_2000__3[[#This Row],[Quantity]]*Excel_Advanced_Sales_Dataset_2000__3[[#This Row],[Unit Price]]-Excel_Advanced_Sales_Dataset_2000__3[[#This Row],[Discount Amount]]</f>
        <v>72693.748483999996</v>
      </c>
    </row>
    <row r="191" spans="1:20" x14ac:dyDescent="0.25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>
        <v>40</v>
      </c>
      <c r="J191" s="4">
        <v>8365.56</v>
      </c>
      <c r="K191" s="6">
        <v>17.95</v>
      </c>
      <c r="L191" s="4">
        <v>274557.68</v>
      </c>
      <c r="M191" s="4" t="str" cm="1">
        <f t="array" ref="M191">IF(Excel_Advanced_Sales_Dataset_2000__3[[#This Row],[Total Sales]]&gt;50000,{"Yes"},{"No"})</f>
        <v>Yes</v>
      </c>
      <c r="N191" s="5">
        <v>46165</v>
      </c>
      <c r="O191" s="1" t="s">
        <v>24</v>
      </c>
      <c r="P191" t="s">
        <v>35</v>
      </c>
      <c r="Q191" t="str">
        <f>IF(Excel_Advanced_Sales_Dataset_2000__3[[#This Row],[Delivery Status]]="Pending","Follow Up","Ok")</f>
        <v>Ok</v>
      </c>
      <c r="R191" s="1" t="s">
        <v>36</v>
      </c>
      <c r="S191">
        <f>Excel_Advanced_Sales_Dataset_2000__3[[#This Row],[Quantity]]*Excel_Advanced_Sales_Dataset_2000__3[[#This Row],[Unit Price]]*Excel_Advanced_Sales_Dataset_2000__3[[#This Row],[Discount %]]/100</f>
        <v>60064.720799999988</v>
      </c>
      <c r="T191" s="4">
        <f>Excel_Advanced_Sales_Dataset_2000__3[[#This Row],[Quantity]]*Excel_Advanced_Sales_Dataset_2000__3[[#This Row],[Unit Price]]-Excel_Advanced_Sales_Dataset_2000__3[[#This Row],[Discount Amount]]</f>
        <v>274557.67919999996</v>
      </c>
    </row>
    <row r="192" spans="1:20" x14ac:dyDescent="0.25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>
        <v>29</v>
      </c>
      <c r="J192" s="4">
        <v>4515.49</v>
      </c>
      <c r="K192" s="6">
        <v>1.52</v>
      </c>
      <c r="L192" s="4">
        <v>128958.78</v>
      </c>
      <c r="M192" s="4" t="str" cm="1">
        <f t="array" ref="M192">IF(Excel_Advanced_Sales_Dataset_2000__3[[#This Row],[Total Sales]]&gt;50000,{"Yes"},{"No"})</f>
        <v>Yes</v>
      </c>
      <c r="N192" s="5">
        <v>46152</v>
      </c>
      <c r="O192" s="1" t="s">
        <v>68</v>
      </c>
      <c r="P192" t="s">
        <v>35</v>
      </c>
      <c r="Q192" t="str">
        <f>IF(Excel_Advanced_Sales_Dataset_2000__3[[#This Row],[Delivery Status]]="Pending","Follow Up","Ok")</f>
        <v>Ok</v>
      </c>
      <c r="R192" s="1" t="s">
        <v>36</v>
      </c>
      <c r="S192">
        <f>Excel_Advanced_Sales_Dataset_2000__3[[#This Row],[Quantity]]*Excel_Advanced_Sales_Dataset_2000__3[[#This Row],[Unit Price]]*Excel_Advanced_Sales_Dataset_2000__3[[#This Row],[Discount %]]/100</f>
        <v>1990.4279919999999</v>
      </c>
      <c r="T192" s="4">
        <f>Excel_Advanced_Sales_Dataset_2000__3[[#This Row],[Quantity]]*Excel_Advanced_Sales_Dataset_2000__3[[#This Row],[Unit Price]]-Excel_Advanced_Sales_Dataset_2000__3[[#This Row],[Discount Amount]]</f>
        <v>128958.78200799999</v>
      </c>
    </row>
    <row r="193" spans="1:20" x14ac:dyDescent="0.25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>
        <v>6</v>
      </c>
      <c r="J193" s="4">
        <v>41066.089999999997</v>
      </c>
      <c r="K193" s="6">
        <v>16.61</v>
      </c>
      <c r="L193" s="4">
        <v>205470.07</v>
      </c>
      <c r="M193" s="4" t="str" cm="1">
        <f t="array" ref="M193">IF(Excel_Advanced_Sales_Dataset_2000__3[[#This Row],[Total Sales]]&gt;50000,{"Yes"},{"No"})</f>
        <v>Yes</v>
      </c>
      <c r="N193" s="5">
        <v>46055</v>
      </c>
      <c r="O193" s="1" t="s">
        <v>68</v>
      </c>
      <c r="P193" t="s">
        <v>35</v>
      </c>
      <c r="Q193" t="str">
        <f>IF(Excel_Advanced_Sales_Dataset_2000__3[[#This Row],[Delivery Status]]="Pending","Follow Up","Ok")</f>
        <v>Ok</v>
      </c>
      <c r="R193" s="1" t="s">
        <v>36</v>
      </c>
      <c r="S193">
        <f>Excel_Advanced_Sales_Dataset_2000__3[[#This Row],[Quantity]]*Excel_Advanced_Sales_Dataset_2000__3[[#This Row],[Unit Price]]*Excel_Advanced_Sales_Dataset_2000__3[[#This Row],[Discount %]]/100</f>
        <v>40926.465293999994</v>
      </c>
      <c r="T193" s="4">
        <f>Excel_Advanced_Sales_Dataset_2000__3[[#This Row],[Quantity]]*Excel_Advanced_Sales_Dataset_2000__3[[#This Row],[Unit Price]]-Excel_Advanced_Sales_Dataset_2000__3[[#This Row],[Discount Amount]]</f>
        <v>205470.07470599998</v>
      </c>
    </row>
    <row r="194" spans="1:20" x14ac:dyDescent="0.25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>
        <v>2</v>
      </c>
      <c r="J194" s="4">
        <v>702.95</v>
      </c>
      <c r="K194" s="6">
        <v>2.42</v>
      </c>
      <c r="L194" s="4">
        <v>1371.88</v>
      </c>
      <c r="M194" s="4" t="str" cm="1">
        <f t="array" ref="M194">IF(Excel_Advanced_Sales_Dataset_2000__3[[#This Row],[Total Sales]]&gt;50000,{"Yes"},{"No"})</f>
        <v>No</v>
      </c>
      <c r="N194" s="5">
        <v>46059</v>
      </c>
      <c r="O194" s="1" t="s">
        <v>68</v>
      </c>
      <c r="P194" t="s">
        <v>35</v>
      </c>
      <c r="Q194" t="str">
        <f>IF(Excel_Advanced_Sales_Dataset_2000__3[[#This Row],[Delivery Status]]="Pending","Follow Up","Ok")</f>
        <v>Ok</v>
      </c>
      <c r="R194" s="1" t="s">
        <v>26</v>
      </c>
      <c r="S194">
        <f>Excel_Advanced_Sales_Dataset_2000__3[[#This Row],[Quantity]]*Excel_Advanced_Sales_Dataset_2000__3[[#This Row],[Unit Price]]*Excel_Advanced_Sales_Dataset_2000__3[[#This Row],[Discount %]]/100</f>
        <v>34.022780000000004</v>
      </c>
      <c r="T194" s="4">
        <f>Excel_Advanced_Sales_Dataset_2000__3[[#This Row],[Quantity]]*Excel_Advanced_Sales_Dataset_2000__3[[#This Row],[Unit Price]]-Excel_Advanced_Sales_Dataset_2000__3[[#This Row],[Discount Amount]]</f>
        <v>1371.8772200000001</v>
      </c>
    </row>
    <row r="195" spans="1:20" x14ac:dyDescent="0.25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>
        <v>1</v>
      </c>
      <c r="J195" s="4">
        <v>6023.65</v>
      </c>
      <c r="K195" s="6">
        <v>12.52</v>
      </c>
      <c r="L195" s="4">
        <v>5269.49</v>
      </c>
      <c r="M195" s="4" t="str" cm="1">
        <f t="array" ref="M195">IF(Excel_Advanced_Sales_Dataset_2000__3[[#This Row],[Total Sales]]&gt;50000,{"Yes"},{"No"})</f>
        <v>No</v>
      </c>
      <c r="N195" s="5">
        <v>46152</v>
      </c>
      <c r="O195" s="1" t="s">
        <v>58</v>
      </c>
      <c r="P195" t="s">
        <v>35</v>
      </c>
      <c r="Q195" t="str">
        <f>IF(Excel_Advanced_Sales_Dataset_2000__3[[#This Row],[Delivery Status]]="Pending","Follow Up","Ok")</f>
        <v>Ok</v>
      </c>
      <c r="R195" s="1" t="s">
        <v>36</v>
      </c>
      <c r="S195">
        <f>Excel_Advanced_Sales_Dataset_2000__3[[#This Row],[Quantity]]*Excel_Advanced_Sales_Dataset_2000__3[[#This Row],[Unit Price]]*Excel_Advanced_Sales_Dataset_2000__3[[#This Row],[Discount %]]/100</f>
        <v>754.16098</v>
      </c>
      <c r="T195" s="4">
        <f>Excel_Advanced_Sales_Dataset_2000__3[[#This Row],[Quantity]]*Excel_Advanced_Sales_Dataset_2000__3[[#This Row],[Unit Price]]-Excel_Advanced_Sales_Dataset_2000__3[[#This Row],[Discount Amount]]</f>
        <v>5269.48902</v>
      </c>
    </row>
    <row r="196" spans="1:20" x14ac:dyDescent="0.25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>
        <v>50</v>
      </c>
      <c r="J196" s="4">
        <v>19503.8</v>
      </c>
      <c r="K196" s="6">
        <v>15.06</v>
      </c>
      <c r="L196" s="4">
        <v>828326.39</v>
      </c>
      <c r="M196" s="4" t="str" cm="1">
        <f t="array" ref="M196">IF(Excel_Advanced_Sales_Dataset_2000__3[[#This Row],[Total Sales]]&gt;50000,{"Yes"},{"No"})</f>
        <v>Yes</v>
      </c>
      <c r="N196" s="5">
        <v>46200</v>
      </c>
      <c r="O196" s="1" t="s">
        <v>24</v>
      </c>
      <c r="P196" t="s">
        <v>35</v>
      </c>
      <c r="Q196" t="str">
        <f>IF(Excel_Advanced_Sales_Dataset_2000__3[[#This Row],[Delivery Status]]="Pending","Follow Up","Ok")</f>
        <v>Ok</v>
      </c>
      <c r="R196" s="1" t="s">
        <v>26</v>
      </c>
      <c r="S196">
        <f>Excel_Advanced_Sales_Dataset_2000__3[[#This Row],[Quantity]]*Excel_Advanced_Sales_Dataset_2000__3[[#This Row],[Unit Price]]*Excel_Advanced_Sales_Dataset_2000__3[[#This Row],[Discount %]]/100</f>
        <v>146863.614</v>
      </c>
      <c r="T196" s="4">
        <f>Excel_Advanced_Sales_Dataset_2000__3[[#This Row],[Quantity]]*Excel_Advanced_Sales_Dataset_2000__3[[#This Row],[Unit Price]]-Excel_Advanced_Sales_Dataset_2000__3[[#This Row],[Discount Amount]]</f>
        <v>828326.38599999994</v>
      </c>
    </row>
    <row r="197" spans="1:20" x14ac:dyDescent="0.25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>
        <v>2</v>
      </c>
      <c r="J197" s="4">
        <v>27983.86</v>
      </c>
      <c r="K197" s="6">
        <v>9.56</v>
      </c>
      <c r="L197" s="4">
        <v>50617.21</v>
      </c>
      <c r="M197" s="4" t="str" cm="1">
        <f t="array" ref="M197">IF(Excel_Advanced_Sales_Dataset_2000__3[[#This Row],[Total Sales]]&gt;50000,{"Yes"},{"No"})</f>
        <v>Yes</v>
      </c>
      <c r="N197" s="5">
        <v>46235</v>
      </c>
      <c r="O197" s="1" t="s">
        <v>113</v>
      </c>
      <c r="P197" t="s">
        <v>35</v>
      </c>
      <c r="Q197" t="str">
        <f>IF(Excel_Advanced_Sales_Dataset_2000__3[[#This Row],[Delivery Status]]="Pending","Follow Up","Ok")</f>
        <v>Ok</v>
      </c>
      <c r="R197" s="1" t="s">
        <v>53</v>
      </c>
      <c r="S197">
        <f>Excel_Advanced_Sales_Dataset_2000__3[[#This Row],[Quantity]]*Excel_Advanced_Sales_Dataset_2000__3[[#This Row],[Unit Price]]*Excel_Advanced_Sales_Dataset_2000__3[[#This Row],[Discount %]]/100</f>
        <v>5350.514032000001</v>
      </c>
      <c r="T197" s="4">
        <f>Excel_Advanced_Sales_Dataset_2000__3[[#This Row],[Quantity]]*Excel_Advanced_Sales_Dataset_2000__3[[#This Row],[Unit Price]]-Excel_Advanced_Sales_Dataset_2000__3[[#This Row],[Discount Amount]]</f>
        <v>50617.205968000002</v>
      </c>
    </row>
    <row r="198" spans="1:20" x14ac:dyDescent="0.25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>
        <v>33</v>
      </c>
      <c r="J198" s="4">
        <v>20009.900000000001</v>
      </c>
      <c r="K198" s="6">
        <v>0.78</v>
      </c>
      <c r="L198" s="4">
        <v>655176.15</v>
      </c>
      <c r="M198" s="4" t="str" cm="1">
        <f t="array" ref="M198">IF(Excel_Advanced_Sales_Dataset_2000__3[[#This Row],[Total Sales]]&gt;50000,{"Yes"},{"No"})</f>
        <v>Yes</v>
      </c>
      <c r="N198" s="5">
        <v>46386</v>
      </c>
      <c r="O198" s="1" t="s">
        <v>58</v>
      </c>
      <c r="P198" t="s">
        <v>35</v>
      </c>
      <c r="Q198" t="str">
        <f>IF(Excel_Advanced_Sales_Dataset_2000__3[[#This Row],[Delivery Status]]="Pending","Follow Up","Ok")</f>
        <v>Ok</v>
      </c>
      <c r="R198" s="1" t="s">
        <v>53</v>
      </c>
      <c r="S198">
        <f>Excel_Advanced_Sales_Dataset_2000__3[[#This Row],[Quantity]]*Excel_Advanced_Sales_Dataset_2000__3[[#This Row],[Unit Price]]*Excel_Advanced_Sales_Dataset_2000__3[[#This Row],[Discount %]]/100</f>
        <v>5150.5482600000005</v>
      </c>
      <c r="T198" s="4">
        <f>Excel_Advanced_Sales_Dataset_2000__3[[#This Row],[Quantity]]*Excel_Advanced_Sales_Dataset_2000__3[[#This Row],[Unit Price]]-Excel_Advanced_Sales_Dataset_2000__3[[#This Row],[Discount Amount]]</f>
        <v>655176.15174000012</v>
      </c>
    </row>
    <row r="199" spans="1:20" x14ac:dyDescent="0.25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>
        <v>8</v>
      </c>
      <c r="J199" s="4">
        <v>46561.82</v>
      </c>
      <c r="K199" s="6">
        <v>11.43</v>
      </c>
      <c r="L199" s="4">
        <v>329918.43</v>
      </c>
      <c r="M199" s="4" t="str" cm="1">
        <f t="array" ref="M199">IF(Excel_Advanced_Sales_Dataset_2000__3[[#This Row],[Total Sales]]&gt;50000,{"Yes"},{"No"})</f>
        <v>Yes</v>
      </c>
      <c r="N199" s="5">
        <v>46064</v>
      </c>
      <c r="O199" s="1" t="s">
        <v>113</v>
      </c>
      <c r="P199" t="s">
        <v>25</v>
      </c>
      <c r="Q199" t="str">
        <f>IF(Excel_Advanced_Sales_Dataset_2000__3[[#This Row],[Delivery Status]]="Pending","Follow Up","Ok")</f>
        <v>Follow Up</v>
      </c>
      <c r="R199" s="1" t="s">
        <v>26</v>
      </c>
      <c r="S199">
        <f>Excel_Advanced_Sales_Dataset_2000__3[[#This Row],[Quantity]]*Excel_Advanced_Sales_Dataset_2000__3[[#This Row],[Unit Price]]*Excel_Advanced_Sales_Dataset_2000__3[[#This Row],[Discount %]]/100</f>
        <v>42576.128208000002</v>
      </c>
      <c r="T199" s="4">
        <f>Excel_Advanced_Sales_Dataset_2000__3[[#This Row],[Quantity]]*Excel_Advanced_Sales_Dataset_2000__3[[#This Row],[Unit Price]]-Excel_Advanced_Sales_Dataset_2000__3[[#This Row],[Discount Amount]]</f>
        <v>329918.43179200002</v>
      </c>
    </row>
    <row r="200" spans="1:20" x14ac:dyDescent="0.25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>
        <v>36</v>
      </c>
      <c r="J200" s="4">
        <v>39044.720000000001</v>
      </c>
      <c r="K200" s="6">
        <v>10.9</v>
      </c>
      <c r="L200" s="4">
        <v>1252398.44</v>
      </c>
      <c r="M200" s="4" t="str" cm="1">
        <f t="array" ref="M200">IF(Excel_Advanced_Sales_Dataset_2000__3[[#This Row],[Total Sales]]&gt;50000,{"Yes"},{"No"})</f>
        <v>Yes</v>
      </c>
      <c r="N200" s="5">
        <v>46118</v>
      </c>
      <c r="O200" s="1" t="s">
        <v>58</v>
      </c>
      <c r="P200" t="s">
        <v>59</v>
      </c>
      <c r="Q200" t="str">
        <f>IF(Excel_Advanced_Sales_Dataset_2000__3[[#This Row],[Delivery Status]]="Pending","Follow Up","Ok")</f>
        <v>Ok</v>
      </c>
      <c r="R200" s="1" t="s">
        <v>26</v>
      </c>
      <c r="S200">
        <f>Excel_Advanced_Sales_Dataset_2000__3[[#This Row],[Quantity]]*Excel_Advanced_Sales_Dataset_2000__3[[#This Row],[Unit Price]]*Excel_Advanced_Sales_Dataset_2000__3[[#This Row],[Discount %]]/100</f>
        <v>153211.48128000001</v>
      </c>
      <c r="T200" s="4">
        <f>Excel_Advanced_Sales_Dataset_2000__3[[#This Row],[Quantity]]*Excel_Advanced_Sales_Dataset_2000__3[[#This Row],[Unit Price]]-Excel_Advanced_Sales_Dataset_2000__3[[#This Row],[Discount Amount]]</f>
        <v>1252398.43872</v>
      </c>
    </row>
    <row r="201" spans="1:20" x14ac:dyDescent="0.25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>
        <v>10</v>
      </c>
      <c r="J201" s="4">
        <v>12060.57</v>
      </c>
      <c r="K201" s="6">
        <v>10.02</v>
      </c>
      <c r="L201" s="4">
        <v>108521.01</v>
      </c>
      <c r="M201" s="4" t="str" cm="1">
        <f t="array" ref="M201">IF(Excel_Advanced_Sales_Dataset_2000__3[[#This Row],[Total Sales]]&gt;50000,{"Yes"},{"No"})</f>
        <v>Yes</v>
      </c>
      <c r="N201" s="5">
        <v>46219</v>
      </c>
      <c r="O201" s="1" t="s">
        <v>45</v>
      </c>
      <c r="P201" t="s">
        <v>35</v>
      </c>
      <c r="Q201" t="str">
        <f>IF(Excel_Advanced_Sales_Dataset_2000__3[[#This Row],[Delivery Status]]="Pending","Follow Up","Ok")</f>
        <v>Ok</v>
      </c>
      <c r="R201" s="1" t="s">
        <v>26</v>
      </c>
      <c r="S201">
        <f>Excel_Advanced_Sales_Dataset_2000__3[[#This Row],[Quantity]]*Excel_Advanced_Sales_Dataset_2000__3[[#This Row],[Unit Price]]*Excel_Advanced_Sales_Dataset_2000__3[[#This Row],[Discount %]]/100</f>
        <v>12084.691139999999</v>
      </c>
      <c r="T201" s="4">
        <f>Excel_Advanced_Sales_Dataset_2000__3[[#This Row],[Quantity]]*Excel_Advanced_Sales_Dataset_2000__3[[#This Row],[Unit Price]]-Excel_Advanced_Sales_Dataset_2000__3[[#This Row],[Discount Amount]]</f>
        <v>108521.00886</v>
      </c>
    </row>
    <row r="202" spans="1:20" x14ac:dyDescent="0.25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>
        <v>1</v>
      </c>
      <c r="J202" s="4">
        <v>28407.31</v>
      </c>
      <c r="K202" s="6">
        <v>11.09</v>
      </c>
      <c r="L202" s="4">
        <v>25256.94</v>
      </c>
      <c r="M202" s="4" t="str" cm="1">
        <f t="array" ref="M202">IF(Excel_Advanced_Sales_Dataset_2000__3[[#This Row],[Total Sales]]&gt;50000,{"Yes"},{"No"})</f>
        <v>No</v>
      </c>
      <c r="N202" s="5">
        <v>46225</v>
      </c>
      <c r="O202" s="1" t="s">
        <v>68</v>
      </c>
      <c r="P202" t="s">
        <v>35</v>
      </c>
      <c r="Q202" t="str">
        <f>IF(Excel_Advanced_Sales_Dataset_2000__3[[#This Row],[Delivery Status]]="Pending","Follow Up","Ok")</f>
        <v>Ok</v>
      </c>
      <c r="R202" s="1" t="s">
        <v>53</v>
      </c>
      <c r="S202">
        <f>Excel_Advanced_Sales_Dataset_2000__3[[#This Row],[Quantity]]*Excel_Advanced_Sales_Dataset_2000__3[[#This Row],[Unit Price]]*Excel_Advanced_Sales_Dataset_2000__3[[#This Row],[Discount %]]/100</f>
        <v>3150.3706790000001</v>
      </c>
      <c r="T202" s="4">
        <f>Excel_Advanced_Sales_Dataset_2000__3[[#This Row],[Quantity]]*Excel_Advanced_Sales_Dataset_2000__3[[#This Row],[Unit Price]]-Excel_Advanced_Sales_Dataset_2000__3[[#This Row],[Discount Amount]]</f>
        <v>25256.939321000002</v>
      </c>
    </row>
    <row r="203" spans="1:20" x14ac:dyDescent="0.25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>
        <v>26</v>
      </c>
      <c r="J203" s="4">
        <v>4367.99</v>
      </c>
      <c r="K203" s="6">
        <v>9.77</v>
      </c>
      <c r="L203" s="4">
        <v>102472.17</v>
      </c>
      <c r="M203" s="4" t="str" cm="1">
        <f t="array" ref="M203">IF(Excel_Advanced_Sales_Dataset_2000__3[[#This Row],[Total Sales]]&gt;50000,{"Yes"},{"No"})</f>
        <v>Yes</v>
      </c>
      <c r="N203" s="5">
        <v>46302</v>
      </c>
      <c r="O203" s="1" t="s">
        <v>58</v>
      </c>
      <c r="P203" t="s">
        <v>59</v>
      </c>
      <c r="Q203" t="str">
        <f>IF(Excel_Advanced_Sales_Dataset_2000__3[[#This Row],[Delivery Status]]="Pending","Follow Up","Ok")</f>
        <v>Ok</v>
      </c>
      <c r="R203" s="1" t="s">
        <v>53</v>
      </c>
      <c r="S203">
        <f>Excel_Advanced_Sales_Dataset_2000__3[[#This Row],[Quantity]]*Excel_Advanced_Sales_Dataset_2000__3[[#This Row],[Unit Price]]*Excel_Advanced_Sales_Dataset_2000__3[[#This Row],[Discount %]]/100</f>
        <v>11095.568197999999</v>
      </c>
      <c r="T203" s="4">
        <f>Excel_Advanced_Sales_Dataset_2000__3[[#This Row],[Quantity]]*Excel_Advanced_Sales_Dataset_2000__3[[#This Row],[Unit Price]]-Excel_Advanced_Sales_Dataset_2000__3[[#This Row],[Discount Amount]]</f>
        <v>102472.171802</v>
      </c>
    </row>
    <row r="204" spans="1:20" x14ac:dyDescent="0.25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>
        <v>16</v>
      </c>
      <c r="J204" s="4">
        <v>38770.46</v>
      </c>
      <c r="K204" s="6">
        <v>18.12</v>
      </c>
      <c r="L204" s="4">
        <v>507924.04</v>
      </c>
      <c r="M204" s="4" t="str" cm="1">
        <f t="array" ref="M204">IF(Excel_Advanced_Sales_Dataset_2000__3[[#This Row],[Total Sales]]&gt;50000,{"Yes"},{"No"})</f>
        <v>Yes</v>
      </c>
      <c r="N204" s="5">
        <v>46153</v>
      </c>
      <c r="O204" s="1" t="s">
        <v>68</v>
      </c>
      <c r="P204" t="s">
        <v>35</v>
      </c>
      <c r="Q204" t="str">
        <f>IF(Excel_Advanced_Sales_Dataset_2000__3[[#This Row],[Delivery Status]]="Pending","Follow Up","Ok")</f>
        <v>Ok</v>
      </c>
      <c r="R204" s="1" t="s">
        <v>26</v>
      </c>
      <c r="S204">
        <f>Excel_Advanced_Sales_Dataset_2000__3[[#This Row],[Quantity]]*Excel_Advanced_Sales_Dataset_2000__3[[#This Row],[Unit Price]]*Excel_Advanced_Sales_Dataset_2000__3[[#This Row],[Discount %]]/100</f>
        <v>112403.31763200001</v>
      </c>
      <c r="T204" s="4">
        <f>Excel_Advanced_Sales_Dataset_2000__3[[#This Row],[Quantity]]*Excel_Advanced_Sales_Dataset_2000__3[[#This Row],[Unit Price]]-Excel_Advanced_Sales_Dataset_2000__3[[#This Row],[Discount Amount]]</f>
        <v>507924.04236799997</v>
      </c>
    </row>
    <row r="205" spans="1:20" x14ac:dyDescent="0.25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>
        <v>21</v>
      </c>
      <c r="J205" s="4">
        <v>41015</v>
      </c>
      <c r="K205" s="6">
        <v>5.23</v>
      </c>
      <c r="L205" s="4">
        <v>816268.23</v>
      </c>
      <c r="M205" s="4" t="str" cm="1">
        <f t="array" ref="M205">IF(Excel_Advanced_Sales_Dataset_2000__3[[#This Row],[Total Sales]]&gt;50000,{"Yes"},{"No"})</f>
        <v>Yes</v>
      </c>
      <c r="N205" s="5">
        <v>46332</v>
      </c>
      <c r="O205" s="1" t="s">
        <v>24</v>
      </c>
      <c r="P205" t="s">
        <v>35</v>
      </c>
      <c r="Q205" t="str">
        <f>IF(Excel_Advanced_Sales_Dataset_2000__3[[#This Row],[Delivery Status]]="Pending","Follow Up","Ok")</f>
        <v>Ok</v>
      </c>
      <c r="R205" s="1" t="s">
        <v>53</v>
      </c>
      <c r="S205">
        <f>Excel_Advanced_Sales_Dataset_2000__3[[#This Row],[Quantity]]*Excel_Advanced_Sales_Dataset_2000__3[[#This Row],[Unit Price]]*Excel_Advanced_Sales_Dataset_2000__3[[#This Row],[Discount %]]/100</f>
        <v>45046.7745</v>
      </c>
      <c r="T205" s="4">
        <f>Excel_Advanced_Sales_Dataset_2000__3[[#This Row],[Quantity]]*Excel_Advanced_Sales_Dataset_2000__3[[#This Row],[Unit Price]]-Excel_Advanced_Sales_Dataset_2000__3[[#This Row],[Discount Amount]]</f>
        <v>816268.22549999994</v>
      </c>
    </row>
    <row r="206" spans="1:20" x14ac:dyDescent="0.25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>
        <v>31</v>
      </c>
      <c r="J206" s="4">
        <v>15811.65</v>
      </c>
      <c r="K206" s="6">
        <v>0.6</v>
      </c>
      <c r="L206" s="4">
        <v>487220.18</v>
      </c>
      <c r="M206" s="4" t="str" cm="1">
        <f t="array" ref="M206">IF(Excel_Advanced_Sales_Dataset_2000__3[[#This Row],[Total Sales]]&gt;50000,{"Yes"},{"No"})</f>
        <v>Yes</v>
      </c>
      <c r="N206" s="5">
        <v>46228</v>
      </c>
      <c r="O206" s="1" t="s">
        <v>45</v>
      </c>
      <c r="P206" t="s">
        <v>35</v>
      </c>
      <c r="Q206" t="str">
        <f>IF(Excel_Advanced_Sales_Dataset_2000__3[[#This Row],[Delivery Status]]="Pending","Follow Up","Ok")</f>
        <v>Ok</v>
      </c>
      <c r="R206" s="1" t="s">
        <v>53</v>
      </c>
      <c r="S206">
        <f>Excel_Advanced_Sales_Dataset_2000__3[[#This Row],[Quantity]]*Excel_Advanced_Sales_Dataset_2000__3[[#This Row],[Unit Price]]*Excel_Advanced_Sales_Dataset_2000__3[[#This Row],[Discount %]]/100</f>
        <v>2940.9668999999994</v>
      </c>
      <c r="T206" s="4">
        <f>Excel_Advanced_Sales_Dataset_2000__3[[#This Row],[Quantity]]*Excel_Advanced_Sales_Dataset_2000__3[[#This Row],[Unit Price]]-Excel_Advanced_Sales_Dataset_2000__3[[#This Row],[Discount Amount]]</f>
        <v>487220.18309999997</v>
      </c>
    </row>
    <row r="207" spans="1:20" x14ac:dyDescent="0.25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>
        <v>25</v>
      </c>
      <c r="J207" s="4">
        <v>3370.45</v>
      </c>
      <c r="K207" s="6">
        <v>4.47</v>
      </c>
      <c r="L207" s="4">
        <v>80494.77</v>
      </c>
      <c r="M207" s="4" t="str" cm="1">
        <f t="array" ref="M207">IF(Excel_Advanced_Sales_Dataset_2000__3[[#This Row],[Total Sales]]&gt;50000,{"Yes"},{"No"})</f>
        <v>Yes</v>
      </c>
      <c r="N207" s="5">
        <v>46225</v>
      </c>
      <c r="O207" s="1" t="s">
        <v>68</v>
      </c>
      <c r="P207" t="s">
        <v>35</v>
      </c>
      <c r="Q207" t="str">
        <f>IF(Excel_Advanced_Sales_Dataset_2000__3[[#This Row],[Delivery Status]]="Pending","Follow Up","Ok")</f>
        <v>Ok</v>
      </c>
      <c r="R207" s="1" t="s">
        <v>26</v>
      </c>
      <c r="S207">
        <f>Excel_Advanced_Sales_Dataset_2000__3[[#This Row],[Quantity]]*Excel_Advanced_Sales_Dataset_2000__3[[#This Row],[Unit Price]]*Excel_Advanced_Sales_Dataset_2000__3[[#This Row],[Discount %]]/100</f>
        <v>3766.4778749999996</v>
      </c>
      <c r="T207" s="4">
        <f>Excel_Advanced_Sales_Dataset_2000__3[[#This Row],[Quantity]]*Excel_Advanced_Sales_Dataset_2000__3[[#This Row],[Unit Price]]-Excel_Advanced_Sales_Dataset_2000__3[[#This Row],[Discount Amount]]</f>
        <v>80494.772125000003</v>
      </c>
    </row>
    <row r="208" spans="1:20" x14ac:dyDescent="0.25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>
        <v>14</v>
      </c>
      <c r="J208" s="4">
        <v>25278.560000000001</v>
      </c>
      <c r="K208" s="6">
        <v>16.739999999999998</v>
      </c>
      <c r="L208" s="4">
        <v>294657.01</v>
      </c>
      <c r="M208" s="4" t="str" cm="1">
        <f t="array" ref="M208">IF(Excel_Advanced_Sales_Dataset_2000__3[[#This Row],[Total Sales]]&gt;50000,{"Yes"},{"No"})</f>
        <v>Yes</v>
      </c>
      <c r="N208" s="5">
        <v>46104</v>
      </c>
      <c r="O208" s="1" t="s">
        <v>45</v>
      </c>
      <c r="P208" t="s">
        <v>35</v>
      </c>
      <c r="Q208" t="str">
        <f>IF(Excel_Advanced_Sales_Dataset_2000__3[[#This Row],[Delivery Status]]="Pending","Follow Up","Ok")</f>
        <v>Ok</v>
      </c>
      <c r="R208" s="1" t="s">
        <v>53</v>
      </c>
      <c r="S208">
        <f>Excel_Advanced_Sales_Dataset_2000__3[[#This Row],[Quantity]]*Excel_Advanced_Sales_Dataset_2000__3[[#This Row],[Unit Price]]*Excel_Advanced_Sales_Dataset_2000__3[[#This Row],[Discount %]]/100</f>
        <v>59242.833215999992</v>
      </c>
      <c r="T208" s="4">
        <f>Excel_Advanced_Sales_Dataset_2000__3[[#This Row],[Quantity]]*Excel_Advanced_Sales_Dataset_2000__3[[#This Row],[Unit Price]]-Excel_Advanced_Sales_Dataset_2000__3[[#This Row],[Discount Amount]]</f>
        <v>294657.00678400003</v>
      </c>
    </row>
    <row r="209" spans="1:20" x14ac:dyDescent="0.25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>
        <v>7</v>
      </c>
      <c r="J209" s="4">
        <v>41849.72</v>
      </c>
      <c r="K209" s="6">
        <v>15.47</v>
      </c>
      <c r="L209" s="4">
        <v>247628.98</v>
      </c>
      <c r="M209" s="4" t="str" cm="1">
        <f t="array" ref="M209">IF(Excel_Advanced_Sales_Dataset_2000__3[[#This Row],[Total Sales]]&gt;50000,{"Yes"},{"No"})</f>
        <v>Yes</v>
      </c>
      <c r="N209" s="5">
        <v>46041</v>
      </c>
      <c r="O209" s="1" t="s">
        <v>68</v>
      </c>
      <c r="P209" t="s">
        <v>35</v>
      </c>
      <c r="Q209" t="str">
        <f>IF(Excel_Advanced_Sales_Dataset_2000__3[[#This Row],[Delivery Status]]="Pending","Follow Up","Ok")</f>
        <v>Ok</v>
      </c>
      <c r="R209" s="1" t="s">
        <v>36</v>
      </c>
      <c r="S209">
        <f>Excel_Advanced_Sales_Dataset_2000__3[[#This Row],[Quantity]]*Excel_Advanced_Sales_Dataset_2000__3[[#This Row],[Unit Price]]*Excel_Advanced_Sales_Dataset_2000__3[[#This Row],[Discount %]]/100</f>
        <v>45319.061788000006</v>
      </c>
      <c r="T209" s="4">
        <f>Excel_Advanced_Sales_Dataset_2000__3[[#This Row],[Quantity]]*Excel_Advanced_Sales_Dataset_2000__3[[#This Row],[Unit Price]]-Excel_Advanced_Sales_Dataset_2000__3[[#This Row],[Discount Amount]]</f>
        <v>247628.97821200005</v>
      </c>
    </row>
    <row r="210" spans="1:20" x14ac:dyDescent="0.25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>
        <v>4</v>
      </c>
      <c r="J210" s="4">
        <v>24290.91</v>
      </c>
      <c r="K210" s="6">
        <v>17.29</v>
      </c>
      <c r="L210" s="4">
        <v>80364.05</v>
      </c>
      <c r="M210" s="4" t="str" cm="1">
        <f t="array" ref="M210">IF(Excel_Advanced_Sales_Dataset_2000__3[[#This Row],[Total Sales]]&gt;50000,{"Yes"},{"No"})</f>
        <v>Yes</v>
      </c>
      <c r="N210" s="5">
        <v>46314</v>
      </c>
      <c r="O210" s="1" t="s">
        <v>58</v>
      </c>
      <c r="P210" t="s">
        <v>35</v>
      </c>
      <c r="Q210" t="str">
        <f>IF(Excel_Advanced_Sales_Dataset_2000__3[[#This Row],[Delivery Status]]="Pending","Follow Up","Ok")</f>
        <v>Ok</v>
      </c>
      <c r="R210" s="1" t="s">
        <v>26</v>
      </c>
      <c r="S210">
        <f>Excel_Advanced_Sales_Dataset_2000__3[[#This Row],[Quantity]]*Excel_Advanced_Sales_Dataset_2000__3[[#This Row],[Unit Price]]*Excel_Advanced_Sales_Dataset_2000__3[[#This Row],[Discount %]]/100</f>
        <v>16799.593355999998</v>
      </c>
      <c r="T210" s="4">
        <f>Excel_Advanced_Sales_Dataset_2000__3[[#This Row],[Quantity]]*Excel_Advanced_Sales_Dataset_2000__3[[#This Row],[Unit Price]]-Excel_Advanced_Sales_Dataset_2000__3[[#This Row],[Discount Amount]]</f>
        <v>80364.046644000002</v>
      </c>
    </row>
    <row r="211" spans="1:20" x14ac:dyDescent="0.25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>
        <v>47</v>
      </c>
      <c r="J211" s="4">
        <v>40798.559999999998</v>
      </c>
      <c r="K211" s="6">
        <v>4.04</v>
      </c>
      <c r="L211" s="4">
        <v>1840064.01</v>
      </c>
      <c r="M211" s="4" t="str" cm="1">
        <f t="array" ref="M211">IF(Excel_Advanced_Sales_Dataset_2000__3[[#This Row],[Total Sales]]&gt;50000,{"Yes"},{"No"})</f>
        <v>Yes</v>
      </c>
      <c r="N211" s="5">
        <v>46262</v>
      </c>
      <c r="O211" s="1" t="s">
        <v>113</v>
      </c>
      <c r="P211" t="s">
        <v>35</v>
      </c>
      <c r="Q211" t="str">
        <f>IF(Excel_Advanced_Sales_Dataset_2000__3[[#This Row],[Delivery Status]]="Pending","Follow Up","Ok")</f>
        <v>Ok</v>
      </c>
      <c r="R211" s="1" t="s">
        <v>53</v>
      </c>
      <c r="S211">
        <f>Excel_Advanced_Sales_Dataset_2000__3[[#This Row],[Quantity]]*Excel_Advanced_Sales_Dataset_2000__3[[#This Row],[Unit Price]]*Excel_Advanced_Sales_Dataset_2000__3[[#This Row],[Discount %]]/100</f>
        <v>77468.305727999992</v>
      </c>
      <c r="T211" s="4">
        <f>Excel_Advanced_Sales_Dataset_2000__3[[#This Row],[Quantity]]*Excel_Advanced_Sales_Dataset_2000__3[[#This Row],[Unit Price]]-Excel_Advanced_Sales_Dataset_2000__3[[#This Row],[Discount Amount]]</f>
        <v>1840064.0142719999</v>
      </c>
    </row>
    <row r="212" spans="1:20" x14ac:dyDescent="0.25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>
        <v>23</v>
      </c>
      <c r="J212" s="4">
        <v>21198.47</v>
      </c>
      <c r="K212" s="6">
        <v>16.61</v>
      </c>
      <c r="L212" s="4">
        <v>406580.3</v>
      </c>
      <c r="M212" s="4" t="str" cm="1">
        <f t="array" ref="M212">IF(Excel_Advanced_Sales_Dataset_2000__3[[#This Row],[Total Sales]]&gt;50000,{"Yes"},{"No"})</f>
        <v>Yes</v>
      </c>
      <c r="N212" s="5">
        <v>46210</v>
      </c>
      <c r="O212" s="1" t="s">
        <v>113</v>
      </c>
      <c r="P212" t="s">
        <v>25</v>
      </c>
      <c r="Q212" t="str">
        <f>IF(Excel_Advanced_Sales_Dataset_2000__3[[#This Row],[Delivery Status]]="Pending","Follow Up","Ok")</f>
        <v>Follow Up</v>
      </c>
      <c r="R212" s="1" t="s">
        <v>53</v>
      </c>
      <c r="S212">
        <f>Excel_Advanced_Sales_Dataset_2000__3[[#This Row],[Quantity]]*Excel_Advanced_Sales_Dataset_2000__3[[#This Row],[Unit Price]]*Excel_Advanced_Sales_Dataset_2000__3[[#This Row],[Discount %]]/100</f>
        <v>80984.514941000001</v>
      </c>
      <c r="T212" s="4">
        <f>Excel_Advanced_Sales_Dataset_2000__3[[#This Row],[Quantity]]*Excel_Advanced_Sales_Dataset_2000__3[[#This Row],[Unit Price]]-Excel_Advanced_Sales_Dataset_2000__3[[#This Row],[Discount Amount]]</f>
        <v>406580.29505900003</v>
      </c>
    </row>
    <row r="213" spans="1:20" x14ac:dyDescent="0.25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>
        <v>42</v>
      </c>
      <c r="J213" s="4">
        <v>2437.04</v>
      </c>
      <c r="K213" s="6">
        <v>10.029999999999999</v>
      </c>
      <c r="L213" s="4">
        <v>92089.41</v>
      </c>
      <c r="M213" s="4" t="str" cm="1">
        <f t="array" ref="M213">IF(Excel_Advanced_Sales_Dataset_2000__3[[#This Row],[Total Sales]]&gt;50000,{"Yes"},{"No"})</f>
        <v>Yes</v>
      </c>
      <c r="N213" s="5">
        <v>46162</v>
      </c>
      <c r="O213" s="1" t="s">
        <v>68</v>
      </c>
      <c r="P213" t="s">
        <v>35</v>
      </c>
      <c r="Q213" t="str">
        <f>IF(Excel_Advanced_Sales_Dataset_2000__3[[#This Row],[Delivery Status]]="Pending","Follow Up","Ok")</f>
        <v>Ok</v>
      </c>
      <c r="R213" s="1" t="s">
        <v>26</v>
      </c>
      <c r="S213">
        <f>Excel_Advanced_Sales_Dataset_2000__3[[#This Row],[Quantity]]*Excel_Advanced_Sales_Dataset_2000__3[[#This Row],[Unit Price]]*Excel_Advanced_Sales_Dataset_2000__3[[#This Row],[Discount %]]/100</f>
        <v>10266.274703999999</v>
      </c>
      <c r="T213" s="4">
        <f>Excel_Advanced_Sales_Dataset_2000__3[[#This Row],[Quantity]]*Excel_Advanced_Sales_Dataset_2000__3[[#This Row],[Unit Price]]-Excel_Advanced_Sales_Dataset_2000__3[[#This Row],[Discount Amount]]</f>
        <v>92089.405295999997</v>
      </c>
    </row>
    <row r="214" spans="1:20" x14ac:dyDescent="0.25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>
        <v>45</v>
      </c>
      <c r="J214" s="4">
        <v>7297.91</v>
      </c>
      <c r="K214" s="6">
        <v>13.82</v>
      </c>
      <c r="L214" s="4">
        <v>283020.25</v>
      </c>
      <c r="M214" s="4" t="str" cm="1">
        <f t="array" ref="M214">IF(Excel_Advanced_Sales_Dataset_2000__3[[#This Row],[Total Sales]]&gt;50000,{"Yes"},{"No"})</f>
        <v>Yes</v>
      </c>
      <c r="N214" s="5">
        <v>46335</v>
      </c>
      <c r="O214" s="1" t="s">
        <v>45</v>
      </c>
      <c r="P214" t="s">
        <v>35</v>
      </c>
      <c r="Q214" t="str">
        <f>IF(Excel_Advanced_Sales_Dataset_2000__3[[#This Row],[Delivery Status]]="Pending","Follow Up","Ok")</f>
        <v>Ok</v>
      </c>
      <c r="R214" s="1" t="s">
        <v>53</v>
      </c>
      <c r="S214">
        <f>Excel_Advanced_Sales_Dataset_2000__3[[#This Row],[Quantity]]*Excel_Advanced_Sales_Dataset_2000__3[[#This Row],[Unit Price]]*Excel_Advanced_Sales_Dataset_2000__3[[#This Row],[Discount %]]/100</f>
        <v>45385.702290000001</v>
      </c>
      <c r="T214" s="4">
        <f>Excel_Advanced_Sales_Dataset_2000__3[[#This Row],[Quantity]]*Excel_Advanced_Sales_Dataset_2000__3[[#This Row],[Unit Price]]-Excel_Advanced_Sales_Dataset_2000__3[[#This Row],[Discount Amount]]</f>
        <v>283020.24771000003</v>
      </c>
    </row>
    <row r="215" spans="1:20" x14ac:dyDescent="0.25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>
        <v>40</v>
      </c>
      <c r="J215" s="4">
        <v>21412.98</v>
      </c>
      <c r="K215" s="6">
        <v>16.71</v>
      </c>
      <c r="L215" s="4">
        <v>713394.84</v>
      </c>
      <c r="M215" s="4" t="str" cm="1">
        <f t="array" ref="M215">IF(Excel_Advanced_Sales_Dataset_2000__3[[#This Row],[Total Sales]]&gt;50000,{"Yes"},{"No"})</f>
        <v>Yes</v>
      </c>
      <c r="N215" s="5">
        <v>46214</v>
      </c>
      <c r="O215" s="1" t="s">
        <v>58</v>
      </c>
      <c r="P215" t="s">
        <v>35</v>
      </c>
      <c r="Q215" t="str">
        <f>IF(Excel_Advanced_Sales_Dataset_2000__3[[#This Row],[Delivery Status]]="Pending","Follow Up","Ok")</f>
        <v>Ok</v>
      </c>
      <c r="R215" s="1" t="s">
        <v>36</v>
      </c>
      <c r="S215">
        <f>Excel_Advanced_Sales_Dataset_2000__3[[#This Row],[Quantity]]*Excel_Advanced_Sales_Dataset_2000__3[[#This Row],[Unit Price]]*Excel_Advanced_Sales_Dataset_2000__3[[#This Row],[Discount %]]/100</f>
        <v>143124.35832</v>
      </c>
      <c r="T215" s="4">
        <f>Excel_Advanced_Sales_Dataset_2000__3[[#This Row],[Quantity]]*Excel_Advanced_Sales_Dataset_2000__3[[#This Row],[Unit Price]]-Excel_Advanced_Sales_Dataset_2000__3[[#This Row],[Discount Amount]]</f>
        <v>713394.84167999995</v>
      </c>
    </row>
    <row r="216" spans="1:20" x14ac:dyDescent="0.25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>
        <v>46</v>
      </c>
      <c r="J216" s="4">
        <v>41021.25</v>
      </c>
      <c r="K216" s="6">
        <v>10.130000000000001</v>
      </c>
      <c r="L216" s="4">
        <v>1695826.68</v>
      </c>
      <c r="M216" s="4" t="str" cm="1">
        <f t="array" ref="M216">IF(Excel_Advanced_Sales_Dataset_2000__3[[#This Row],[Total Sales]]&gt;50000,{"Yes"},{"No"})</f>
        <v>Yes</v>
      </c>
      <c r="N216" s="5">
        <v>46358</v>
      </c>
      <c r="O216" s="1" t="s">
        <v>113</v>
      </c>
      <c r="P216" t="s">
        <v>25</v>
      </c>
      <c r="Q216" t="str">
        <f>IF(Excel_Advanced_Sales_Dataset_2000__3[[#This Row],[Delivery Status]]="Pending","Follow Up","Ok")</f>
        <v>Follow Up</v>
      </c>
      <c r="R216" s="1" t="s">
        <v>26</v>
      </c>
      <c r="S216">
        <f>Excel_Advanced_Sales_Dataset_2000__3[[#This Row],[Quantity]]*Excel_Advanced_Sales_Dataset_2000__3[[#This Row],[Unit Price]]*Excel_Advanced_Sales_Dataset_2000__3[[#This Row],[Discount %]]/100</f>
        <v>191150.82075000004</v>
      </c>
      <c r="T216" s="4">
        <f>Excel_Advanced_Sales_Dataset_2000__3[[#This Row],[Quantity]]*Excel_Advanced_Sales_Dataset_2000__3[[#This Row],[Unit Price]]-Excel_Advanced_Sales_Dataset_2000__3[[#This Row],[Discount Amount]]</f>
        <v>1695826.67925</v>
      </c>
    </row>
    <row r="217" spans="1:20" x14ac:dyDescent="0.25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>
        <v>45</v>
      </c>
      <c r="J217" s="4">
        <v>19164.189999999999</v>
      </c>
      <c r="K217" s="6">
        <v>4.0199999999999996</v>
      </c>
      <c r="L217" s="4">
        <v>827720.53</v>
      </c>
      <c r="M217" s="4" t="str" cm="1">
        <f t="array" ref="M217">IF(Excel_Advanced_Sales_Dataset_2000__3[[#This Row],[Total Sales]]&gt;50000,{"Yes"},{"No"})</f>
        <v>Yes</v>
      </c>
      <c r="N217" s="5">
        <v>46174</v>
      </c>
      <c r="O217" s="1" t="s">
        <v>58</v>
      </c>
      <c r="P217" t="s">
        <v>35</v>
      </c>
      <c r="Q217" t="str">
        <f>IF(Excel_Advanced_Sales_Dataset_2000__3[[#This Row],[Delivery Status]]="Pending","Follow Up","Ok")</f>
        <v>Ok</v>
      </c>
      <c r="R217" s="1" t="s">
        <v>36</v>
      </c>
      <c r="S217">
        <f>Excel_Advanced_Sales_Dataset_2000__3[[#This Row],[Quantity]]*Excel_Advanced_Sales_Dataset_2000__3[[#This Row],[Unit Price]]*Excel_Advanced_Sales_Dataset_2000__3[[#This Row],[Discount %]]/100</f>
        <v>34668.019709999993</v>
      </c>
      <c r="T217" s="4">
        <f>Excel_Advanced_Sales_Dataset_2000__3[[#This Row],[Quantity]]*Excel_Advanced_Sales_Dataset_2000__3[[#This Row],[Unit Price]]-Excel_Advanced_Sales_Dataset_2000__3[[#This Row],[Discount Amount]]</f>
        <v>827720.53028999991</v>
      </c>
    </row>
    <row r="218" spans="1:20" x14ac:dyDescent="0.25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>
        <v>34</v>
      </c>
      <c r="J218" s="4">
        <v>22782.3</v>
      </c>
      <c r="K218" s="6">
        <v>7.22</v>
      </c>
      <c r="L218" s="4">
        <v>718672.21</v>
      </c>
      <c r="M218" s="4" t="str" cm="1">
        <f t="array" ref="M218">IF(Excel_Advanced_Sales_Dataset_2000__3[[#This Row],[Total Sales]]&gt;50000,{"Yes"},{"No"})</f>
        <v>Yes</v>
      </c>
      <c r="N218" s="5">
        <v>46257</v>
      </c>
      <c r="O218" s="1" t="s">
        <v>113</v>
      </c>
      <c r="P218" t="s">
        <v>35</v>
      </c>
      <c r="Q218" t="str">
        <f>IF(Excel_Advanced_Sales_Dataset_2000__3[[#This Row],[Delivery Status]]="Pending","Follow Up","Ok")</f>
        <v>Ok</v>
      </c>
      <c r="R218" s="1" t="s">
        <v>26</v>
      </c>
      <c r="S218">
        <f>Excel_Advanced_Sales_Dataset_2000__3[[#This Row],[Quantity]]*Excel_Advanced_Sales_Dataset_2000__3[[#This Row],[Unit Price]]*Excel_Advanced_Sales_Dataset_2000__3[[#This Row],[Discount %]]/100</f>
        <v>55925.990039999997</v>
      </c>
      <c r="T218" s="4">
        <f>Excel_Advanced_Sales_Dataset_2000__3[[#This Row],[Quantity]]*Excel_Advanced_Sales_Dataset_2000__3[[#This Row],[Unit Price]]-Excel_Advanced_Sales_Dataset_2000__3[[#This Row],[Discount Amount]]</f>
        <v>718672.20996000001</v>
      </c>
    </row>
    <row r="219" spans="1:20" x14ac:dyDescent="0.25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>
        <v>4</v>
      </c>
      <c r="J219" s="4">
        <v>38443.31</v>
      </c>
      <c r="K219" s="6">
        <v>7.65</v>
      </c>
      <c r="L219" s="4">
        <v>142009.59</v>
      </c>
      <c r="M219" s="4" t="str" cm="1">
        <f t="array" ref="M219">IF(Excel_Advanced_Sales_Dataset_2000__3[[#This Row],[Total Sales]]&gt;50000,{"Yes"},{"No"})</f>
        <v>Yes</v>
      </c>
      <c r="N219" s="5">
        <v>46205</v>
      </c>
      <c r="O219" s="1" t="s">
        <v>113</v>
      </c>
      <c r="P219" t="s">
        <v>35</v>
      </c>
      <c r="Q219" t="str">
        <f>IF(Excel_Advanced_Sales_Dataset_2000__3[[#This Row],[Delivery Status]]="Pending","Follow Up","Ok")</f>
        <v>Ok</v>
      </c>
      <c r="R219" s="1" t="s">
        <v>36</v>
      </c>
      <c r="S219">
        <f>Excel_Advanced_Sales_Dataset_2000__3[[#This Row],[Quantity]]*Excel_Advanced_Sales_Dataset_2000__3[[#This Row],[Unit Price]]*Excel_Advanced_Sales_Dataset_2000__3[[#This Row],[Discount %]]/100</f>
        <v>11763.65286</v>
      </c>
      <c r="T219" s="4">
        <f>Excel_Advanced_Sales_Dataset_2000__3[[#This Row],[Quantity]]*Excel_Advanced_Sales_Dataset_2000__3[[#This Row],[Unit Price]]-Excel_Advanced_Sales_Dataset_2000__3[[#This Row],[Discount Amount]]</f>
        <v>142009.58713999999</v>
      </c>
    </row>
    <row r="220" spans="1:20" x14ac:dyDescent="0.25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>
        <v>21</v>
      </c>
      <c r="J220" s="4">
        <v>6715.35</v>
      </c>
      <c r="K220" s="6">
        <v>19.579999999999998</v>
      </c>
      <c r="L220" s="4">
        <v>113410.17</v>
      </c>
      <c r="M220" s="4" t="str" cm="1">
        <f t="array" ref="M220">IF(Excel_Advanced_Sales_Dataset_2000__3[[#This Row],[Total Sales]]&gt;50000,{"Yes"},{"No"})</f>
        <v>Yes</v>
      </c>
      <c r="N220" s="5">
        <v>46328</v>
      </c>
      <c r="O220" s="1" t="s">
        <v>113</v>
      </c>
      <c r="P220" t="s">
        <v>35</v>
      </c>
      <c r="Q220" t="str">
        <f>IF(Excel_Advanced_Sales_Dataset_2000__3[[#This Row],[Delivery Status]]="Pending","Follow Up","Ok")</f>
        <v>Ok</v>
      </c>
      <c r="R220" s="1" t="s">
        <v>53</v>
      </c>
      <c r="S220">
        <f>Excel_Advanced_Sales_Dataset_2000__3[[#This Row],[Quantity]]*Excel_Advanced_Sales_Dataset_2000__3[[#This Row],[Unit Price]]*Excel_Advanced_Sales_Dataset_2000__3[[#This Row],[Discount %]]/100</f>
        <v>27612.17613</v>
      </c>
      <c r="T220" s="4">
        <f>Excel_Advanced_Sales_Dataset_2000__3[[#This Row],[Quantity]]*Excel_Advanced_Sales_Dataset_2000__3[[#This Row],[Unit Price]]-Excel_Advanced_Sales_Dataset_2000__3[[#This Row],[Discount Amount]]</f>
        <v>113410.17387</v>
      </c>
    </row>
    <row r="221" spans="1:20" x14ac:dyDescent="0.25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>
        <v>28</v>
      </c>
      <c r="J221" s="4">
        <v>49425.55</v>
      </c>
      <c r="K221" s="6">
        <v>2.35</v>
      </c>
      <c r="L221" s="4">
        <v>1351393.39</v>
      </c>
      <c r="M221" s="4" t="str" cm="1">
        <f t="array" ref="M221">IF(Excel_Advanced_Sales_Dataset_2000__3[[#This Row],[Total Sales]]&gt;50000,{"Yes"},{"No"})</f>
        <v>Yes</v>
      </c>
      <c r="N221" s="5">
        <v>46028</v>
      </c>
      <c r="O221" s="1" t="s">
        <v>58</v>
      </c>
      <c r="P221" t="s">
        <v>35</v>
      </c>
      <c r="Q221" t="str">
        <f>IF(Excel_Advanced_Sales_Dataset_2000__3[[#This Row],[Delivery Status]]="Pending","Follow Up","Ok")</f>
        <v>Ok</v>
      </c>
      <c r="R221" s="1" t="s">
        <v>26</v>
      </c>
      <c r="S221">
        <f>Excel_Advanced_Sales_Dataset_2000__3[[#This Row],[Quantity]]*Excel_Advanced_Sales_Dataset_2000__3[[#This Row],[Unit Price]]*Excel_Advanced_Sales_Dataset_2000__3[[#This Row],[Discount %]]/100</f>
        <v>32522.011900000005</v>
      </c>
      <c r="T221" s="4">
        <f>Excel_Advanced_Sales_Dataset_2000__3[[#This Row],[Quantity]]*Excel_Advanced_Sales_Dataset_2000__3[[#This Row],[Unit Price]]-Excel_Advanced_Sales_Dataset_2000__3[[#This Row],[Discount Amount]]</f>
        <v>1351393.3881000001</v>
      </c>
    </row>
    <row r="222" spans="1:20" x14ac:dyDescent="0.25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>
        <v>9</v>
      </c>
      <c r="J222" s="4">
        <v>47412.38</v>
      </c>
      <c r="K222" s="6">
        <v>2.2799999999999998</v>
      </c>
      <c r="L222" s="4">
        <v>416982.4</v>
      </c>
      <c r="M222" s="4" t="str" cm="1">
        <f t="array" ref="M222">IF(Excel_Advanced_Sales_Dataset_2000__3[[#This Row],[Total Sales]]&gt;50000,{"Yes"},{"No"})</f>
        <v>Yes</v>
      </c>
      <c r="N222" s="5">
        <v>46235</v>
      </c>
      <c r="O222" s="1" t="s">
        <v>45</v>
      </c>
      <c r="P222" t="s">
        <v>35</v>
      </c>
      <c r="Q222" t="str">
        <f>IF(Excel_Advanced_Sales_Dataset_2000__3[[#This Row],[Delivery Status]]="Pending","Follow Up","Ok")</f>
        <v>Ok</v>
      </c>
      <c r="R222" s="1" t="s">
        <v>36</v>
      </c>
      <c r="S222">
        <f>Excel_Advanced_Sales_Dataset_2000__3[[#This Row],[Quantity]]*Excel_Advanced_Sales_Dataset_2000__3[[#This Row],[Unit Price]]*Excel_Advanced_Sales_Dataset_2000__3[[#This Row],[Discount %]]/100</f>
        <v>9729.0203759999986</v>
      </c>
      <c r="T222" s="4">
        <f>Excel_Advanced_Sales_Dataset_2000__3[[#This Row],[Quantity]]*Excel_Advanced_Sales_Dataset_2000__3[[#This Row],[Unit Price]]-Excel_Advanced_Sales_Dataset_2000__3[[#This Row],[Discount Amount]]</f>
        <v>416982.39962400001</v>
      </c>
    </row>
    <row r="223" spans="1:20" x14ac:dyDescent="0.25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>
        <v>1</v>
      </c>
      <c r="J223" s="4">
        <v>6370.98</v>
      </c>
      <c r="K223" s="6">
        <v>8.2100000000000009</v>
      </c>
      <c r="L223" s="4">
        <v>5847.92</v>
      </c>
      <c r="M223" s="4" t="str" cm="1">
        <f t="array" ref="M223">IF(Excel_Advanced_Sales_Dataset_2000__3[[#This Row],[Total Sales]]&gt;50000,{"Yes"},{"No"})</f>
        <v>No</v>
      </c>
      <c r="N223" s="5">
        <v>46138</v>
      </c>
      <c r="O223" s="1" t="s">
        <v>68</v>
      </c>
      <c r="P223" t="s">
        <v>35</v>
      </c>
      <c r="Q223" t="str">
        <f>IF(Excel_Advanced_Sales_Dataset_2000__3[[#This Row],[Delivery Status]]="Pending","Follow Up","Ok")</f>
        <v>Ok</v>
      </c>
      <c r="R223" s="1" t="s">
        <v>26</v>
      </c>
      <c r="S223">
        <f>Excel_Advanced_Sales_Dataset_2000__3[[#This Row],[Quantity]]*Excel_Advanced_Sales_Dataset_2000__3[[#This Row],[Unit Price]]*Excel_Advanced_Sales_Dataset_2000__3[[#This Row],[Discount %]]/100</f>
        <v>523.057458</v>
      </c>
      <c r="T223" s="4">
        <f>Excel_Advanced_Sales_Dataset_2000__3[[#This Row],[Quantity]]*Excel_Advanced_Sales_Dataset_2000__3[[#This Row],[Unit Price]]-Excel_Advanced_Sales_Dataset_2000__3[[#This Row],[Discount Amount]]</f>
        <v>5847.9225419999993</v>
      </c>
    </row>
    <row r="224" spans="1:20" x14ac:dyDescent="0.25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>
        <v>39</v>
      </c>
      <c r="J224" s="4">
        <v>41454.94</v>
      </c>
      <c r="K224" s="6">
        <v>1.75</v>
      </c>
      <c r="L224" s="4">
        <v>1588449.66</v>
      </c>
      <c r="M224" s="4" t="str" cm="1">
        <f t="array" ref="M224">IF(Excel_Advanced_Sales_Dataset_2000__3[[#This Row],[Total Sales]]&gt;50000,{"Yes"},{"No"})</f>
        <v>Yes</v>
      </c>
      <c r="N224" s="5">
        <v>46358</v>
      </c>
      <c r="O224" s="1" t="s">
        <v>68</v>
      </c>
      <c r="P224" t="s">
        <v>35</v>
      </c>
      <c r="Q224" t="str">
        <f>IF(Excel_Advanced_Sales_Dataset_2000__3[[#This Row],[Delivery Status]]="Pending","Follow Up","Ok")</f>
        <v>Ok</v>
      </c>
      <c r="R224" s="1" t="s">
        <v>26</v>
      </c>
      <c r="S224">
        <f>Excel_Advanced_Sales_Dataset_2000__3[[#This Row],[Quantity]]*Excel_Advanced_Sales_Dataset_2000__3[[#This Row],[Unit Price]]*Excel_Advanced_Sales_Dataset_2000__3[[#This Row],[Discount %]]/100</f>
        <v>28292.996550000003</v>
      </c>
      <c r="T224" s="4">
        <f>Excel_Advanced_Sales_Dataset_2000__3[[#This Row],[Quantity]]*Excel_Advanced_Sales_Dataset_2000__3[[#This Row],[Unit Price]]-Excel_Advanced_Sales_Dataset_2000__3[[#This Row],[Discount Amount]]</f>
        <v>1588449.6634500001</v>
      </c>
    </row>
    <row r="225" spans="1:20" x14ac:dyDescent="0.25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>
        <v>10</v>
      </c>
      <c r="J225" s="4">
        <v>33810.160000000003</v>
      </c>
      <c r="K225" s="6">
        <v>7.01</v>
      </c>
      <c r="L225" s="4">
        <v>314400.68</v>
      </c>
      <c r="M225" s="4" t="str" cm="1">
        <f t="array" ref="M225">IF(Excel_Advanced_Sales_Dataset_2000__3[[#This Row],[Total Sales]]&gt;50000,{"Yes"},{"No"})</f>
        <v>Yes</v>
      </c>
      <c r="N225" s="5">
        <v>46179</v>
      </c>
      <c r="O225" s="1" t="s">
        <v>68</v>
      </c>
      <c r="P225" t="s">
        <v>35</v>
      </c>
      <c r="Q225" t="str">
        <f>IF(Excel_Advanced_Sales_Dataset_2000__3[[#This Row],[Delivery Status]]="Pending","Follow Up","Ok")</f>
        <v>Ok</v>
      </c>
      <c r="R225" s="1" t="s">
        <v>36</v>
      </c>
      <c r="S225">
        <f>Excel_Advanced_Sales_Dataset_2000__3[[#This Row],[Quantity]]*Excel_Advanced_Sales_Dataset_2000__3[[#This Row],[Unit Price]]*Excel_Advanced_Sales_Dataset_2000__3[[#This Row],[Discount %]]/100</f>
        <v>23700.922160000002</v>
      </c>
      <c r="T225" s="4">
        <f>Excel_Advanced_Sales_Dataset_2000__3[[#This Row],[Quantity]]*Excel_Advanced_Sales_Dataset_2000__3[[#This Row],[Unit Price]]-Excel_Advanced_Sales_Dataset_2000__3[[#This Row],[Discount Amount]]</f>
        <v>314400.67784000002</v>
      </c>
    </row>
    <row r="226" spans="1:20" x14ac:dyDescent="0.25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>
        <v>21</v>
      </c>
      <c r="J226" s="4">
        <v>18090.080000000002</v>
      </c>
      <c r="K226" s="6">
        <v>9.5299999999999994</v>
      </c>
      <c r="L226" s="4">
        <v>343688</v>
      </c>
      <c r="M226" s="4" t="str" cm="1">
        <f t="array" ref="M226">IF(Excel_Advanced_Sales_Dataset_2000__3[[#This Row],[Total Sales]]&gt;50000,{"Yes"},{"No"})</f>
        <v>Yes</v>
      </c>
      <c r="N226" s="5">
        <v>46148</v>
      </c>
      <c r="O226" s="1" t="s">
        <v>58</v>
      </c>
      <c r="P226" t="s">
        <v>35</v>
      </c>
      <c r="Q226" t="str">
        <f>IF(Excel_Advanced_Sales_Dataset_2000__3[[#This Row],[Delivery Status]]="Pending","Follow Up","Ok")</f>
        <v>Ok</v>
      </c>
      <c r="R226" s="1" t="s">
        <v>26</v>
      </c>
      <c r="S226">
        <f>Excel_Advanced_Sales_Dataset_2000__3[[#This Row],[Quantity]]*Excel_Advanced_Sales_Dataset_2000__3[[#This Row],[Unit Price]]*Excel_Advanced_Sales_Dataset_2000__3[[#This Row],[Discount %]]/100</f>
        <v>36203.677104000002</v>
      </c>
      <c r="T226" s="4">
        <f>Excel_Advanced_Sales_Dataset_2000__3[[#This Row],[Quantity]]*Excel_Advanced_Sales_Dataset_2000__3[[#This Row],[Unit Price]]-Excel_Advanced_Sales_Dataset_2000__3[[#This Row],[Discount Amount]]</f>
        <v>343688.00289600005</v>
      </c>
    </row>
    <row r="227" spans="1:20" x14ac:dyDescent="0.25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>
        <v>6</v>
      </c>
      <c r="J227" s="4">
        <v>23738.19</v>
      </c>
      <c r="K227" s="6">
        <v>17.02</v>
      </c>
      <c r="L227" s="4">
        <v>118187.7</v>
      </c>
      <c r="M227" s="4" t="str" cm="1">
        <f t="array" ref="M227">IF(Excel_Advanced_Sales_Dataset_2000__3[[#This Row],[Total Sales]]&gt;50000,{"Yes"},{"No"})</f>
        <v>Yes</v>
      </c>
      <c r="N227" s="5">
        <v>46031</v>
      </c>
      <c r="O227" s="1" t="s">
        <v>68</v>
      </c>
      <c r="P227" t="s">
        <v>35</v>
      </c>
      <c r="Q227" t="str">
        <f>IF(Excel_Advanced_Sales_Dataset_2000__3[[#This Row],[Delivery Status]]="Pending","Follow Up","Ok")</f>
        <v>Ok</v>
      </c>
      <c r="R227" s="1" t="s">
        <v>26</v>
      </c>
      <c r="S227">
        <f>Excel_Advanced_Sales_Dataset_2000__3[[#This Row],[Quantity]]*Excel_Advanced_Sales_Dataset_2000__3[[#This Row],[Unit Price]]*Excel_Advanced_Sales_Dataset_2000__3[[#This Row],[Discount %]]/100</f>
        <v>24241.439628</v>
      </c>
      <c r="T227" s="4">
        <f>Excel_Advanced_Sales_Dataset_2000__3[[#This Row],[Quantity]]*Excel_Advanced_Sales_Dataset_2000__3[[#This Row],[Unit Price]]-Excel_Advanced_Sales_Dataset_2000__3[[#This Row],[Discount Amount]]</f>
        <v>118187.70037199999</v>
      </c>
    </row>
    <row r="228" spans="1:20" x14ac:dyDescent="0.25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>
        <v>10</v>
      </c>
      <c r="J228" s="4">
        <v>48289.07</v>
      </c>
      <c r="K228" s="6">
        <v>3.45</v>
      </c>
      <c r="L228" s="4">
        <v>466230.97</v>
      </c>
      <c r="M228" s="4" t="str" cm="1">
        <f t="array" ref="M228">IF(Excel_Advanced_Sales_Dataset_2000__3[[#This Row],[Total Sales]]&gt;50000,{"Yes"},{"No"})</f>
        <v>Yes</v>
      </c>
      <c r="N228" s="5">
        <v>46059</v>
      </c>
      <c r="O228" s="1" t="s">
        <v>58</v>
      </c>
      <c r="P228" t="s">
        <v>35</v>
      </c>
      <c r="Q228" t="str">
        <f>IF(Excel_Advanced_Sales_Dataset_2000__3[[#This Row],[Delivery Status]]="Pending","Follow Up","Ok")</f>
        <v>Ok</v>
      </c>
      <c r="R228" s="1" t="s">
        <v>36</v>
      </c>
      <c r="S228">
        <f>Excel_Advanced_Sales_Dataset_2000__3[[#This Row],[Quantity]]*Excel_Advanced_Sales_Dataset_2000__3[[#This Row],[Unit Price]]*Excel_Advanced_Sales_Dataset_2000__3[[#This Row],[Discount %]]/100</f>
        <v>16659.729149999999</v>
      </c>
      <c r="T228" s="4">
        <f>Excel_Advanced_Sales_Dataset_2000__3[[#This Row],[Quantity]]*Excel_Advanced_Sales_Dataset_2000__3[[#This Row],[Unit Price]]-Excel_Advanced_Sales_Dataset_2000__3[[#This Row],[Discount Amount]]</f>
        <v>466230.97085000004</v>
      </c>
    </row>
    <row r="229" spans="1:20" x14ac:dyDescent="0.25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>
        <v>12</v>
      </c>
      <c r="J229" s="4">
        <v>33274.620000000003</v>
      </c>
      <c r="K229" s="6">
        <v>4.12</v>
      </c>
      <c r="L229" s="4">
        <v>382844.47</v>
      </c>
      <c r="M229" s="4" t="str" cm="1">
        <f t="array" ref="M229">IF(Excel_Advanced_Sales_Dataset_2000__3[[#This Row],[Total Sales]]&gt;50000,{"Yes"},{"No"})</f>
        <v>Yes</v>
      </c>
      <c r="N229" s="5">
        <v>46141</v>
      </c>
      <c r="O229" s="1" t="s">
        <v>24</v>
      </c>
      <c r="P229" t="s">
        <v>35</v>
      </c>
      <c r="Q229" t="str">
        <f>IF(Excel_Advanced_Sales_Dataset_2000__3[[#This Row],[Delivery Status]]="Pending","Follow Up","Ok")</f>
        <v>Ok</v>
      </c>
      <c r="R229" s="1" t="s">
        <v>53</v>
      </c>
      <c r="S229">
        <f>Excel_Advanced_Sales_Dataset_2000__3[[#This Row],[Quantity]]*Excel_Advanced_Sales_Dataset_2000__3[[#This Row],[Unit Price]]*Excel_Advanced_Sales_Dataset_2000__3[[#This Row],[Discount %]]/100</f>
        <v>16450.972128000005</v>
      </c>
      <c r="T229" s="4">
        <f>Excel_Advanced_Sales_Dataset_2000__3[[#This Row],[Quantity]]*Excel_Advanced_Sales_Dataset_2000__3[[#This Row],[Unit Price]]-Excel_Advanced_Sales_Dataset_2000__3[[#This Row],[Discount Amount]]</f>
        <v>382844.46787200007</v>
      </c>
    </row>
    <row r="230" spans="1:20" x14ac:dyDescent="0.25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>
        <v>3</v>
      </c>
      <c r="J230" s="4">
        <v>31016.28</v>
      </c>
      <c r="K230" s="6">
        <v>16.489999999999998</v>
      </c>
      <c r="L230" s="4">
        <v>77705.09</v>
      </c>
      <c r="M230" s="4" t="str" cm="1">
        <f t="array" ref="M230">IF(Excel_Advanced_Sales_Dataset_2000__3[[#This Row],[Total Sales]]&gt;50000,{"Yes"},{"No"})</f>
        <v>Yes</v>
      </c>
      <c r="N230" s="5">
        <v>46097</v>
      </c>
      <c r="O230" s="1" t="s">
        <v>113</v>
      </c>
      <c r="P230" t="s">
        <v>25</v>
      </c>
      <c r="Q230" t="str">
        <f>IF(Excel_Advanced_Sales_Dataset_2000__3[[#This Row],[Delivery Status]]="Pending","Follow Up","Ok")</f>
        <v>Follow Up</v>
      </c>
      <c r="R230" s="1" t="s">
        <v>36</v>
      </c>
      <c r="S230">
        <f>Excel_Advanced_Sales_Dataset_2000__3[[#This Row],[Quantity]]*Excel_Advanced_Sales_Dataset_2000__3[[#This Row],[Unit Price]]*Excel_Advanced_Sales_Dataset_2000__3[[#This Row],[Discount %]]/100</f>
        <v>15343.753715999997</v>
      </c>
      <c r="T230" s="4">
        <f>Excel_Advanced_Sales_Dataset_2000__3[[#This Row],[Quantity]]*Excel_Advanced_Sales_Dataset_2000__3[[#This Row],[Unit Price]]-Excel_Advanced_Sales_Dataset_2000__3[[#This Row],[Discount Amount]]</f>
        <v>77705.086284000005</v>
      </c>
    </row>
    <row r="231" spans="1:20" x14ac:dyDescent="0.25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>
        <v>12</v>
      </c>
      <c r="J231" s="4">
        <v>7716.76</v>
      </c>
      <c r="K231" s="6">
        <v>19.02</v>
      </c>
      <c r="L231" s="4">
        <v>74988.39</v>
      </c>
      <c r="M231" s="4" t="str" cm="1">
        <f t="array" ref="M231">IF(Excel_Advanced_Sales_Dataset_2000__3[[#This Row],[Total Sales]]&gt;50000,{"Yes"},{"No"})</f>
        <v>Yes</v>
      </c>
      <c r="N231" s="5">
        <v>46155</v>
      </c>
      <c r="O231" s="1" t="s">
        <v>58</v>
      </c>
      <c r="P231" t="s">
        <v>35</v>
      </c>
      <c r="Q231" t="str">
        <f>IF(Excel_Advanced_Sales_Dataset_2000__3[[#This Row],[Delivery Status]]="Pending","Follow Up","Ok")</f>
        <v>Ok</v>
      </c>
      <c r="R231" s="1" t="s">
        <v>26</v>
      </c>
      <c r="S231">
        <f>Excel_Advanced_Sales_Dataset_2000__3[[#This Row],[Quantity]]*Excel_Advanced_Sales_Dataset_2000__3[[#This Row],[Unit Price]]*Excel_Advanced_Sales_Dataset_2000__3[[#This Row],[Discount %]]/100</f>
        <v>17612.733024000001</v>
      </c>
      <c r="T231" s="4">
        <f>Excel_Advanced_Sales_Dataset_2000__3[[#This Row],[Quantity]]*Excel_Advanced_Sales_Dataset_2000__3[[#This Row],[Unit Price]]-Excel_Advanced_Sales_Dataset_2000__3[[#This Row],[Discount Amount]]</f>
        <v>74988.386975999994</v>
      </c>
    </row>
    <row r="232" spans="1:20" x14ac:dyDescent="0.25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>
        <v>30</v>
      </c>
      <c r="J232" s="4">
        <v>15643.09</v>
      </c>
      <c r="K232" s="6">
        <v>11.09</v>
      </c>
      <c r="L232" s="4">
        <v>417248.14</v>
      </c>
      <c r="M232" s="4" t="str" cm="1">
        <f t="array" ref="M232">IF(Excel_Advanced_Sales_Dataset_2000__3[[#This Row],[Total Sales]]&gt;50000,{"Yes"},{"No"})</f>
        <v>Yes</v>
      </c>
      <c r="N232" s="5">
        <v>46127</v>
      </c>
      <c r="O232" s="1" t="s">
        <v>24</v>
      </c>
      <c r="P232" t="s">
        <v>35</v>
      </c>
      <c r="Q232" t="str">
        <f>IF(Excel_Advanced_Sales_Dataset_2000__3[[#This Row],[Delivery Status]]="Pending","Follow Up","Ok")</f>
        <v>Ok</v>
      </c>
      <c r="R232" s="1" t="s">
        <v>26</v>
      </c>
      <c r="S232">
        <f>Excel_Advanced_Sales_Dataset_2000__3[[#This Row],[Quantity]]*Excel_Advanced_Sales_Dataset_2000__3[[#This Row],[Unit Price]]*Excel_Advanced_Sales_Dataset_2000__3[[#This Row],[Discount %]]/100</f>
        <v>52044.560429999998</v>
      </c>
      <c r="T232" s="4">
        <f>Excel_Advanced_Sales_Dataset_2000__3[[#This Row],[Quantity]]*Excel_Advanced_Sales_Dataset_2000__3[[#This Row],[Unit Price]]-Excel_Advanced_Sales_Dataset_2000__3[[#This Row],[Discount Amount]]</f>
        <v>417248.13957</v>
      </c>
    </row>
    <row r="233" spans="1:20" x14ac:dyDescent="0.25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>
        <v>22</v>
      </c>
      <c r="J233" s="4">
        <v>35581.589999999997</v>
      </c>
      <c r="K233" s="6">
        <v>12.64</v>
      </c>
      <c r="L233" s="4">
        <v>683849.69</v>
      </c>
      <c r="M233" s="4" t="str" cm="1">
        <f t="array" ref="M233">IF(Excel_Advanced_Sales_Dataset_2000__3[[#This Row],[Total Sales]]&gt;50000,{"Yes"},{"No"})</f>
        <v>Yes</v>
      </c>
      <c r="N233" s="5">
        <v>46188</v>
      </c>
      <c r="O233" s="1" t="s">
        <v>58</v>
      </c>
      <c r="P233" t="s">
        <v>35</v>
      </c>
      <c r="Q233" t="str">
        <f>IF(Excel_Advanced_Sales_Dataset_2000__3[[#This Row],[Delivery Status]]="Pending","Follow Up","Ok")</f>
        <v>Ok</v>
      </c>
      <c r="R233" s="1" t="s">
        <v>36</v>
      </c>
      <c r="S233">
        <f>Excel_Advanced_Sales_Dataset_2000__3[[#This Row],[Quantity]]*Excel_Advanced_Sales_Dataset_2000__3[[#This Row],[Unit Price]]*Excel_Advanced_Sales_Dataset_2000__3[[#This Row],[Discount %]]/100</f>
        <v>98945.285472000003</v>
      </c>
      <c r="T233" s="4">
        <f>Excel_Advanced_Sales_Dataset_2000__3[[#This Row],[Quantity]]*Excel_Advanced_Sales_Dataset_2000__3[[#This Row],[Unit Price]]-Excel_Advanced_Sales_Dataset_2000__3[[#This Row],[Discount Amount]]</f>
        <v>683849.69452799996</v>
      </c>
    </row>
    <row r="234" spans="1:20" x14ac:dyDescent="0.25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>
        <v>27</v>
      </c>
      <c r="J234" s="4">
        <v>43519.040000000001</v>
      </c>
      <c r="K234" s="6">
        <v>7.64</v>
      </c>
      <c r="L234" s="4">
        <v>1085243</v>
      </c>
      <c r="M234" s="4" t="str" cm="1">
        <f t="array" ref="M234">IF(Excel_Advanced_Sales_Dataset_2000__3[[#This Row],[Total Sales]]&gt;50000,{"Yes"},{"No"})</f>
        <v>Yes</v>
      </c>
      <c r="N234" s="5">
        <v>46363</v>
      </c>
      <c r="O234" s="1" t="s">
        <v>45</v>
      </c>
      <c r="P234" t="s">
        <v>35</v>
      </c>
      <c r="Q234" t="str">
        <f>IF(Excel_Advanced_Sales_Dataset_2000__3[[#This Row],[Delivery Status]]="Pending","Follow Up","Ok")</f>
        <v>Ok</v>
      </c>
      <c r="R234" s="1" t="s">
        <v>53</v>
      </c>
      <c r="S234">
        <f>Excel_Advanced_Sales_Dataset_2000__3[[#This Row],[Quantity]]*Excel_Advanced_Sales_Dataset_2000__3[[#This Row],[Unit Price]]*Excel_Advanced_Sales_Dataset_2000__3[[#This Row],[Discount %]]/100</f>
        <v>89771.075712000005</v>
      </c>
      <c r="T234" s="4">
        <f>Excel_Advanced_Sales_Dataset_2000__3[[#This Row],[Quantity]]*Excel_Advanced_Sales_Dataset_2000__3[[#This Row],[Unit Price]]-Excel_Advanced_Sales_Dataset_2000__3[[#This Row],[Discount Amount]]</f>
        <v>1085243.0042880001</v>
      </c>
    </row>
    <row r="235" spans="1:20" x14ac:dyDescent="0.25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>
        <v>30</v>
      </c>
      <c r="J235" s="4">
        <v>8907.64</v>
      </c>
      <c r="K235" s="6">
        <v>8.2799999999999994</v>
      </c>
      <c r="L235" s="4">
        <v>245102.62</v>
      </c>
      <c r="M235" s="4" t="str" cm="1">
        <f t="array" ref="M235">IF(Excel_Advanced_Sales_Dataset_2000__3[[#This Row],[Total Sales]]&gt;50000,{"Yes"},{"No"})</f>
        <v>Yes</v>
      </c>
      <c r="N235" s="5">
        <v>46175</v>
      </c>
      <c r="O235" s="1" t="s">
        <v>68</v>
      </c>
      <c r="P235" t="s">
        <v>59</v>
      </c>
      <c r="Q235" t="str">
        <f>IF(Excel_Advanced_Sales_Dataset_2000__3[[#This Row],[Delivery Status]]="Pending","Follow Up","Ok")</f>
        <v>Ok</v>
      </c>
      <c r="R235" s="1" t="s">
        <v>36</v>
      </c>
      <c r="S235">
        <f>Excel_Advanced_Sales_Dataset_2000__3[[#This Row],[Quantity]]*Excel_Advanced_Sales_Dataset_2000__3[[#This Row],[Unit Price]]*Excel_Advanced_Sales_Dataset_2000__3[[#This Row],[Discount %]]/100</f>
        <v>22126.577759999996</v>
      </c>
      <c r="T235" s="4">
        <f>Excel_Advanced_Sales_Dataset_2000__3[[#This Row],[Quantity]]*Excel_Advanced_Sales_Dataset_2000__3[[#This Row],[Unit Price]]-Excel_Advanced_Sales_Dataset_2000__3[[#This Row],[Discount Amount]]</f>
        <v>245102.62223999997</v>
      </c>
    </row>
    <row r="236" spans="1:20" x14ac:dyDescent="0.25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>
        <v>27</v>
      </c>
      <c r="J236" s="4">
        <v>24922.61</v>
      </c>
      <c r="K236" s="6">
        <v>17.71</v>
      </c>
      <c r="L236" s="4">
        <v>553738.03</v>
      </c>
      <c r="M236" s="4" t="str" cm="1">
        <f t="array" ref="M236">IF(Excel_Advanced_Sales_Dataset_2000__3[[#This Row],[Total Sales]]&gt;50000,{"Yes"},{"No"})</f>
        <v>Yes</v>
      </c>
      <c r="N236" s="5">
        <v>46047</v>
      </c>
      <c r="O236" s="1" t="s">
        <v>68</v>
      </c>
      <c r="P236" t="s">
        <v>35</v>
      </c>
      <c r="Q236" t="str">
        <f>IF(Excel_Advanced_Sales_Dataset_2000__3[[#This Row],[Delivery Status]]="Pending","Follow Up","Ok")</f>
        <v>Ok</v>
      </c>
      <c r="R236" s="1" t="s">
        <v>26</v>
      </c>
      <c r="S236">
        <f>Excel_Advanced_Sales_Dataset_2000__3[[#This Row],[Quantity]]*Excel_Advanced_Sales_Dataset_2000__3[[#This Row],[Unit Price]]*Excel_Advanced_Sales_Dataset_2000__3[[#This Row],[Discount %]]/100</f>
        <v>119172.44423699999</v>
      </c>
      <c r="T236" s="4">
        <f>Excel_Advanced_Sales_Dataset_2000__3[[#This Row],[Quantity]]*Excel_Advanced_Sales_Dataset_2000__3[[#This Row],[Unit Price]]-Excel_Advanced_Sales_Dataset_2000__3[[#This Row],[Discount Amount]]</f>
        <v>553738.02576300001</v>
      </c>
    </row>
    <row r="237" spans="1:20" x14ac:dyDescent="0.25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>
        <v>33</v>
      </c>
      <c r="J237" s="4">
        <v>42201.37</v>
      </c>
      <c r="K237" s="6">
        <v>4.26</v>
      </c>
      <c r="L237" s="4">
        <v>1333318.52</v>
      </c>
      <c r="M237" s="4" t="str" cm="1">
        <f t="array" ref="M237">IF(Excel_Advanced_Sales_Dataset_2000__3[[#This Row],[Total Sales]]&gt;50000,{"Yes"},{"No"})</f>
        <v>Yes</v>
      </c>
      <c r="N237" s="5">
        <v>46252</v>
      </c>
      <c r="O237" s="1" t="s">
        <v>45</v>
      </c>
      <c r="P237" t="s">
        <v>35</v>
      </c>
      <c r="Q237" t="str">
        <f>IF(Excel_Advanced_Sales_Dataset_2000__3[[#This Row],[Delivery Status]]="Pending","Follow Up","Ok")</f>
        <v>Ok</v>
      </c>
      <c r="R237" s="1" t="s">
        <v>53</v>
      </c>
      <c r="S237">
        <f>Excel_Advanced_Sales_Dataset_2000__3[[#This Row],[Quantity]]*Excel_Advanced_Sales_Dataset_2000__3[[#This Row],[Unit Price]]*Excel_Advanced_Sales_Dataset_2000__3[[#This Row],[Discount %]]/100</f>
        <v>59326.685946000005</v>
      </c>
      <c r="T237" s="4">
        <f>Excel_Advanced_Sales_Dataset_2000__3[[#This Row],[Quantity]]*Excel_Advanced_Sales_Dataset_2000__3[[#This Row],[Unit Price]]-Excel_Advanced_Sales_Dataset_2000__3[[#This Row],[Discount Amount]]</f>
        <v>1333318.5240540002</v>
      </c>
    </row>
    <row r="238" spans="1:20" x14ac:dyDescent="0.25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>
        <v>4</v>
      </c>
      <c r="J238" s="4">
        <v>31749.56</v>
      </c>
      <c r="K238" s="6">
        <v>15.76</v>
      </c>
      <c r="L238" s="4">
        <v>106983.32</v>
      </c>
      <c r="M238" s="4" t="str" cm="1">
        <f t="array" ref="M238">IF(Excel_Advanced_Sales_Dataset_2000__3[[#This Row],[Total Sales]]&gt;50000,{"Yes"},{"No"})</f>
        <v>Yes</v>
      </c>
      <c r="N238" s="5">
        <v>46328</v>
      </c>
      <c r="O238" s="1" t="s">
        <v>45</v>
      </c>
      <c r="P238" t="s">
        <v>35</v>
      </c>
      <c r="Q238" t="str">
        <f>IF(Excel_Advanced_Sales_Dataset_2000__3[[#This Row],[Delivery Status]]="Pending","Follow Up","Ok")</f>
        <v>Ok</v>
      </c>
      <c r="R238" s="1" t="s">
        <v>36</v>
      </c>
      <c r="S238">
        <f>Excel_Advanced_Sales_Dataset_2000__3[[#This Row],[Quantity]]*Excel_Advanced_Sales_Dataset_2000__3[[#This Row],[Unit Price]]*Excel_Advanced_Sales_Dataset_2000__3[[#This Row],[Discount %]]/100</f>
        <v>20014.922624000003</v>
      </c>
      <c r="T238" s="4">
        <f>Excel_Advanced_Sales_Dataset_2000__3[[#This Row],[Quantity]]*Excel_Advanced_Sales_Dataset_2000__3[[#This Row],[Unit Price]]-Excel_Advanced_Sales_Dataset_2000__3[[#This Row],[Discount Amount]]</f>
        <v>106983.31737600001</v>
      </c>
    </row>
    <row r="239" spans="1:20" x14ac:dyDescent="0.25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>
        <v>36</v>
      </c>
      <c r="J239" s="4">
        <v>14686.27</v>
      </c>
      <c r="K239" s="6">
        <v>3.05</v>
      </c>
      <c r="L239" s="4">
        <v>512580.2</v>
      </c>
      <c r="M239" s="4" t="str" cm="1">
        <f t="array" ref="M239">IF(Excel_Advanced_Sales_Dataset_2000__3[[#This Row],[Total Sales]]&gt;50000,{"Yes"},{"No"})</f>
        <v>Yes</v>
      </c>
      <c r="N239" s="5">
        <v>46370</v>
      </c>
      <c r="O239" s="1" t="s">
        <v>68</v>
      </c>
      <c r="P239" t="s">
        <v>25</v>
      </c>
      <c r="Q239" t="str">
        <f>IF(Excel_Advanced_Sales_Dataset_2000__3[[#This Row],[Delivery Status]]="Pending","Follow Up","Ok")</f>
        <v>Follow Up</v>
      </c>
      <c r="R239" s="1" t="s">
        <v>26</v>
      </c>
      <c r="S239">
        <f>Excel_Advanced_Sales_Dataset_2000__3[[#This Row],[Quantity]]*Excel_Advanced_Sales_Dataset_2000__3[[#This Row],[Unit Price]]*Excel_Advanced_Sales_Dataset_2000__3[[#This Row],[Discount %]]/100</f>
        <v>16125.524459999997</v>
      </c>
      <c r="T239" s="4">
        <f>Excel_Advanced_Sales_Dataset_2000__3[[#This Row],[Quantity]]*Excel_Advanced_Sales_Dataset_2000__3[[#This Row],[Unit Price]]-Excel_Advanced_Sales_Dataset_2000__3[[#This Row],[Discount Amount]]</f>
        <v>512580.19553999999</v>
      </c>
    </row>
    <row r="240" spans="1:20" x14ac:dyDescent="0.25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>
        <v>32</v>
      </c>
      <c r="J240" s="4">
        <v>7114.57</v>
      </c>
      <c r="K240" s="6">
        <v>1.91</v>
      </c>
      <c r="L240" s="4">
        <v>223317.81</v>
      </c>
      <c r="M240" s="4" t="str" cm="1">
        <f t="array" ref="M240">IF(Excel_Advanced_Sales_Dataset_2000__3[[#This Row],[Total Sales]]&gt;50000,{"Yes"},{"No"})</f>
        <v>Yes</v>
      </c>
      <c r="N240" s="5">
        <v>46294</v>
      </c>
      <c r="O240" s="1" t="s">
        <v>68</v>
      </c>
      <c r="P240" t="s">
        <v>35</v>
      </c>
      <c r="Q240" t="str">
        <f>IF(Excel_Advanced_Sales_Dataset_2000__3[[#This Row],[Delivery Status]]="Pending","Follow Up","Ok")</f>
        <v>Ok</v>
      </c>
      <c r="R240" s="1" t="s">
        <v>26</v>
      </c>
      <c r="S240">
        <f>Excel_Advanced_Sales_Dataset_2000__3[[#This Row],[Quantity]]*Excel_Advanced_Sales_Dataset_2000__3[[#This Row],[Unit Price]]*Excel_Advanced_Sales_Dataset_2000__3[[#This Row],[Discount %]]/100</f>
        <v>4348.4251839999997</v>
      </c>
      <c r="T240" s="4">
        <f>Excel_Advanced_Sales_Dataset_2000__3[[#This Row],[Quantity]]*Excel_Advanced_Sales_Dataset_2000__3[[#This Row],[Unit Price]]-Excel_Advanced_Sales_Dataset_2000__3[[#This Row],[Discount Amount]]</f>
        <v>223317.814816</v>
      </c>
    </row>
    <row r="241" spans="1:20" x14ac:dyDescent="0.25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>
        <v>21</v>
      </c>
      <c r="J241" s="4">
        <v>44147.03</v>
      </c>
      <c r="K241" s="6">
        <v>7.16</v>
      </c>
      <c r="L241" s="4">
        <v>860708.16</v>
      </c>
      <c r="M241" s="4" t="str" cm="1">
        <f t="array" ref="M241">IF(Excel_Advanced_Sales_Dataset_2000__3[[#This Row],[Total Sales]]&gt;50000,{"Yes"},{"No"})</f>
        <v>Yes</v>
      </c>
      <c r="N241" s="5">
        <v>46123</v>
      </c>
      <c r="O241" s="1" t="s">
        <v>113</v>
      </c>
      <c r="P241" t="s">
        <v>59</v>
      </c>
      <c r="Q241" t="str">
        <f>IF(Excel_Advanced_Sales_Dataset_2000__3[[#This Row],[Delivery Status]]="Pending","Follow Up","Ok")</f>
        <v>Ok</v>
      </c>
      <c r="R241" s="1" t="s">
        <v>26</v>
      </c>
      <c r="S241">
        <f>Excel_Advanced_Sales_Dataset_2000__3[[#This Row],[Quantity]]*Excel_Advanced_Sales_Dataset_2000__3[[#This Row],[Unit Price]]*Excel_Advanced_Sales_Dataset_2000__3[[#This Row],[Discount %]]/100</f>
        <v>66379.474308000004</v>
      </c>
      <c r="T241" s="4">
        <f>Excel_Advanced_Sales_Dataset_2000__3[[#This Row],[Quantity]]*Excel_Advanced_Sales_Dataset_2000__3[[#This Row],[Unit Price]]-Excel_Advanced_Sales_Dataset_2000__3[[#This Row],[Discount Amount]]</f>
        <v>860708.15569199994</v>
      </c>
    </row>
    <row r="242" spans="1:20" x14ac:dyDescent="0.25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>
        <v>28</v>
      </c>
      <c r="J242" s="4">
        <v>915.06</v>
      </c>
      <c r="K242" s="6">
        <v>1.46</v>
      </c>
      <c r="L242" s="4">
        <v>25247.599999999999</v>
      </c>
      <c r="M242" s="4" t="str" cm="1">
        <f t="array" ref="M242">IF(Excel_Advanced_Sales_Dataset_2000__3[[#This Row],[Total Sales]]&gt;50000,{"Yes"},{"No"})</f>
        <v>No</v>
      </c>
      <c r="N242" s="5">
        <v>46031</v>
      </c>
      <c r="O242" s="1" t="s">
        <v>58</v>
      </c>
      <c r="P242" t="s">
        <v>35</v>
      </c>
      <c r="Q242" t="str">
        <f>IF(Excel_Advanced_Sales_Dataset_2000__3[[#This Row],[Delivery Status]]="Pending","Follow Up","Ok")</f>
        <v>Ok</v>
      </c>
      <c r="R242" s="1" t="s">
        <v>26</v>
      </c>
      <c r="S242">
        <f>Excel_Advanced_Sales_Dataset_2000__3[[#This Row],[Quantity]]*Excel_Advanced_Sales_Dataset_2000__3[[#This Row],[Unit Price]]*Excel_Advanced_Sales_Dataset_2000__3[[#This Row],[Discount %]]/100</f>
        <v>374.07652799999994</v>
      </c>
      <c r="T242" s="4">
        <f>Excel_Advanced_Sales_Dataset_2000__3[[#This Row],[Quantity]]*Excel_Advanced_Sales_Dataset_2000__3[[#This Row],[Unit Price]]-Excel_Advanced_Sales_Dataset_2000__3[[#This Row],[Discount Amount]]</f>
        <v>25247.603471999999</v>
      </c>
    </row>
    <row r="243" spans="1:20" x14ac:dyDescent="0.25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>
        <v>39</v>
      </c>
      <c r="J243" s="4">
        <v>9611.15</v>
      </c>
      <c r="K243" s="6">
        <v>4.05</v>
      </c>
      <c r="L243" s="4">
        <v>359654.04</v>
      </c>
      <c r="M243" s="4" t="str" cm="1">
        <f t="array" ref="M243">IF(Excel_Advanced_Sales_Dataset_2000__3[[#This Row],[Total Sales]]&gt;50000,{"Yes"},{"No"})</f>
        <v>Yes</v>
      </c>
      <c r="N243" s="5">
        <v>46081</v>
      </c>
      <c r="O243" s="1" t="s">
        <v>68</v>
      </c>
      <c r="P243" t="s">
        <v>25</v>
      </c>
      <c r="Q243" t="str">
        <f>IF(Excel_Advanced_Sales_Dataset_2000__3[[#This Row],[Delivery Status]]="Pending","Follow Up","Ok")</f>
        <v>Follow Up</v>
      </c>
      <c r="R243" s="1" t="s">
        <v>53</v>
      </c>
      <c r="S243">
        <f>Excel_Advanced_Sales_Dataset_2000__3[[#This Row],[Quantity]]*Excel_Advanced_Sales_Dataset_2000__3[[#This Row],[Unit Price]]*Excel_Advanced_Sales_Dataset_2000__3[[#This Row],[Discount %]]/100</f>
        <v>15180.811424999998</v>
      </c>
      <c r="T243" s="4">
        <f>Excel_Advanced_Sales_Dataset_2000__3[[#This Row],[Quantity]]*Excel_Advanced_Sales_Dataset_2000__3[[#This Row],[Unit Price]]-Excel_Advanced_Sales_Dataset_2000__3[[#This Row],[Discount Amount]]</f>
        <v>359654.03857499996</v>
      </c>
    </row>
    <row r="244" spans="1:20" x14ac:dyDescent="0.25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>
        <v>28</v>
      </c>
      <c r="J244" s="4">
        <v>12572.46</v>
      </c>
      <c r="K244" s="6">
        <v>6.71</v>
      </c>
      <c r="L244" s="4">
        <v>328407.74</v>
      </c>
      <c r="M244" s="4" t="str" cm="1">
        <f t="array" ref="M244">IF(Excel_Advanced_Sales_Dataset_2000__3[[#This Row],[Total Sales]]&gt;50000,{"Yes"},{"No"})</f>
        <v>Yes</v>
      </c>
      <c r="N244" s="5">
        <v>46280</v>
      </c>
      <c r="O244" s="1" t="s">
        <v>24</v>
      </c>
      <c r="P244" t="s">
        <v>25</v>
      </c>
      <c r="Q244" t="str">
        <f>IF(Excel_Advanced_Sales_Dataset_2000__3[[#This Row],[Delivery Status]]="Pending","Follow Up","Ok")</f>
        <v>Follow Up</v>
      </c>
      <c r="R244" s="1" t="s">
        <v>26</v>
      </c>
      <c r="S244">
        <f>Excel_Advanced_Sales_Dataset_2000__3[[#This Row],[Quantity]]*Excel_Advanced_Sales_Dataset_2000__3[[#This Row],[Unit Price]]*Excel_Advanced_Sales_Dataset_2000__3[[#This Row],[Discount %]]/100</f>
        <v>23621.137847999998</v>
      </c>
      <c r="T244" s="4">
        <f>Excel_Advanced_Sales_Dataset_2000__3[[#This Row],[Quantity]]*Excel_Advanced_Sales_Dataset_2000__3[[#This Row],[Unit Price]]-Excel_Advanced_Sales_Dataset_2000__3[[#This Row],[Discount Amount]]</f>
        <v>328407.74215200002</v>
      </c>
    </row>
    <row r="245" spans="1:20" x14ac:dyDescent="0.25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>
        <v>32</v>
      </c>
      <c r="J245" s="4">
        <v>1122.68</v>
      </c>
      <c r="K245" s="6">
        <v>7.59</v>
      </c>
      <c r="L245" s="4">
        <v>33198.99</v>
      </c>
      <c r="M245" s="4" t="str" cm="1">
        <f t="array" ref="M245">IF(Excel_Advanced_Sales_Dataset_2000__3[[#This Row],[Total Sales]]&gt;50000,{"Yes"},{"No"})</f>
        <v>No</v>
      </c>
      <c r="N245" s="5">
        <v>46314</v>
      </c>
      <c r="O245" s="1" t="s">
        <v>58</v>
      </c>
      <c r="P245" t="s">
        <v>35</v>
      </c>
      <c r="Q245" t="str">
        <f>IF(Excel_Advanced_Sales_Dataset_2000__3[[#This Row],[Delivery Status]]="Pending","Follow Up","Ok")</f>
        <v>Ok</v>
      </c>
      <c r="R245" s="1" t="s">
        <v>26</v>
      </c>
      <c r="S245">
        <f>Excel_Advanced_Sales_Dataset_2000__3[[#This Row],[Quantity]]*Excel_Advanced_Sales_Dataset_2000__3[[#This Row],[Unit Price]]*Excel_Advanced_Sales_Dataset_2000__3[[#This Row],[Discount %]]/100</f>
        <v>2726.7651839999999</v>
      </c>
      <c r="T245" s="4">
        <f>Excel_Advanced_Sales_Dataset_2000__3[[#This Row],[Quantity]]*Excel_Advanced_Sales_Dataset_2000__3[[#This Row],[Unit Price]]-Excel_Advanced_Sales_Dataset_2000__3[[#This Row],[Discount Amount]]</f>
        <v>33198.994816000006</v>
      </c>
    </row>
    <row r="246" spans="1:20" x14ac:dyDescent="0.25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>
        <v>8</v>
      </c>
      <c r="J246" s="4">
        <v>1347.57</v>
      </c>
      <c r="K246" s="6">
        <v>11.62</v>
      </c>
      <c r="L246" s="4">
        <v>9527.86</v>
      </c>
      <c r="M246" s="4" t="str" cm="1">
        <f t="array" ref="M246">IF(Excel_Advanced_Sales_Dataset_2000__3[[#This Row],[Total Sales]]&gt;50000,{"Yes"},{"No"})</f>
        <v>No</v>
      </c>
      <c r="N246" s="5">
        <v>46103</v>
      </c>
      <c r="O246" s="1" t="s">
        <v>113</v>
      </c>
      <c r="P246" t="s">
        <v>25</v>
      </c>
      <c r="Q246" t="str">
        <f>IF(Excel_Advanced_Sales_Dataset_2000__3[[#This Row],[Delivery Status]]="Pending","Follow Up","Ok")</f>
        <v>Follow Up</v>
      </c>
      <c r="R246" s="1" t="s">
        <v>53</v>
      </c>
      <c r="S246">
        <f>Excel_Advanced_Sales_Dataset_2000__3[[#This Row],[Quantity]]*Excel_Advanced_Sales_Dataset_2000__3[[#This Row],[Unit Price]]*Excel_Advanced_Sales_Dataset_2000__3[[#This Row],[Discount %]]/100</f>
        <v>1252.7010719999998</v>
      </c>
      <c r="T246" s="4">
        <f>Excel_Advanced_Sales_Dataset_2000__3[[#This Row],[Quantity]]*Excel_Advanced_Sales_Dataset_2000__3[[#This Row],[Unit Price]]-Excel_Advanced_Sales_Dataset_2000__3[[#This Row],[Discount Amount]]</f>
        <v>9527.8589279999997</v>
      </c>
    </row>
    <row r="247" spans="1:20" x14ac:dyDescent="0.25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>
        <v>4</v>
      </c>
      <c r="J247" s="4">
        <v>42797.91</v>
      </c>
      <c r="K247" s="6">
        <v>19.18</v>
      </c>
      <c r="L247" s="4">
        <v>138357.07999999999</v>
      </c>
      <c r="M247" s="4" t="str" cm="1">
        <f t="array" ref="M247">IF(Excel_Advanced_Sales_Dataset_2000__3[[#This Row],[Total Sales]]&gt;50000,{"Yes"},{"No"})</f>
        <v>Yes</v>
      </c>
      <c r="N247" s="5">
        <v>46254</v>
      </c>
      <c r="O247" s="1" t="s">
        <v>113</v>
      </c>
      <c r="P247" t="s">
        <v>35</v>
      </c>
      <c r="Q247" t="str">
        <f>IF(Excel_Advanced_Sales_Dataset_2000__3[[#This Row],[Delivery Status]]="Pending","Follow Up","Ok")</f>
        <v>Ok</v>
      </c>
      <c r="R247" s="1" t="s">
        <v>36</v>
      </c>
      <c r="S247">
        <f>Excel_Advanced_Sales_Dataset_2000__3[[#This Row],[Quantity]]*Excel_Advanced_Sales_Dataset_2000__3[[#This Row],[Unit Price]]*Excel_Advanced_Sales_Dataset_2000__3[[#This Row],[Discount %]]/100</f>
        <v>32834.556552000002</v>
      </c>
      <c r="T247" s="4">
        <f>Excel_Advanced_Sales_Dataset_2000__3[[#This Row],[Quantity]]*Excel_Advanced_Sales_Dataset_2000__3[[#This Row],[Unit Price]]-Excel_Advanced_Sales_Dataset_2000__3[[#This Row],[Discount Amount]]</f>
        <v>138357.08344800002</v>
      </c>
    </row>
    <row r="248" spans="1:20" x14ac:dyDescent="0.25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>
        <v>27</v>
      </c>
      <c r="J248" s="4">
        <v>44201.53</v>
      </c>
      <c r="K248" s="6">
        <v>5.47</v>
      </c>
      <c r="L248" s="4">
        <v>1128160.07</v>
      </c>
      <c r="M248" s="4" t="str" cm="1">
        <f t="array" ref="M248">IF(Excel_Advanced_Sales_Dataset_2000__3[[#This Row],[Total Sales]]&gt;50000,{"Yes"},{"No"})</f>
        <v>Yes</v>
      </c>
      <c r="N248" s="5">
        <v>46364</v>
      </c>
      <c r="O248" s="1" t="s">
        <v>113</v>
      </c>
      <c r="P248" t="s">
        <v>35</v>
      </c>
      <c r="Q248" t="str">
        <f>IF(Excel_Advanced_Sales_Dataset_2000__3[[#This Row],[Delivery Status]]="Pending","Follow Up","Ok")</f>
        <v>Ok</v>
      </c>
      <c r="R248" s="1" t="s">
        <v>26</v>
      </c>
      <c r="S248">
        <f>Excel_Advanced_Sales_Dataset_2000__3[[#This Row],[Quantity]]*Excel_Advanced_Sales_Dataset_2000__3[[#This Row],[Unit Price]]*Excel_Advanced_Sales_Dataset_2000__3[[#This Row],[Discount %]]/100</f>
        <v>65281.239656999998</v>
      </c>
      <c r="T248" s="4">
        <f>Excel_Advanced_Sales_Dataset_2000__3[[#This Row],[Quantity]]*Excel_Advanced_Sales_Dataset_2000__3[[#This Row],[Unit Price]]-Excel_Advanced_Sales_Dataset_2000__3[[#This Row],[Discount Amount]]</f>
        <v>1128160.0703430001</v>
      </c>
    </row>
    <row r="249" spans="1:20" x14ac:dyDescent="0.25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>
        <v>31</v>
      </c>
      <c r="J249" s="4">
        <v>38354.58</v>
      </c>
      <c r="K249" s="6">
        <v>5.26</v>
      </c>
      <c r="L249" s="4">
        <v>1126451</v>
      </c>
      <c r="M249" s="4" t="str" cm="1">
        <f t="array" ref="M249">IF(Excel_Advanced_Sales_Dataset_2000__3[[#This Row],[Total Sales]]&gt;50000,{"Yes"},{"No"})</f>
        <v>Yes</v>
      </c>
      <c r="N249" s="5">
        <v>46106</v>
      </c>
      <c r="O249" s="1" t="s">
        <v>113</v>
      </c>
      <c r="P249" t="s">
        <v>35</v>
      </c>
      <c r="Q249" t="str">
        <f>IF(Excel_Advanced_Sales_Dataset_2000__3[[#This Row],[Delivery Status]]="Pending","Follow Up","Ok")</f>
        <v>Ok</v>
      </c>
      <c r="R249" s="1" t="s">
        <v>53</v>
      </c>
      <c r="S249">
        <f>Excel_Advanced_Sales_Dataset_2000__3[[#This Row],[Quantity]]*Excel_Advanced_Sales_Dataset_2000__3[[#This Row],[Unit Price]]*Excel_Advanced_Sales_Dataset_2000__3[[#This Row],[Discount %]]/100</f>
        <v>62540.978147999995</v>
      </c>
      <c r="T249" s="4">
        <f>Excel_Advanced_Sales_Dataset_2000__3[[#This Row],[Quantity]]*Excel_Advanced_Sales_Dataset_2000__3[[#This Row],[Unit Price]]-Excel_Advanced_Sales_Dataset_2000__3[[#This Row],[Discount Amount]]</f>
        <v>1126451.0018519999</v>
      </c>
    </row>
    <row r="250" spans="1:20" x14ac:dyDescent="0.25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>
        <v>44</v>
      </c>
      <c r="J250" s="4">
        <v>19617.990000000002</v>
      </c>
      <c r="K250" s="6">
        <v>7.9</v>
      </c>
      <c r="L250" s="4">
        <v>794999.43</v>
      </c>
      <c r="M250" s="4" t="str" cm="1">
        <f t="array" ref="M250">IF(Excel_Advanced_Sales_Dataset_2000__3[[#This Row],[Total Sales]]&gt;50000,{"Yes"},{"No"})</f>
        <v>Yes</v>
      </c>
      <c r="N250" s="5">
        <v>46197</v>
      </c>
      <c r="O250" s="1" t="s">
        <v>24</v>
      </c>
      <c r="P250" t="s">
        <v>35</v>
      </c>
      <c r="Q250" t="str">
        <f>IF(Excel_Advanced_Sales_Dataset_2000__3[[#This Row],[Delivery Status]]="Pending","Follow Up","Ok")</f>
        <v>Ok</v>
      </c>
      <c r="R250" s="1" t="s">
        <v>26</v>
      </c>
      <c r="S250">
        <f>Excel_Advanced_Sales_Dataset_2000__3[[#This Row],[Quantity]]*Excel_Advanced_Sales_Dataset_2000__3[[#This Row],[Unit Price]]*Excel_Advanced_Sales_Dataset_2000__3[[#This Row],[Discount %]]/100</f>
        <v>68192.13324000001</v>
      </c>
      <c r="T250" s="4">
        <f>Excel_Advanced_Sales_Dataset_2000__3[[#This Row],[Quantity]]*Excel_Advanced_Sales_Dataset_2000__3[[#This Row],[Unit Price]]-Excel_Advanced_Sales_Dataset_2000__3[[#This Row],[Discount Amount]]</f>
        <v>794999.42676000006</v>
      </c>
    </row>
    <row r="251" spans="1:20" x14ac:dyDescent="0.25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>
        <v>34</v>
      </c>
      <c r="J251" s="4">
        <v>27116.15</v>
      </c>
      <c r="K251" s="6">
        <v>12.29</v>
      </c>
      <c r="L251" s="4">
        <v>808641.56</v>
      </c>
      <c r="M251" s="4" t="str" cm="1">
        <f t="array" ref="M251">IF(Excel_Advanced_Sales_Dataset_2000__3[[#This Row],[Total Sales]]&gt;50000,{"Yes"},{"No"})</f>
        <v>Yes</v>
      </c>
      <c r="N251" s="5">
        <v>46031</v>
      </c>
      <c r="O251" s="1" t="s">
        <v>113</v>
      </c>
      <c r="P251" t="s">
        <v>35</v>
      </c>
      <c r="Q251" t="str">
        <f>IF(Excel_Advanced_Sales_Dataset_2000__3[[#This Row],[Delivery Status]]="Pending","Follow Up","Ok")</f>
        <v>Ok</v>
      </c>
      <c r="R251" s="1" t="s">
        <v>53</v>
      </c>
      <c r="S251">
        <f>Excel_Advanced_Sales_Dataset_2000__3[[#This Row],[Quantity]]*Excel_Advanced_Sales_Dataset_2000__3[[#This Row],[Unit Price]]*Excel_Advanced_Sales_Dataset_2000__3[[#This Row],[Discount %]]/100</f>
        <v>113307.54439000001</v>
      </c>
      <c r="T251" s="4">
        <f>Excel_Advanced_Sales_Dataset_2000__3[[#This Row],[Quantity]]*Excel_Advanced_Sales_Dataset_2000__3[[#This Row],[Unit Price]]-Excel_Advanced_Sales_Dataset_2000__3[[#This Row],[Discount Amount]]</f>
        <v>808641.55561000004</v>
      </c>
    </row>
    <row r="252" spans="1:20" x14ac:dyDescent="0.25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>
        <v>1</v>
      </c>
      <c r="J252" s="4">
        <v>40482.410000000003</v>
      </c>
      <c r="K252" s="6">
        <v>14.14</v>
      </c>
      <c r="L252" s="4">
        <v>34758.199999999997</v>
      </c>
      <c r="M252" s="4" t="str" cm="1">
        <f t="array" ref="M252">IF(Excel_Advanced_Sales_Dataset_2000__3[[#This Row],[Total Sales]]&gt;50000,{"Yes"},{"No"})</f>
        <v>No</v>
      </c>
      <c r="N252" s="5">
        <v>46047</v>
      </c>
      <c r="O252" s="1" t="s">
        <v>58</v>
      </c>
      <c r="P252" t="s">
        <v>35</v>
      </c>
      <c r="Q252" t="str">
        <f>IF(Excel_Advanced_Sales_Dataset_2000__3[[#This Row],[Delivery Status]]="Pending","Follow Up","Ok")</f>
        <v>Ok</v>
      </c>
      <c r="R252" s="1" t="s">
        <v>53</v>
      </c>
      <c r="S252">
        <f>Excel_Advanced_Sales_Dataset_2000__3[[#This Row],[Quantity]]*Excel_Advanced_Sales_Dataset_2000__3[[#This Row],[Unit Price]]*Excel_Advanced_Sales_Dataset_2000__3[[#This Row],[Discount %]]/100</f>
        <v>5724.2127740000005</v>
      </c>
      <c r="T252" s="4">
        <f>Excel_Advanced_Sales_Dataset_2000__3[[#This Row],[Quantity]]*Excel_Advanced_Sales_Dataset_2000__3[[#This Row],[Unit Price]]-Excel_Advanced_Sales_Dataset_2000__3[[#This Row],[Discount Amount]]</f>
        <v>34758.197226000004</v>
      </c>
    </row>
    <row r="253" spans="1:20" x14ac:dyDescent="0.25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>
        <v>22</v>
      </c>
      <c r="J253" s="4">
        <v>30311.33</v>
      </c>
      <c r="K253" s="6">
        <v>10.14</v>
      </c>
      <c r="L253" s="4">
        <v>599230.75</v>
      </c>
      <c r="M253" s="4" t="str" cm="1">
        <f t="array" ref="M253">IF(Excel_Advanced_Sales_Dataset_2000__3[[#This Row],[Total Sales]]&gt;50000,{"Yes"},{"No"})</f>
        <v>Yes</v>
      </c>
      <c r="N253" s="5">
        <v>46272</v>
      </c>
      <c r="O253" s="1" t="s">
        <v>45</v>
      </c>
      <c r="P253" t="s">
        <v>35</v>
      </c>
      <c r="Q253" t="str">
        <f>IF(Excel_Advanced_Sales_Dataset_2000__3[[#This Row],[Delivery Status]]="Pending","Follow Up","Ok")</f>
        <v>Ok</v>
      </c>
      <c r="R253" s="1" t="s">
        <v>26</v>
      </c>
      <c r="S253">
        <f>Excel_Advanced_Sales_Dataset_2000__3[[#This Row],[Quantity]]*Excel_Advanced_Sales_Dataset_2000__3[[#This Row],[Unit Price]]*Excel_Advanced_Sales_Dataset_2000__3[[#This Row],[Discount %]]/100</f>
        <v>67618.514964000002</v>
      </c>
      <c r="T253" s="4">
        <f>Excel_Advanced_Sales_Dataset_2000__3[[#This Row],[Quantity]]*Excel_Advanced_Sales_Dataset_2000__3[[#This Row],[Unit Price]]-Excel_Advanced_Sales_Dataset_2000__3[[#This Row],[Discount Amount]]</f>
        <v>599230.74503600004</v>
      </c>
    </row>
    <row r="254" spans="1:20" x14ac:dyDescent="0.25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>
        <v>14</v>
      </c>
      <c r="J254" s="4">
        <v>24767.69</v>
      </c>
      <c r="K254" s="6">
        <v>10.28</v>
      </c>
      <c r="L254" s="4">
        <v>311102</v>
      </c>
      <c r="M254" s="4" t="str" cm="1">
        <f t="array" ref="M254">IF(Excel_Advanced_Sales_Dataset_2000__3[[#This Row],[Total Sales]]&gt;50000,{"Yes"},{"No"})</f>
        <v>Yes</v>
      </c>
      <c r="N254" s="5">
        <v>46373</v>
      </c>
      <c r="O254" s="1" t="s">
        <v>58</v>
      </c>
      <c r="P254" t="s">
        <v>35</v>
      </c>
      <c r="Q254" t="str">
        <f>IF(Excel_Advanced_Sales_Dataset_2000__3[[#This Row],[Delivery Status]]="Pending","Follow Up","Ok")</f>
        <v>Ok</v>
      </c>
      <c r="R254" s="1" t="s">
        <v>26</v>
      </c>
      <c r="S254">
        <f>Excel_Advanced_Sales_Dataset_2000__3[[#This Row],[Quantity]]*Excel_Advanced_Sales_Dataset_2000__3[[#This Row],[Unit Price]]*Excel_Advanced_Sales_Dataset_2000__3[[#This Row],[Discount %]]/100</f>
        <v>35645.659447999999</v>
      </c>
      <c r="T254" s="4">
        <f>Excel_Advanced_Sales_Dataset_2000__3[[#This Row],[Quantity]]*Excel_Advanced_Sales_Dataset_2000__3[[#This Row],[Unit Price]]-Excel_Advanced_Sales_Dataset_2000__3[[#This Row],[Discount Amount]]</f>
        <v>311102.00055199995</v>
      </c>
    </row>
    <row r="255" spans="1:20" x14ac:dyDescent="0.25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>
        <v>4</v>
      </c>
      <c r="J255" s="4">
        <v>5969.1</v>
      </c>
      <c r="K255" s="6">
        <v>11.97</v>
      </c>
      <c r="L255" s="4">
        <v>21018.39</v>
      </c>
      <c r="M255" s="4" t="str" cm="1">
        <f t="array" ref="M255">IF(Excel_Advanced_Sales_Dataset_2000__3[[#This Row],[Total Sales]]&gt;50000,{"Yes"},{"No"})</f>
        <v>No</v>
      </c>
      <c r="N255" s="5">
        <v>46215</v>
      </c>
      <c r="O255" s="1" t="s">
        <v>68</v>
      </c>
      <c r="P255" t="s">
        <v>25</v>
      </c>
      <c r="Q255" t="str">
        <f>IF(Excel_Advanced_Sales_Dataset_2000__3[[#This Row],[Delivery Status]]="Pending","Follow Up","Ok")</f>
        <v>Follow Up</v>
      </c>
      <c r="R255" s="1" t="s">
        <v>53</v>
      </c>
      <c r="S255">
        <f>Excel_Advanced_Sales_Dataset_2000__3[[#This Row],[Quantity]]*Excel_Advanced_Sales_Dataset_2000__3[[#This Row],[Unit Price]]*Excel_Advanced_Sales_Dataset_2000__3[[#This Row],[Discount %]]/100</f>
        <v>2858.0050800000004</v>
      </c>
      <c r="T255" s="4">
        <f>Excel_Advanced_Sales_Dataset_2000__3[[#This Row],[Quantity]]*Excel_Advanced_Sales_Dataset_2000__3[[#This Row],[Unit Price]]-Excel_Advanced_Sales_Dataset_2000__3[[#This Row],[Discount Amount]]</f>
        <v>21018.394920000002</v>
      </c>
    </row>
    <row r="256" spans="1:20" x14ac:dyDescent="0.25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>
        <v>34</v>
      </c>
      <c r="J256" s="4">
        <v>46640.35</v>
      </c>
      <c r="K256" s="6">
        <v>5.16</v>
      </c>
      <c r="L256" s="4">
        <v>1503946.07</v>
      </c>
      <c r="M256" s="4" t="str" cm="1">
        <f t="array" ref="M256">IF(Excel_Advanced_Sales_Dataset_2000__3[[#This Row],[Total Sales]]&gt;50000,{"Yes"},{"No"})</f>
        <v>Yes</v>
      </c>
      <c r="N256" s="5">
        <v>46147</v>
      </c>
      <c r="O256" s="1" t="s">
        <v>24</v>
      </c>
      <c r="P256" t="s">
        <v>35</v>
      </c>
      <c r="Q256" t="str">
        <f>IF(Excel_Advanced_Sales_Dataset_2000__3[[#This Row],[Delivery Status]]="Pending","Follow Up","Ok")</f>
        <v>Ok</v>
      </c>
      <c r="R256" s="1" t="s">
        <v>26</v>
      </c>
      <c r="S256">
        <f>Excel_Advanced_Sales_Dataset_2000__3[[#This Row],[Quantity]]*Excel_Advanced_Sales_Dataset_2000__3[[#This Row],[Unit Price]]*Excel_Advanced_Sales_Dataset_2000__3[[#This Row],[Discount %]]/100</f>
        <v>81825.830040000001</v>
      </c>
      <c r="T256" s="4">
        <f>Excel_Advanced_Sales_Dataset_2000__3[[#This Row],[Quantity]]*Excel_Advanced_Sales_Dataset_2000__3[[#This Row],[Unit Price]]-Excel_Advanced_Sales_Dataset_2000__3[[#This Row],[Discount Amount]]</f>
        <v>1503946.06996</v>
      </c>
    </row>
    <row r="257" spans="1:20" x14ac:dyDescent="0.25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>
        <v>25</v>
      </c>
      <c r="J257" s="4">
        <v>33581.4</v>
      </c>
      <c r="K257" s="6">
        <v>18.399999999999999</v>
      </c>
      <c r="L257" s="4">
        <v>685060.56</v>
      </c>
      <c r="M257" s="4" t="str" cm="1">
        <f t="array" ref="M257">IF(Excel_Advanced_Sales_Dataset_2000__3[[#This Row],[Total Sales]]&gt;50000,{"Yes"},{"No"})</f>
        <v>Yes</v>
      </c>
      <c r="N257" s="5">
        <v>46127</v>
      </c>
      <c r="O257" s="1" t="s">
        <v>45</v>
      </c>
      <c r="P257" t="s">
        <v>35</v>
      </c>
      <c r="Q257" t="str">
        <f>IF(Excel_Advanced_Sales_Dataset_2000__3[[#This Row],[Delivery Status]]="Pending","Follow Up","Ok")</f>
        <v>Ok</v>
      </c>
      <c r="R257" s="1" t="s">
        <v>36</v>
      </c>
      <c r="S257">
        <f>Excel_Advanced_Sales_Dataset_2000__3[[#This Row],[Quantity]]*Excel_Advanced_Sales_Dataset_2000__3[[#This Row],[Unit Price]]*Excel_Advanced_Sales_Dataset_2000__3[[#This Row],[Discount %]]/100</f>
        <v>154474.43999999997</v>
      </c>
      <c r="T257" s="4">
        <f>Excel_Advanced_Sales_Dataset_2000__3[[#This Row],[Quantity]]*Excel_Advanced_Sales_Dataset_2000__3[[#This Row],[Unit Price]]-Excel_Advanced_Sales_Dataset_2000__3[[#This Row],[Discount Amount]]</f>
        <v>685060.56</v>
      </c>
    </row>
    <row r="258" spans="1:20" x14ac:dyDescent="0.25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>
        <v>40</v>
      </c>
      <c r="J258" s="4">
        <v>35197.599999999999</v>
      </c>
      <c r="K258" s="6">
        <v>18.77</v>
      </c>
      <c r="L258" s="4">
        <v>1143640.42</v>
      </c>
      <c r="M258" s="4" t="str" cm="1">
        <f t="array" ref="M258">IF(Excel_Advanced_Sales_Dataset_2000__3[[#This Row],[Total Sales]]&gt;50000,{"Yes"},{"No"})</f>
        <v>Yes</v>
      </c>
      <c r="N258" s="5">
        <v>46231</v>
      </c>
      <c r="O258" s="1" t="s">
        <v>68</v>
      </c>
      <c r="P258" t="s">
        <v>35</v>
      </c>
      <c r="Q258" t="str">
        <f>IF(Excel_Advanced_Sales_Dataset_2000__3[[#This Row],[Delivery Status]]="Pending","Follow Up","Ok")</f>
        <v>Ok</v>
      </c>
      <c r="R258" s="1" t="s">
        <v>26</v>
      </c>
      <c r="S258">
        <f>Excel_Advanced_Sales_Dataset_2000__3[[#This Row],[Quantity]]*Excel_Advanced_Sales_Dataset_2000__3[[#This Row],[Unit Price]]*Excel_Advanced_Sales_Dataset_2000__3[[#This Row],[Discount %]]/100</f>
        <v>264263.5808</v>
      </c>
      <c r="T258" s="4">
        <f>Excel_Advanced_Sales_Dataset_2000__3[[#This Row],[Quantity]]*Excel_Advanced_Sales_Dataset_2000__3[[#This Row],[Unit Price]]-Excel_Advanced_Sales_Dataset_2000__3[[#This Row],[Discount Amount]]</f>
        <v>1143640.4191999999</v>
      </c>
    </row>
    <row r="259" spans="1:20" x14ac:dyDescent="0.25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>
        <v>32</v>
      </c>
      <c r="J259" s="4">
        <v>8277.81</v>
      </c>
      <c r="K259" s="6">
        <v>3.74</v>
      </c>
      <c r="L259" s="4">
        <v>254983.04000000001</v>
      </c>
      <c r="M259" s="4" t="str" cm="1">
        <f t="array" ref="M259">IF(Excel_Advanced_Sales_Dataset_2000__3[[#This Row],[Total Sales]]&gt;50000,{"Yes"},{"No"})</f>
        <v>Yes</v>
      </c>
      <c r="N259" s="5">
        <v>46042</v>
      </c>
      <c r="O259" s="1" t="s">
        <v>45</v>
      </c>
      <c r="P259" t="s">
        <v>35</v>
      </c>
      <c r="Q259" t="str">
        <f>IF(Excel_Advanced_Sales_Dataset_2000__3[[#This Row],[Delivery Status]]="Pending","Follow Up","Ok")</f>
        <v>Ok</v>
      </c>
      <c r="R259" s="1" t="s">
        <v>36</v>
      </c>
      <c r="S259">
        <f>Excel_Advanced_Sales_Dataset_2000__3[[#This Row],[Quantity]]*Excel_Advanced_Sales_Dataset_2000__3[[#This Row],[Unit Price]]*Excel_Advanced_Sales_Dataset_2000__3[[#This Row],[Discount %]]/100</f>
        <v>9906.8830079999989</v>
      </c>
      <c r="T259" s="4">
        <f>Excel_Advanced_Sales_Dataset_2000__3[[#This Row],[Quantity]]*Excel_Advanced_Sales_Dataset_2000__3[[#This Row],[Unit Price]]-Excel_Advanced_Sales_Dataset_2000__3[[#This Row],[Discount Amount]]</f>
        <v>254983.03699199998</v>
      </c>
    </row>
    <row r="260" spans="1:20" x14ac:dyDescent="0.25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>
        <v>50</v>
      </c>
      <c r="J260" s="4">
        <v>2493.08</v>
      </c>
      <c r="K260" s="6">
        <v>8.8699999999999992</v>
      </c>
      <c r="L260" s="4">
        <v>113597.19</v>
      </c>
      <c r="M260" s="4" t="str" cm="1">
        <f t="array" ref="M260">IF(Excel_Advanced_Sales_Dataset_2000__3[[#This Row],[Total Sales]]&gt;50000,{"Yes"},{"No"})</f>
        <v>Yes</v>
      </c>
      <c r="N260" s="5">
        <v>46331</v>
      </c>
      <c r="O260" s="1" t="s">
        <v>58</v>
      </c>
      <c r="P260" t="s">
        <v>59</v>
      </c>
      <c r="Q260" t="str">
        <f>IF(Excel_Advanced_Sales_Dataset_2000__3[[#This Row],[Delivery Status]]="Pending","Follow Up","Ok")</f>
        <v>Ok</v>
      </c>
      <c r="R260" s="1" t="s">
        <v>53</v>
      </c>
      <c r="S260">
        <f>Excel_Advanced_Sales_Dataset_2000__3[[#This Row],[Quantity]]*Excel_Advanced_Sales_Dataset_2000__3[[#This Row],[Unit Price]]*Excel_Advanced_Sales_Dataset_2000__3[[#This Row],[Discount %]]/100</f>
        <v>11056.809799999999</v>
      </c>
      <c r="T260" s="4">
        <f>Excel_Advanced_Sales_Dataset_2000__3[[#This Row],[Quantity]]*Excel_Advanced_Sales_Dataset_2000__3[[#This Row],[Unit Price]]-Excel_Advanced_Sales_Dataset_2000__3[[#This Row],[Discount Amount]]</f>
        <v>113597.1902</v>
      </c>
    </row>
    <row r="261" spans="1:20" x14ac:dyDescent="0.25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>
        <v>11</v>
      </c>
      <c r="J261" s="4">
        <v>3614.58</v>
      </c>
      <c r="K261" s="6">
        <v>18.309999999999999</v>
      </c>
      <c r="L261" s="4">
        <v>32480.25</v>
      </c>
      <c r="M261" s="4" t="str" cm="1">
        <f t="array" ref="M261">IF(Excel_Advanced_Sales_Dataset_2000__3[[#This Row],[Total Sales]]&gt;50000,{"Yes"},{"No"})</f>
        <v>No</v>
      </c>
      <c r="N261" s="5">
        <v>46232</v>
      </c>
      <c r="O261" s="1" t="s">
        <v>113</v>
      </c>
      <c r="P261" t="s">
        <v>35</v>
      </c>
      <c r="Q261" t="str">
        <f>IF(Excel_Advanced_Sales_Dataset_2000__3[[#This Row],[Delivery Status]]="Pending","Follow Up","Ok")</f>
        <v>Ok</v>
      </c>
      <c r="R261" s="1" t="s">
        <v>26</v>
      </c>
      <c r="S261">
        <f>Excel_Advanced_Sales_Dataset_2000__3[[#This Row],[Quantity]]*Excel_Advanced_Sales_Dataset_2000__3[[#This Row],[Unit Price]]*Excel_Advanced_Sales_Dataset_2000__3[[#This Row],[Discount %]]/100</f>
        <v>7280.1255779999992</v>
      </c>
      <c r="T261" s="4">
        <f>Excel_Advanced_Sales_Dataset_2000__3[[#This Row],[Quantity]]*Excel_Advanced_Sales_Dataset_2000__3[[#This Row],[Unit Price]]-Excel_Advanced_Sales_Dataset_2000__3[[#This Row],[Discount Amount]]</f>
        <v>32480.254421999998</v>
      </c>
    </row>
    <row r="262" spans="1:20" x14ac:dyDescent="0.25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>
        <v>38</v>
      </c>
      <c r="J262" s="4">
        <v>17592.61</v>
      </c>
      <c r="K262" s="6">
        <v>16.39</v>
      </c>
      <c r="L262" s="4">
        <v>558948.89</v>
      </c>
      <c r="M262" s="4" t="str" cm="1">
        <f t="array" ref="M262">IF(Excel_Advanced_Sales_Dataset_2000__3[[#This Row],[Total Sales]]&gt;50000,{"Yes"},{"No"})</f>
        <v>Yes</v>
      </c>
      <c r="N262" s="5">
        <v>46300</v>
      </c>
      <c r="O262" s="1" t="s">
        <v>24</v>
      </c>
      <c r="P262" t="s">
        <v>35</v>
      </c>
      <c r="Q262" t="str">
        <f>IF(Excel_Advanced_Sales_Dataset_2000__3[[#This Row],[Delivery Status]]="Pending","Follow Up","Ok")</f>
        <v>Ok</v>
      </c>
      <c r="R262" s="1" t="s">
        <v>36</v>
      </c>
      <c r="S262">
        <f>Excel_Advanced_Sales_Dataset_2000__3[[#This Row],[Quantity]]*Excel_Advanced_Sales_Dataset_2000__3[[#This Row],[Unit Price]]*Excel_Advanced_Sales_Dataset_2000__3[[#This Row],[Discount %]]/100</f>
        <v>109570.29360200001</v>
      </c>
      <c r="T262" s="4">
        <f>Excel_Advanced_Sales_Dataset_2000__3[[#This Row],[Quantity]]*Excel_Advanced_Sales_Dataset_2000__3[[#This Row],[Unit Price]]-Excel_Advanced_Sales_Dataset_2000__3[[#This Row],[Discount Amount]]</f>
        <v>558948.88639800006</v>
      </c>
    </row>
    <row r="263" spans="1:20" x14ac:dyDescent="0.25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>
        <v>38</v>
      </c>
      <c r="J263" s="4">
        <v>4387.5600000000004</v>
      </c>
      <c r="K263" s="6">
        <v>17.510000000000002</v>
      </c>
      <c r="L263" s="4">
        <v>137533.32999999999</v>
      </c>
      <c r="M263" s="4" t="str" cm="1">
        <f t="array" ref="M263">IF(Excel_Advanced_Sales_Dataset_2000__3[[#This Row],[Total Sales]]&gt;50000,{"Yes"},{"No"})</f>
        <v>Yes</v>
      </c>
      <c r="N263" s="5">
        <v>46234</v>
      </c>
      <c r="O263" s="1" t="s">
        <v>113</v>
      </c>
      <c r="P263" t="s">
        <v>25</v>
      </c>
      <c r="Q263" t="str">
        <f>IF(Excel_Advanced_Sales_Dataset_2000__3[[#This Row],[Delivery Status]]="Pending","Follow Up","Ok")</f>
        <v>Follow Up</v>
      </c>
      <c r="R263" s="1" t="s">
        <v>53</v>
      </c>
      <c r="S263">
        <f>Excel_Advanced_Sales_Dataset_2000__3[[#This Row],[Quantity]]*Excel_Advanced_Sales_Dataset_2000__3[[#This Row],[Unit Price]]*Excel_Advanced_Sales_Dataset_2000__3[[#This Row],[Discount %]]/100</f>
        <v>29193.946728000006</v>
      </c>
      <c r="T263" s="4">
        <f>Excel_Advanced_Sales_Dataset_2000__3[[#This Row],[Quantity]]*Excel_Advanced_Sales_Dataset_2000__3[[#This Row],[Unit Price]]-Excel_Advanced_Sales_Dataset_2000__3[[#This Row],[Discount Amount]]</f>
        <v>137533.33327200002</v>
      </c>
    </row>
    <row r="264" spans="1:20" x14ac:dyDescent="0.25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>
        <v>35</v>
      </c>
      <c r="J264" s="4">
        <v>4445.4399999999996</v>
      </c>
      <c r="K264" s="6">
        <v>1.83</v>
      </c>
      <c r="L264" s="4">
        <v>152743.1</v>
      </c>
      <c r="M264" s="4" t="str" cm="1">
        <f t="array" ref="M264">IF(Excel_Advanced_Sales_Dataset_2000__3[[#This Row],[Total Sales]]&gt;50000,{"Yes"},{"No"})</f>
        <v>Yes</v>
      </c>
      <c r="N264" s="5">
        <v>46035</v>
      </c>
      <c r="O264" s="1" t="s">
        <v>24</v>
      </c>
      <c r="P264" t="s">
        <v>35</v>
      </c>
      <c r="Q264" t="str">
        <f>IF(Excel_Advanced_Sales_Dataset_2000__3[[#This Row],[Delivery Status]]="Pending","Follow Up","Ok")</f>
        <v>Ok</v>
      </c>
      <c r="R264" s="1" t="s">
        <v>36</v>
      </c>
      <c r="S264">
        <f>Excel_Advanced_Sales_Dataset_2000__3[[#This Row],[Quantity]]*Excel_Advanced_Sales_Dataset_2000__3[[#This Row],[Unit Price]]*Excel_Advanced_Sales_Dataset_2000__3[[#This Row],[Discount %]]/100</f>
        <v>2847.3043199999997</v>
      </c>
      <c r="T264" s="4">
        <f>Excel_Advanced_Sales_Dataset_2000__3[[#This Row],[Quantity]]*Excel_Advanced_Sales_Dataset_2000__3[[#This Row],[Unit Price]]-Excel_Advanced_Sales_Dataset_2000__3[[#This Row],[Discount Amount]]</f>
        <v>152743.09568</v>
      </c>
    </row>
    <row r="265" spans="1:20" x14ac:dyDescent="0.25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>
        <v>24</v>
      </c>
      <c r="J265" s="4">
        <v>31679.25</v>
      </c>
      <c r="K265" s="6">
        <v>14.26</v>
      </c>
      <c r="L265" s="4">
        <v>651882.93000000005</v>
      </c>
      <c r="M265" s="4" t="str" cm="1">
        <f t="array" ref="M265">IF(Excel_Advanced_Sales_Dataset_2000__3[[#This Row],[Total Sales]]&gt;50000,{"Yes"},{"No"})</f>
        <v>Yes</v>
      </c>
      <c r="N265" s="5">
        <v>46036</v>
      </c>
      <c r="O265" s="1" t="s">
        <v>24</v>
      </c>
      <c r="P265" t="s">
        <v>35</v>
      </c>
      <c r="Q265" t="str">
        <f>IF(Excel_Advanced_Sales_Dataset_2000__3[[#This Row],[Delivery Status]]="Pending","Follow Up","Ok")</f>
        <v>Ok</v>
      </c>
      <c r="R265" s="1" t="s">
        <v>36</v>
      </c>
      <c r="S265">
        <f>Excel_Advanced_Sales_Dataset_2000__3[[#This Row],[Quantity]]*Excel_Advanced_Sales_Dataset_2000__3[[#This Row],[Unit Price]]*Excel_Advanced_Sales_Dataset_2000__3[[#This Row],[Discount %]]/100</f>
        <v>108419.0652</v>
      </c>
      <c r="T265" s="4">
        <f>Excel_Advanced_Sales_Dataset_2000__3[[#This Row],[Quantity]]*Excel_Advanced_Sales_Dataset_2000__3[[#This Row],[Unit Price]]-Excel_Advanced_Sales_Dataset_2000__3[[#This Row],[Discount Amount]]</f>
        <v>651882.93480000005</v>
      </c>
    </row>
    <row r="266" spans="1:20" x14ac:dyDescent="0.25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>
        <v>7</v>
      </c>
      <c r="J266" s="4">
        <v>2246.11</v>
      </c>
      <c r="K266" s="6">
        <v>3.2</v>
      </c>
      <c r="L266" s="4">
        <v>15219.64</v>
      </c>
      <c r="M266" s="4" t="str" cm="1">
        <f t="array" ref="M266">IF(Excel_Advanced_Sales_Dataset_2000__3[[#This Row],[Total Sales]]&gt;50000,{"Yes"},{"No"})</f>
        <v>No</v>
      </c>
      <c r="N266" s="5">
        <v>46285</v>
      </c>
      <c r="O266" s="1" t="s">
        <v>68</v>
      </c>
      <c r="P266" t="s">
        <v>35</v>
      </c>
      <c r="Q266" t="str">
        <f>IF(Excel_Advanced_Sales_Dataset_2000__3[[#This Row],[Delivery Status]]="Pending","Follow Up","Ok")</f>
        <v>Ok</v>
      </c>
      <c r="R266" s="1" t="s">
        <v>26</v>
      </c>
      <c r="S266">
        <f>Excel_Advanced_Sales_Dataset_2000__3[[#This Row],[Quantity]]*Excel_Advanced_Sales_Dataset_2000__3[[#This Row],[Unit Price]]*Excel_Advanced_Sales_Dataset_2000__3[[#This Row],[Discount %]]/100</f>
        <v>503.12864000000002</v>
      </c>
      <c r="T266" s="4">
        <f>Excel_Advanced_Sales_Dataset_2000__3[[#This Row],[Quantity]]*Excel_Advanced_Sales_Dataset_2000__3[[#This Row],[Unit Price]]-Excel_Advanced_Sales_Dataset_2000__3[[#This Row],[Discount Amount]]</f>
        <v>15219.64136</v>
      </c>
    </row>
    <row r="267" spans="1:20" x14ac:dyDescent="0.25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>
        <v>8</v>
      </c>
      <c r="J267" s="4">
        <v>35288.79</v>
      </c>
      <c r="K267" s="6">
        <v>16.3</v>
      </c>
      <c r="L267" s="4">
        <v>236293.74</v>
      </c>
      <c r="M267" s="4" t="str" cm="1">
        <f t="array" ref="M267">IF(Excel_Advanced_Sales_Dataset_2000__3[[#This Row],[Total Sales]]&gt;50000,{"Yes"},{"No"})</f>
        <v>Yes</v>
      </c>
      <c r="N267" s="5">
        <v>46078</v>
      </c>
      <c r="O267" s="1" t="s">
        <v>58</v>
      </c>
      <c r="P267" t="s">
        <v>35</v>
      </c>
      <c r="Q267" t="str">
        <f>IF(Excel_Advanced_Sales_Dataset_2000__3[[#This Row],[Delivery Status]]="Pending","Follow Up","Ok")</f>
        <v>Ok</v>
      </c>
      <c r="R267" s="1" t="s">
        <v>53</v>
      </c>
      <c r="S267">
        <f>Excel_Advanced_Sales_Dataset_2000__3[[#This Row],[Quantity]]*Excel_Advanced_Sales_Dataset_2000__3[[#This Row],[Unit Price]]*Excel_Advanced_Sales_Dataset_2000__3[[#This Row],[Discount %]]/100</f>
        <v>46016.582159999998</v>
      </c>
      <c r="T267" s="4">
        <f>Excel_Advanced_Sales_Dataset_2000__3[[#This Row],[Quantity]]*Excel_Advanced_Sales_Dataset_2000__3[[#This Row],[Unit Price]]-Excel_Advanced_Sales_Dataset_2000__3[[#This Row],[Discount Amount]]</f>
        <v>236293.73784000002</v>
      </c>
    </row>
    <row r="268" spans="1:20" x14ac:dyDescent="0.25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>
        <v>20</v>
      </c>
      <c r="J268" s="4">
        <v>24211.79</v>
      </c>
      <c r="K268" s="6">
        <v>5.92</v>
      </c>
      <c r="L268" s="4">
        <v>455569.04</v>
      </c>
      <c r="M268" s="4" t="str" cm="1">
        <f t="array" ref="M268">IF(Excel_Advanced_Sales_Dataset_2000__3[[#This Row],[Total Sales]]&gt;50000,{"Yes"},{"No"})</f>
        <v>Yes</v>
      </c>
      <c r="N268" s="5">
        <v>46286</v>
      </c>
      <c r="O268" s="1" t="s">
        <v>24</v>
      </c>
      <c r="P268" t="s">
        <v>35</v>
      </c>
      <c r="Q268" t="str">
        <f>IF(Excel_Advanced_Sales_Dataset_2000__3[[#This Row],[Delivery Status]]="Pending","Follow Up","Ok")</f>
        <v>Ok</v>
      </c>
      <c r="R268" s="1" t="s">
        <v>26</v>
      </c>
      <c r="S268">
        <f>Excel_Advanced_Sales_Dataset_2000__3[[#This Row],[Quantity]]*Excel_Advanced_Sales_Dataset_2000__3[[#This Row],[Unit Price]]*Excel_Advanced_Sales_Dataset_2000__3[[#This Row],[Discount %]]/100</f>
        <v>28666.759360000004</v>
      </c>
      <c r="T268" s="4">
        <f>Excel_Advanced_Sales_Dataset_2000__3[[#This Row],[Quantity]]*Excel_Advanced_Sales_Dataset_2000__3[[#This Row],[Unit Price]]-Excel_Advanced_Sales_Dataset_2000__3[[#This Row],[Discount Amount]]</f>
        <v>455569.04064000002</v>
      </c>
    </row>
    <row r="269" spans="1:20" x14ac:dyDescent="0.25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>
        <v>3</v>
      </c>
      <c r="J269" s="4">
        <v>34411.97</v>
      </c>
      <c r="K269" s="6">
        <v>13.26</v>
      </c>
      <c r="L269" s="4">
        <v>89546.83</v>
      </c>
      <c r="M269" s="4" t="str" cm="1">
        <f t="array" ref="M269">IF(Excel_Advanced_Sales_Dataset_2000__3[[#This Row],[Total Sales]]&gt;50000,{"Yes"},{"No"})</f>
        <v>Yes</v>
      </c>
      <c r="N269" s="5">
        <v>46089</v>
      </c>
      <c r="O269" s="1" t="s">
        <v>45</v>
      </c>
      <c r="P269" t="s">
        <v>35</v>
      </c>
      <c r="Q269" t="str">
        <f>IF(Excel_Advanced_Sales_Dataset_2000__3[[#This Row],[Delivery Status]]="Pending","Follow Up","Ok")</f>
        <v>Ok</v>
      </c>
      <c r="R269" s="1" t="s">
        <v>36</v>
      </c>
      <c r="S269">
        <f>Excel_Advanced_Sales_Dataset_2000__3[[#This Row],[Quantity]]*Excel_Advanced_Sales_Dataset_2000__3[[#This Row],[Unit Price]]*Excel_Advanced_Sales_Dataset_2000__3[[#This Row],[Discount %]]/100</f>
        <v>13689.081666000002</v>
      </c>
      <c r="T269" s="4">
        <f>Excel_Advanced_Sales_Dataset_2000__3[[#This Row],[Quantity]]*Excel_Advanced_Sales_Dataset_2000__3[[#This Row],[Unit Price]]-Excel_Advanced_Sales_Dataset_2000__3[[#This Row],[Discount Amount]]</f>
        <v>89546.828334000005</v>
      </c>
    </row>
    <row r="270" spans="1:20" x14ac:dyDescent="0.25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>
        <v>48</v>
      </c>
      <c r="J270" s="4">
        <v>17334.53</v>
      </c>
      <c r="K270" s="6">
        <v>0.6</v>
      </c>
      <c r="L270" s="4">
        <v>827065.1</v>
      </c>
      <c r="M270" s="4" t="str" cm="1">
        <f t="array" ref="M270">IF(Excel_Advanced_Sales_Dataset_2000__3[[#This Row],[Total Sales]]&gt;50000,{"Yes"},{"No"})</f>
        <v>Yes</v>
      </c>
      <c r="N270" s="5">
        <v>46164</v>
      </c>
      <c r="O270" s="1" t="s">
        <v>68</v>
      </c>
      <c r="P270" t="s">
        <v>25</v>
      </c>
      <c r="Q270" t="str">
        <f>IF(Excel_Advanced_Sales_Dataset_2000__3[[#This Row],[Delivery Status]]="Pending","Follow Up","Ok")</f>
        <v>Follow Up</v>
      </c>
      <c r="R270" s="1" t="s">
        <v>26</v>
      </c>
      <c r="S270">
        <f>Excel_Advanced_Sales_Dataset_2000__3[[#This Row],[Quantity]]*Excel_Advanced_Sales_Dataset_2000__3[[#This Row],[Unit Price]]*Excel_Advanced_Sales_Dataset_2000__3[[#This Row],[Discount %]]/100</f>
        <v>4992.3446399999993</v>
      </c>
      <c r="T270" s="4">
        <f>Excel_Advanced_Sales_Dataset_2000__3[[#This Row],[Quantity]]*Excel_Advanced_Sales_Dataset_2000__3[[#This Row],[Unit Price]]-Excel_Advanced_Sales_Dataset_2000__3[[#This Row],[Discount Amount]]</f>
        <v>827065.09535999992</v>
      </c>
    </row>
    <row r="271" spans="1:20" x14ac:dyDescent="0.25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>
        <v>32</v>
      </c>
      <c r="J271" s="4">
        <v>23181.03</v>
      </c>
      <c r="K271" s="6">
        <v>4.04</v>
      </c>
      <c r="L271" s="4">
        <v>711824.52</v>
      </c>
      <c r="M271" s="4" t="str" cm="1">
        <f t="array" ref="M271">IF(Excel_Advanced_Sales_Dataset_2000__3[[#This Row],[Total Sales]]&gt;50000,{"Yes"},{"No"})</f>
        <v>Yes</v>
      </c>
      <c r="N271" s="5">
        <v>46242</v>
      </c>
      <c r="O271" s="1" t="s">
        <v>68</v>
      </c>
      <c r="P271" t="s">
        <v>35</v>
      </c>
      <c r="Q271" t="str">
        <f>IF(Excel_Advanced_Sales_Dataset_2000__3[[#This Row],[Delivery Status]]="Pending","Follow Up","Ok")</f>
        <v>Ok</v>
      </c>
      <c r="R271" s="1" t="s">
        <v>36</v>
      </c>
      <c r="S271">
        <f>Excel_Advanced_Sales_Dataset_2000__3[[#This Row],[Quantity]]*Excel_Advanced_Sales_Dataset_2000__3[[#This Row],[Unit Price]]*Excel_Advanced_Sales_Dataset_2000__3[[#This Row],[Discount %]]/100</f>
        <v>29968.435583999999</v>
      </c>
      <c r="T271" s="4">
        <f>Excel_Advanced_Sales_Dataset_2000__3[[#This Row],[Quantity]]*Excel_Advanced_Sales_Dataset_2000__3[[#This Row],[Unit Price]]-Excel_Advanced_Sales_Dataset_2000__3[[#This Row],[Discount Amount]]</f>
        <v>711824.524416</v>
      </c>
    </row>
    <row r="272" spans="1:20" x14ac:dyDescent="0.25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>
        <v>18</v>
      </c>
      <c r="J272" s="4">
        <v>26910.45</v>
      </c>
      <c r="K272" s="6">
        <v>0.1</v>
      </c>
      <c r="L272" s="4">
        <v>483903.71</v>
      </c>
      <c r="M272" s="4" t="str" cm="1">
        <f t="array" ref="M272">IF(Excel_Advanced_Sales_Dataset_2000__3[[#This Row],[Total Sales]]&gt;50000,{"Yes"},{"No"})</f>
        <v>Yes</v>
      </c>
      <c r="N272" s="5">
        <v>46100</v>
      </c>
      <c r="O272" s="1" t="s">
        <v>45</v>
      </c>
      <c r="P272" t="s">
        <v>35</v>
      </c>
      <c r="Q272" t="str">
        <f>IF(Excel_Advanced_Sales_Dataset_2000__3[[#This Row],[Delivery Status]]="Pending","Follow Up","Ok")</f>
        <v>Ok</v>
      </c>
      <c r="R272" s="1" t="s">
        <v>36</v>
      </c>
      <c r="S272">
        <f>Excel_Advanced_Sales_Dataset_2000__3[[#This Row],[Quantity]]*Excel_Advanced_Sales_Dataset_2000__3[[#This Row],[Unit Price]]*Excel_Advanced_Sales_Dataset_2000__3[[#This Row],[Discount %]]/100</f>
        <v>484.38810000000007</v>
      </c>
      <c r="T272" s="4">
        <f>Excel_Advanced_Sales_Dataset_2000__3[[#This Row],[Quantity]]*Excel_Advanced_Sales_Dataset_2000__3[[#This Row],[Unit Price]]-Excel_Advanced_Sales_Dataset_2000__3[[#This Row],[Discount Amount]]</f>
        <v>483903.71190000005</v>
      </c>
    </row>
    <row r="273" spans="1:20" x14ac:dyDescent="0.25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>
        <v>25</v>
      </c>
      <c r="J273" s="4">
        <v>42446.07</v>
      </c>
      <c r="K273" s="6">
        <v>17.45</v>
      </c>
      <c r="L273" s="4">
        <v>875980.77</v>
      </c>
      <c r="M273" s="4" t="str" cm="1">
        <f t="array" ref="M273">IF(Excel_Advanced_Sales_Dataset_2000__3[[#This Row],[Total Sales]]&gt;50000,{"Yes"},{"No"})</f>
        <v>Yes</v>
      </c>
      <c r="N273" s="5">
        <v>46204</v>
      </c>
      <c r="O273" s="1" t="s">
        <v>24</v>
      </c>
      <c r="P273" t="s">
        <v>35</v>
      </c>
      <c r="Q273" t="str">
        <f>IF(Excel_Advanced_Sales_Dataset_2000__3[[#This Row],[Delivery Status]]="Pending","Follow Up","Ok")</f>
        <v>Ok</v>
      </c>
      <c r="R273" s="1" t="s">
        <v>53</v>
      </c>
      <c r="S273">
        <f>Excel_Advanced_Sales_Dataset_2000__3[[#This Row],[Quantity]]*Excel_Advanced_Sales_Dataset_2000__3[[#This Row],[Unit Price]]*Excel_Advanced_Sales_Dataset_2000__3[[#This Row],[Discount %]]/100</f>
        <v>185170.98037499998</v>
      </c>
      <c r="T273" s="4">
        <f>Excel_Advanced_Sales_Dataset_2000__3[[#This Row],[Quantity]]*Excel_Advanced_Sales_Dataset_2000__3[[#This Row],[Unit Price]]-Excel_Advanced_Sales_Dataset_2000__3[[#This Row],[Discount Amount]]</f>
        <v>875980.76962499996</v>
      </c>
    </row>
    <row r="274" spans="1:20" x14ac:dyDescent="0.25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>
        <v>31</v>
      </c>
      <c r="J274" s="4">
        <v>17298.27</v>
      </c>
      <c r="K274" s="6">
        <v>7.33</v>
      </c>
      <c r="L274" s="4">
        <v>496939.51</v>
      </c>
      <c r="M274" s="4" t="str" cm="1">
        <f t="array" ref="M274">IF(Excel_Advanced_Sales_Dataset_2000__3[[#This Row],[Total Sales]]&gt;50000,{"Yes"},{"No"})</f>
        <v>Yes</v>
      </c>
      <c r="N274" s="5">
        <v>46157</v>
      </c>
      <c r="O274" s="1" t="s">
        <v>113</v>
      </c>
      <c r="P274" t="s">
        <v>35</v>
      </c>
      <c r="Q274" t="str">
        <f>IF(Excel_Advanced_Sales_Dataset_2000__3[[#This Row],[Delivery Status]]="Pending","Follow Up","Ok")</f>
        <v>Ok</v>
      </c>
      <c r="R274" s="1" t="s">
        <v>26</v>
      </c>
      <c r="S274">
        <f>Excel_Advanced_Sales_Dataset_2000__3[[#This Row],[Quantity]]*Excel_Advanced_Sales_Dataset_2000__3[[#This Row],[Unit Price]]*Excel_Advanced_Sales_Dataset_2000__3[[#This Row],[Discount %]]/100</f>
        <v>39306.858920999999</v>
      </c>
      <c r="T274" s="4">
        <f>Excel_Advanced_Sales_Dataset_2000__3[[#This Row],[Quantity]]*Excel_Advanced_Sales_Dataset_2000__3[[#This Row],[Unit Price]]-Excel_Advanced_Sales_Dataset_2000__3[[#This Row],[Discount Amount]]</f>
        <v>496939.51107900002</v>
      </c>
    </row>
    <row r="275" spans="1:20" x14ac:dyDescent="0.25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>
        <v>4</v>
      </c>
      <c r="J275" s="4">
        <v>8400.68</v>
      </c>
      <c r="K275" s="6">
        <v>12.57</v>
      </c>
      <c r="L275" s="4">
        <v>29378.86</v>
      </c>
      <c r="M275" s="4" t="str" cm="1">
        <f t="array" ref="M275">IF(Excel_Advanced_Sales_Dataset_2000__3[[#This Row],[Total Sales]]&gt;50000,{"Yes"},{"No"})</f>
        <v>No</v>
      </c>
      <c r="N275" s="5">
        <v>46207</v>
      </c>
      <c r="O275" s="1" t="s">
        <v>68</v>
      </c>
      <c r="P275" t="s">
        <v>35</v>
      </c>
      <c r="Q275" t="str">
        <f>IF(Excel_Advanced_Sales_Dataset_2000__3[[#This Row],[Delivery Status]]="Pending","Follow Up","Ok")</f>
        <v>Ok</v>
      </c>
      <c r="R275" s="1" t="s">
        <v>53</v>
      </c>
      <c r="S275">
        <f>Excel_Advanced_Sales_Dataset_2000__3[[#This Row],[Quantity]]*Excel_Advanced_Sales_Dataset_2000__3[[#This Row],[Unit Price]]*Excel_Advanced_Sales_Dataset_2000__3[[#This Row],[Discount %]]/100</f>
        <v>4223.8619040000003</v>
      </c>
      <c r="T275" s="4">
        <f>Excel_Advanced_Sales_Dataset_2000__3[[#This Row],[Quantity]]*Excel_Advanced_Sales_Dataset_2000__3[[#This Row],[Unit Price]]-Excel_Advanced_Sales_Dataset_2000__3[[#This Row],[Discount Amount]]</f>
        <v>29378.858096</v>
      </c>
    </row>
    <row r="276" spans="1:20" x14ac:dyDescent="0.25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>
        <v>45</v>
      </c>
      <c r="J276" s="4">
        <v>39632.83</v>
      </c>
      <c r="K276" s="6">
        <v>13.09</v>
      </c>
      <c r="L276" s="4">
        <v>1550020.16</v>
      </c>
      <c r="M276" s="4" t="str" cm="1">
        <f t="array" ref="M276">IF(Excel_Advanced_Sales_Dataset_2000__3[[#This Row],[Total Sales]]&gt;50000,{"Yes"},{"No"})</f>
        <v>Yes</v>
      </c>
      <c r="N276" s="5">
        <v>46323</v>
      </c>
      <c r="O276" s="1" t="s">
        <v>113</v>
      </c>
      <c r="P276" t="s">
        <v>35</v>
      </c>
      <c r="Q276" t="str">
        <f>IF(Excel_Advanced_Sales_Dataset_2000__3[[#This Row],[Delivery Status]]="Pending","Follow Up","Ok")</f>
        <v>Ok</v>
      </c>
      <c r="R276" s="1" t="s">
        <v>26</v>
      </c>
      <c r="S276">
        <f>Excel_Advanced_Sales_Dataset_2000__3[[#This Row],[Quantity]]*Excel_Advanced_Sales_Dataset_2000__3[[#This Row],[Unit Price]]*Excel_Advanced_Sales_Dataset_2000__3[[#This Row],[Discount %]]/100</f>
        <v>233457.185115</v>
      </c>
      <c r="T276" s="4">
        <f>Excel_Advanced_Sales_Dataset_2000__3[[#This Row],[Quantity]]*Excel_Advanced_Sales_Dataset_2000__3[[#This Row],[Unit Price]]-Excel_Advanced_Sales_Dataset_2000__3[[#This Row],[Discount Amount]]</f>
        <v>1550020.1648850001</v>
      </c>
    </row>
    <row r="277" spans="1:20" x14ac:dyDescent="0.25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>
        <v>43</v>
      </c>
      <c r="J277" s="4">
        <v>22250.93</v>
      </c>
      <c r="K277" s="6">
        <v>9.3699999999999992</v>
      </c>
      <c r="L277" s="4">
        <v>867138.77</v>
      </c>
      <c r="M277" s="4" t="str" cm="1">
        <f t="array" ref="M277">IF(Excel_Advanced_Sales_Dataset_2000__3[[#This Row],[Total Sales]]&gt;50000,{"Yes"},{"No"})</f>
        <v>Yes</v>
      </c>
      <c r="N277" s="5">
        <v>46293</v>
      </c>
      <c r="O277" s="1" t="s">
        <v>113</v>
      </c>
      <c r="P277" t="s">
        <v>35</v>
      </c>
      <c r="Q277" t="str">
        <f>IF(Excel_Advanced_Sales_Dataset_2000__3[[#This Row],[Delivery Status]]="Pending","Follow Up","Ok")</f>
        <v>Ok</v>
      </c>
      <c r="R277" s="1" t="s">
        <v>36</v>
      </c>
      <c r="S277">
        <f>Excel_Advanced_Sales_Dataset_2000__3[[#This Row],[Quantity]]*Excel_Advanced_Sales_Dataset_2000__3[[#This Row],[Unit Price]]*Excel_Advanced_Sales_Dataset_2000__3[[#This Row],[Discount %]]/100</f>
        <v>89651.222062999994</v>
      </c>
      <c r="T277" s="4">
        <f>Excel_Advanced_Sales_Dataset_2000__3[[#This Row],[Quantity]]*Excel_Advanced_Sales_Dataset_2000__3[[#This Row],[Unit Price]]-Excel_Advanced_Sales_Dataset_2000__3[[#This Row],[Discount Amount]]</f>
        <v>867138.76793700003</v>
      </c>
    </row>
    <row r="278" spans="1:20" x14ac:dyDescent="0.25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>
        <v>7</v>
      </c>
      <c r="J278" s="4">
        <v>41433.78</v>
      </c>
      <c r="K278" s="6">
        <v>4.58</v>
      </c>
      <c r="L278" s="4">
        <v>276752.78999999998</v>
      </c>
      <c r="M278" s="4" t="str" cm="1">
        <f t="array" ref="M278">IF(Excel_Advanced_Sales_Dataset_2000__3[[#This Row],[Total Sales]]&gt;50000,{"Yes"},{"No"})</f>
        <v>Yes</v>
      </c>
      <c r="N278" s="5">
        <v>46222</v>
      </c>
      <c r="O278" s="1" t="s">
        <v>68</v>
      </c>
      <c r="P278" t="s">
        <v>35</v>
      </c>
      <c r="Q278" t="str">
        <f>IF(Excel_Advanced_Sales_Dataset_2000__3[[#This Row],[Delivery Status]]="Pending","Follow Up","Ok")</f>
        <v>Ok</v>
      </c>
      <c r="R278" s="1" t="s">
        <v>26</v>
      </c>
      <c r="S278">
        <f>Excel_Advanced_Sales_Dataset_2000__3[[#This Row],[Quantity]]*Excel_Advanced_Sales_Dataset_2000__3[[#This Row],[Unit Price]]*Excel_Advanced_Sales_Dataset_2000__3[[#This Row],[Discount %]]/100</f>
        <v>13283.669867999999</v>
      </c>
      <c r="T278" s="4">
        <f>Excel_Advanced_Sales_Dataset_2000__3[[#This Row],[Quantity]]*Excel_Advanced_Sales_Dataset_2000__3[[#This Row],[Unit Price]]-Excel_Advanced_Sales_Dataset_2000__3[[#This Row],[Discount Amount]]</f>
        <v>276752.79013199994</v>
      </c>
    </row>
    <row r="279" spans="1:20" x14ac:dyDescent="0.25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>
        <v>18</v>
      </c>
      <c r="J279" s="4">
        <v>45445.34</v>
      </c>
      <c r="K279" s="6">
        <v>15.15</v>
      </c>
      <c r="L279" s="4">
        <v>694086.68</v>
      </c>
      <c r="M279" s="4" t="str" cm="1">
        <f t="array" ref="M279">IF(Excel_Advanced_Sales_Dataset_2000__3[[#This Row],[Total Sales]]&gt;50000,{"Yes"},{"No"})</f>
        <v>Yes</v>
      </c>
      <c r="N279" s="5">
        <v>46354</v>
      </c>
      <c r="O279" s="1" t="s">
        <v>45</v>
      </c>
      <c r="P279" t="s">
        <v>35</v>
      </c>
      <c r="Q279" t="str">
        <f>IF(Excel_Advanced_Sales_Dataset_2000__3[[#This Row],[Delivery Status]]="Pending","Follow Up","Ok")</f>
        <v>Ok</v>
      </c>
      <c r="R279" s="1" t="s">
        <v>26</v>
      </c>
      <c r="S279">
        <f>Excel_Advanced_Sales_Dataset_2000__3[[#This Row],[Quantity]]*Excel_Advanced_Sales_Dataset_2000__3[[#This Row],[Unit Price]]*Excel_Advanced_Sales_Dataset_2000__3[[#This Row],[Discount %]]/100</f>
        <v>123929.44217999998</v>
      </c>
      <c r="T279" s="4">
        <f>Excel_Advanced_Sales_Dataset_2000__3[[#This Row],[Quantity]]*Excel_Advanced_Sales_Dataset_2000__3[[#This Row],[Unit Price]]-Excel_Advanced_Sales_Dataset_2000__3[[#This Row],[Discount Amount]]</f>
        <v>694086.67781999987</v>
      </c>
    </row>
    <row r="280" spans="1:20" x14ac:dyDescent="0.25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>
        <v>35</v>
      </c>
      <c r="J280" s="4">
        <v>39138.97</v>
      </c>
      <c r="K280" s="6">
        <v>12.97</v>
      </c>
      <c r="L280" s="4">
        <v>1192192.6000000001</v>
      </c>
      <c r="M280" s="4" t="str" cm="1">
        <f t="array" ref="M280">IF(Excel_Advanced_Sales_Dataset_2000__3[[#This Row],[Total Sales]]&gt;50000,{"Yes"},{"No"})</f>
        <v>Yes</v>
      </c>
      <c r="N280" s="5">
        <v>46243</v>
      </c>
      <c r="O280" s="1" t="s">
        <v>68</v>
      </c>
      <c r="P280" t="s">
        <v>35</v>
      </c>
      <c r="Q280" t="str">
        <f>IF(Excel_Advanced_Sales_Dataset_2000__3[[#This Row],[Delivery Status]]="Pending","Follow Up","Ok")</f>
        <v>Ok</v>
      </c>
      <c r="R280" s="1" t="s">
        <v>36</v>
      </c>
      <c r="S280">
        <f>Excel_Advanced_Sales_Dataset_2000__3[[#This Row],[Quantity]]*Excel_Advanced_Sales_Dataset_2000__3[[#This Row],[Unit Price]]*Excel_Advanced_Sales_Dataset_2000__3[[#This Row],[Discount %]]/100</f>
        <v>177671.354315</v>
      </c>
      <c r="T280" s="4">
        <f>Excel_Advanced_Sales_Dataset_2000__3[[#This Row],[Quantity]]*Excel_Advanced_Sales_Dataset_2000__3[[#This Row],[Unit Price]]-Excel_Advanced_Sales_Dataset_2000__3[[#This Row],[Discount Amount]]</f>
        <v>1192192.5956850001</v>
      </c>
    </row>
    <row r="281" spans="1:20" x14ac:dyDescent="0.25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>
        <v>27</v>
      </c>
      <c r="J281" s="4">
        <v>21953.45</v>
      </c>
      <c r="K281" s="6">
        <v>15.31</v>
      </c>
      <c r="L281" s="4">
        <v>501994.17</v>
      </c>
      <c r="M281" s="4" t="str" cm="1">
        <f t="array" ref="M281">IF(Excel_Advanced_Sales_Dataset_2000__3[[#This Row],[Total Sales]]&gt;50000,{"Yes"},{"No"})</f>
        <v>Yes</v>
      </c>
      <c r="N281" s="5">
        <v>46197</v>
      </c>
      <c r="O281" s="1" t="s">
        <v>24</v>
      </c>
      <c r="P281" t="s">
        <v>35</v>
      </c>
      <c r="Q281" t="str">
        <f>IF(Excel_Advanced_Sales_Dataset_2000__3[[#This Row],[Delivery Status]]="Pending","Follow Up","Ok")</f>
        <v>Ok</v>
      </c>
      <c r="R281" s="1" t="s">
        <v>53</v>
      </c>
      <c r="S281">
        <f>Excel_Advanced_Sales_Dataset_2000__3[[#This Row],[Quantity]]*Excel_Advanced_Sales_Dataset_2000__3[[#This Row],[Unit Price]]*Excel_Advanced_Sales_Dataset_2000__3[[#This Row],[Discount %]]/100</f>
        <v>90748.976265000005</v>
      </c>
      <c r="T281" s="4">
        <f>Excel_Advanced_Sales_Dataset_2000__3[[#This Row],[Quantity]]*Excel_Advanced_Sales_Dataset_2000__3[[#This Row],[Unit Price]]-Excel_Advanced_Sales_Dataset_2000__3[[#This Row],[Discount Amount]]</f>
        <v>501994.17373500002</v>
      </c>
    </row>
    <row r="282" spans="1:20" x14ac:dyDescent="0.25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>
        <v>4</v>
      </c>
      <c r="J282" s="4">
        <v>3049.83</v>
      </c>
      <c r="K282" s="6">
        <v>15.64</v>
      </c>
      <c r="L282" s="4">
        <v>10291.35</v>
      </c>
      <c r="M282" s="4" t="str" cm="1">
        <f t="array" ref="M282">IF(Excel_Advanced_Sales_Dataset_2000__3[[#This Row],[Total Sales]]&gt;50000,{"Yes"},{"No"})</f>
        <v>No</v>
      </c>
      <c r="N282" s="5">
        <v>46308</v>
      </c>
      <c r="O282" s="1" t="s">
        <v>58</v>
      </c>
      <c r="P282" t="s">
        <v>35</v>
      </c>
      <c r="Q282" t="str">
        <f>IF(Excel_Advanced_Sales_Dataset_2000__3[[#This Row],[Delivery Status]]="Pending","Follow Up","Ok")</f>
        <v>Ok</v>
      </c>
      <c r="R282" s="1" t="s">
        <v>36</v>
      </c>
      <c r="S282">
        <f>Excel_Advanced_Sales_Dataset_2000__3[[#This Row],[Quantity]]*Excel_Advanced_Sales_Dataset_2000__3[[#This Row],[Unit Price]]*Excel_Advanced_Sales_Dataset_2000__3[[#This Row],[Discount %]]/100</f>
        <v>1907.9736480000001</v>
      </c>
      <c r="T282" s="4">
        <f>Excel_Advanced_Sales_Dataset_2000__3[[#This Row],[Quantity]]*Excel_Advanced_Sales_Dataset_2000__3[[#This Row],[Unit Price]]-Excel_Advanced_Sales_Dataset_2000__3[[#This Row],[Discount Amount]]</f>
        <v>10291.346352</v>
      </c>
    </row>
    <row r="283" spans="1:20" x14ac:dyDescent="0.25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>
        <v>29</v>
      </c>
      <c r="J283" s="4">
        <v>28367.93</v>
      </c>
      <c r="K283" s="6">
        <v>0.84</v>
      </c>
      <c r="L283" s="4">
        <v>815759.54</v>
      </c>
      <c r="M283" s="4" t="str" cm="1">
        <f t="array" ref="M283">IF(Excel_Advanced_Sales_Dataset_2000__3[[#This Row],[Total Sales]]&gt;50000,{"Yes"},{"No"})</f>
        <v>Yes</v>
      </c>
      <c r="N283" s="5">
        <v>46143</v>
      </c>
      <c r="O283" s="1" t="s">
        <v>68</v>
      </c>
      <c r="P283" t="s">
        <v>35</v>
      </c>
      <c r="Q283" t="str">
        <f>IF(Excel_Advanced_Sales_Dataset_2000__3[[#This Row],[Delivery Status]]="Pending","Follow Up","Ok")</f>
        <v>Ok</v>
      </c>
      <c r="R283" s="1" t="s">
        <v>26</v>
      </c>
      <c r="S283">
        <f>Excel_Advanced_Sales_Dataset_2000__3[[#This Row],[Quantity]]*Excel_Advanced_Sales_Dataset_2000__3[[#This Row],[Unit Price]]*Excel_Advanced_Sales_Dataset_2000__3[[#This Row],[Discount %]]/100</f>
        <v>6910.4277479999992</v>
      </c>
      <c r="T283" s="4">
        <f>Excel_Advanced_Sales_Dataset_2000__3[[#This Row],[Quantity]]*Excel_Advanced_Sales_Dataset_2000__3[[#This Row],[Unit Price]]-Excel_Advanced_Sales_Dataset_2000__3[[#This Row],[Discount Amount]]</f>
        <v>815759.54225199996</v>
      </c>
    </row>
    <row r="284" spans="1:20" x14ac:dyDescent="0.25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>
        <v>49</v>
      </c>
      <c r="J284" s="4">
        <v>7176.98</v>
      </c>
      <c r="K284" s="6">
        <v>18.53</v>
      </c>
      <c r="L284" s="4">
        <v>286507.19</v>
      </c>
      <c r="M284" s="4" t="str" cm="1">
        <f t="array" ref="M284">IF(Excel_Advanced_Sales_Dataset_2000__3[[#This Row],[Total Sales]]&gt;50000,{"Yes"},{"No"})</f>
        <v>Yes</v>
      </c>
      <c r="N284" s="5">
        <v>46323</v>
      </c>
      <c r="O284" s="1" t="s">
        <v>113</v>
      </c>
      <c r="P284" t="s">
        <v>25</v>
      </c>
      <c r="Q284" t="str">
        <f>IF(Excel_Advanced_Sales_Dataset_2000__3[[#This Row],[Delivery Status]]="Pending","Follow Up","Ok")</f>
        <v>Follow Up</v>
      </c>
      <c r="R284" s="1" t="s">
        <v>26</v>
      </c>
      <c r="S284">
        <f>Excel_Advanced_Sales_Dataset_2000__3[[#This Row],[Quantity]]*Excel_Advanced_Sales_Dataset_2000__3[[#This Row],[Unit Price]]*Excel_Advanced_Sales_Dataset_2000__3[[#This Row],[Discount %]]/100</f>
        <v>65164.825305999992</v>
      </c>
      <c r="T284" s="4">
        <f>Excel_Advanced_Sales_Dataset_2000__3[[#This Row],[Quantity]]*Excel_Advanced_Sales_Dataset_2000__3[[#This Row],[Unit Price]]-Excel_Advanced_Sales_Dataset_2000__3[[#This Row],[Discount Amount]]</f>
        <v>286507.19469399995</v>
      </c>
    </row>
    <row r="285" spans="1:20" x14ac:dyDescent="0.25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>
        <v>13</v>
      </c>
      <c r="J285" s="4">
        <v>41455.82</v>
      </c>
      <c r="K285" s="6">
        <v>12.69</v>
      </c>
      <c r="L285" s="4">
        <v>470535.99</v>
      </c>
      <c r="M285" s="4" t="str" cm="1">
        <f t="array" ref="M285">IF(Excel_Advanced_Sales_Dataset_2000__3[[#This Row],[Total Sales]]&gt;50000,{"Yes"},{"No"})</f>
        <v>Yes</v>
      </c>
      <c r="N285" s="5">
        <v>46270</v>
      </c>
      <c r="O285" s="1" t="s">
        <v>45</v>
      </c>
      <c r="P285" t="s">
        <v>35</v>
      </c>
      <c r="Q285" t="str">
        <f>IF(Excel_Advanced_Sales_Dataset_2000__3[[#This Row],[Delivery Status]]="Pending","Follow Up","Ok")</f>
        <v>Ok</v>
      </c>
      <c r="R285" s="1" t="s">
        <v>26</v>
      </c>
      <c r="S285">
        <f>Excel_Advanced_Sales_Dataset_2000__3[[#This Row],[Quantity]]*Excel_Advanced_Sales_Dataset_2000__3[[#This Row],[Unit Price]]*Excel_Advanced_Sales_Dataset_2000__3[[#This Row],[Discount %]]/100</f>
        <v>68389.666253999996</v>
      </c>
      <c r="T285" s="4">
        <f>Excel_Advanced_Sales_Dataset_2000__3[[#This Row],[Quantity]]*Excel_Advanced_Sales_Dataset_2000__3[[#This Row],[Unit Price]]-Excel_Advanced_Sales_Dataset_2000__3[[#This Row],[Discount Amount]]</f>
        <v>470535.99374600005</v>
      </c>
    </row>
    <row r="286" spans="1:20" x14ac:dyDescent="0.25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>
        <v>5</v>
      </c>
      <c r="J286" s="4">
        <v>28842.93</v>
      </c>
      <c r="K286" s="6">
        <v>5.1100000000000003</v>
      </c>
      <c r="L286" s="4">
        <v>136845.28</v>
      </c>
      <c r="M286" s="4" t="str" cm="1">
        <f t="array" ref="M286">IF(Excel_Advanced_Sales_Dataset_2000__3[[#This Row],[Total Sales]]&gt;50000,{"Yes"},{"No"})</f>
        <v>Yes</v>
      </c>
      <c r="N286" s="5">
        <v>46348</v>
      </c>
      <c r="O286" s="1" t="s">
        <v>68</v>
      </c>
      <c r="P286" t="s">
        <v>35</v>
      </c>
      <c r="Q286" t="str">
        <f>IF(Excel_Advanced_Sales_Dataset_2000__3[[#This Row],[Delivery Status]]="Pending","Follow Up","Ok")</f>
        <v>Ok</v>
      </c>
      <c r="R286" s="1" t="s">
        <v>36</v>
      </c>
      <c r="S286">
        <f>Excel_Advanced_Sales_Dataset_2000__3[[#This Row],[Quantity]]*Excel_Advanced_Sales_Dataset_2000__3[[#This Row],[Unit Price]]*Excel_Advanced_Sales_Dataset_2000__3[[#This Row],[Discount %]]/100</f>
        <v>7369.3686150000003</v>
      </c>
      <c r="T286" s="4">
        <f>Excel_Advanced_Sales_Dataset_2000__3[[#This Row],[Quantity]]*Excel_Advanced_Sales_Dataset_2000__3[[#This Row],[Unit Price]]-Excel_Advanced_Sales_Dataset_2000__3[[#This Row],[Discount Amount]]</f>
        <v>136845.28138499998</v>
      </c>
    </row>
    <row r="287" spans="1:20" x14ac:dyDescent="0.25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>
        <v>11</v>
      </c>
      <c r="J287" s="4">
        <v>19321.849999999999</v>
      </c>
      <c r="K287" s="6">
        <v>11.79</v>
      </c>
      <c r="L287" s="4">
        <v>187481.84</v>
      </c>
      <c r="M287" s="4" t="str" cm="1">
        <f t="array" ref="M287">IF(Excel_Advanced_Sales_Dataset_2000__3[[#This Row],[Total Sales]]&gt;50000,{"Yes"},{"No"})</f>
        <v>Yes</v>
      </c>
      <c r="N287" s="5">
        <v>46035</v>
      </c>
      <c r="O287" s="1" t="s">
        <v>58</v>
      </c>
      <c r="P287" t="s">
        <v>35</v>
      </c>
      <c r="Q287" t="str">
        <f>IF(Excel_Advanced_Sales_Dataset_2000__3[[#This Row],[Delivery Status]]="Pending","Follow Up","Ok")</f>
        <v>Ok</v>
      </c>
      <c r="R287" s="1" t="s">
        <v>36</v>
      </c>
      <c r="S287">
        <f>Excel_Advanced_Sales_Dataset_2000__3[[#This Row],[Quantity]]*Excel_Advanced_Sales_Dataset_2000__3[[#This Row],[Unit Price]]*Excel_Advanced_Sales_Dataset_2000__3[[#This Row],[Discount %]]/100</f>
        <v>25058.507264999993</v>
      </c>
      <c r="T287" s="4">
        <f>Excel_Advanced_Sales_Dataset_2000__3[[#This Row],[Quantity]]*Excel_Advanced_Sales_Dataset_2000__3[[#This Row],[Unit Price]]-Excel_Advanced_Sales_Dataset_2000__3[[#This Row],[Discount Amount]]</f>
        <v>187481.84273499998</v>
      </c>
    </row>
    <row r="288" spans="1:20" x14ac:dyDescent="0.25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>
        <v>26</v>
      </c>
      <c r="J288" s="4">
        <v>12928.67</v>
      </c>
      <c r="K288" s="6">
        <v>15.31</v>
      </c>
      <c r="L288" s="4">
        <v>284681.56</v>
      </c>
      <c r="M288" s="4" t="str" cm="1">
        <f t="array" ref="M288">IF(Excel_Advanced_Sales_Dataset_2000__3[[#This Row],[Total Sales]]&gt;50000,{"Yes"},{"No"})</f>
        <v>Yes</v>
      </c>
      <c r="N288" s="5">
        <v>46375</v>
      </c>
      <c r="O288" s="1" t="s">
        <v>113</v>
      </c>
      <c r="P288" t="s">
        <v>35</v>
      </c>
      <c r="Q288" t="str">
        <f>IF(Excel_Advanced_Sales_Dataset_2000__3[[#This Row],[Delivery Status]]="Pending","Follow Up","Ok")</f>
        <v>Ok</v>
      </c>
      <c r="R288" s="1" t="s">
        <v>36</v>
      </c>
      <c r="S288">
        <f>Excel_Advanced_Sales_Dataset_2000__3[[#This Row],[Quantity]]*Excel_Advanced_Sales_Dataset_2000__3[[#This Row],[Unit Price]]*Excel_Advanced_Sales_Dataset_2000__3[[#This Row],[Discount %]]/100</f>
        <v>51463.863801999993</v>
      </c>
      <c r="T288" s="4">
        <f>Excel_Advanced_Sales_Dataset_2000__3[[#This Row],[Quantity]]*Excel_Advanced_Sales_Dataset_2000__3[[#This Row],[Unit Price]]-Excel_Advanced_Sales_Dataset_2000__3[[#This Row],[Discount Amount]]</f>
        <v>284681.55619799998</v>
      </c>
    </row>
    <row r="289" spans="1:20" x14ac:dyDescent="0.25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>
        <v>20</v>
      </c>
      <c r="J289" s="4">
        <v>24718.959999999999</v>
      </c>
      <c r="K289" s="6">
        <v>10.84</v>
      </c>
      <c r="L289" s="4">
        <v>440788.49</v>
      </c>
      <c r="M289" s="4" t="str" cm="1">
        <f t="array" ref="M289">IF(Excel_Advanced_Sales_Dataset_2000__3[[#This Row],[Total Sales]]&gt;50000,{"Yes"},{"No"})</f>
        <v>Yes</v>
      </c>
      <c r="N289" s="5">
        <v>46088</v>
      </c>
      <c r="O289" s="1" t="s">
        <v>113</v>
      </c>
      <c r="P289" t="s">
        <v>35</v>
      </c>
      <c r="Q289" t="str">
        <f>IF(Excel_Advanced_Sales_Dataset_2000__3[[#This Row],[Delivery Status]]="Pending","Follow Up","Ok")</f>
        <v>Ok</v>
      </c>
      <c r="R289" s="1" t="s">
        <v>36</v>
      </c>
      <c r="S289">
        <f>Excel_Advanced_Sales_Dataset_2000__3[[#This Row],[Quantity]]*Excel_Advanced_Sales_Dataset_2000__3[[#This Row],[Unit Price]]*Excel_Advanced_Sales_Dataset_2000__3[[#This Row],[Discount %]]/100</f>
        <v>53590.705279999987</v>
      </c>
      <c r="T289" s="4">
        <f>Excel_Advanced_Sales_Dataset_2000__3[[#This Row],[Quantity]]*Excel_Advanced_Sales_Dataset_2000__3[[#This Row],[Unit Price]]-Excel_Advanced_Sales_Dataset_2000__3[[#This Row],[Discount Amount]]</f>
        <v>440788.49471999996</v>
      </c>
    </row>
    <row r="290" spans="1:20" x14ac:dyDescent="0.25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>
        <v>18</v>
      </c>
      <c r="J290" s="4">
        <v>10888.35</v>
      </c>
      <c r="K290" s="6">
        <v>19.329999999999998</v>
      </c>
      <c r="L290" s="4">
        <v>158105.38</v>
      </c>
      <c r="M290" s="4" t="str" cm="1">
        <f t="array" ref="M290">IF(Excel_Advanced_Sales_Dataset_2000__3[[#This Row],[Total Sales]]&gt;50000,{"Yes"},{"No"})</f>
        <v>Yes</v>
      </c>
      <c r="N290" s="5">
        <v>46331</v>
      </c>
      <c r="O290" s="1" t="s">
        <v>58</v>
      </c>
      <c r="P290" t="s">
        <v>25</v>
      </c>
      <c r="Q290" t="str">
        <f>IF(Excel_Advanced_Sales_Dataset_2000__3[[#This Row],[Delivery Status]]="Pending","Follow Up","Ok")</f>
        <v>Follow Up</v>
      </c>
      <c r="R290" s="1" t="s">
        <v>36</v>
      </c>
      <c r="S290">
        <f>Excel_Advanced_Sales_Dataset_2000__3[[#This Row],[Quantity]]*Excel_Advanced_Sales_Dataset_2000__3[[#This Row],[Unit Price]]*Excel_Advanced_Sales_Dataset_2000__3[[#This Row],[Discount %]]/100</f>
        <v>37884.92499</v>
      </c>
      <c r="T290" s="4">
        <f>Excel_Advanced_Sales_Dataset_2000__3[[#This Row],[Quantity]]*Excel_Advanced_Sales_Dataset_2000__3[[#This Row],[Unit Price]]-Excel_Advanced_Sales_Dataset_2000__3[[#This Row],[Discount Amount]]</f>
        <v>158105.37501000002</v>
      </c>
    </row>
    <row r="291" spans="1:20" x14ac:dyDescent="0.25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>
        <v>19</v>
      </c>
      <c r="J291" s="4">
        <v>48586.51</v>
      </c>
      <c r="K291" s="6">
        <v>0.28000000000000003</v>
      </c>
      <c r="L291" s="4">
        <v>920558.89</v>
      </c>
      <c r="M291" s="4" t="str" cm="1">
        <f t="array" ref="M291">IF(Excel_Advanced_Sales_Dataset_2000__3[[#This Row],[Total Sales]]&gt;50000,{"Yes"},{"No"})</f>
        <v>Yes</v>
      </c>
      <c r="N291" s="5">
        <v>46368</v>
      </c>
      <c r="O291" s="1" t="s">
        <v>58</v>
      </c>
      <c r="P291" t="s">
        <v>35</v>
      </c>
      <c r="Q291" t="str">
        <f>IF(Excel_Advanced_Sales_Dataset_2000__3[[#This Row],[Delivery Status]]="Pending","Follow Up","Ok")</f>
        <v>Ok</v>
      </c>
      <c r="R291" s="1" t="s">
        <v>36</v>
      </c>
      <c r="S291">
        <f>Excel_Advanced_Sales_Dataset_2000__3[[#This Row],[Quantity]]*Excel_Advanced_Sales_Dataset_2000__3[[#This Row],[Unit Price]]*Excel_Advanced_Sales_Dataset_2000__3[[#This Row],[Discount %]]/100</f>
        <v>2584.8023320000007</v>
      </c>
      <c r="T291" s="4">
        <f>Excel_Advanced_Sales_Dataset_2000__3[[#This Row],[Quantity]]*Excel_Advanced_Sales_Dataset_2000__3[[#This Row],[Unit Price]]-Excel_Advanced_Sales_Dataset_2000__3[[#This Row],[Discount Amount]]</f>
        <v>920558.88766800007</v>
      </c>
    </row>
    <row r="292" spans="1:20" x14ac:dyDescent="0.25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>
        <v>35</v>
      </c>
      <c r="J292" s="4">
        <v>7684.56</v>
      </c>
      <c r="K292" s="6">
        <v>16.739999999999998</v>
      </c>
      <c r="L292" s="4">
        <v>223935.76</v>
      </c>
      <c r="M292" s="4" t="str" cm="1">
        <f t="array" ref="M292">IF(Excel_Advanced_Sales_Dataset_2000__3[[#This Row],[Total Sales]]&gt;50000,{"Yes"},{"No"})</f>
        <v>Yes</v>
      </c>
      <c r="N292" s="5">
        <v>46226</v>
      </c>
      <c r="O292" s="1" t="s">
        <v>58</v>
      </c>
      <c r="P292" t="s">
        <v>35</v>
      </c>
      <c r="Q292" t="str">
        <f>IF(Excel_Advanced_Sales_Dataset_2000__3[[#This Row],[Delivery Status]]="Pending","Follow Up","Ok")</f>
        <v>Ok</v>
      </c>
      <c r="R292" s="1" t="s">
        <v>36</v>
      </c>
      <c r="S292">
        <f>Excel_Advanced_Sales_Dataset_2000__3[[#This Row],[Quantity]]*Excel_Advanced_Sales_Dataset_2000__3[[#This Row],[Unit Price]]*Excel_Advanced_Sales_Dataset_2000__3[[#This Row],[Discount %]]/100</f>
        <v>45023.837039999999</v>
      </c>
      <c r="T292" s="4">
        <f>Excel_Advanced_Sales_Dataset_2000__3[[#This Row],[Quantity]]*Excel_Advanced_Sales_Dataset_2000__3[[#This Row],[Unit Price]]-Excel_Advanced_Sales_Dataset_2000__3[[#This Row],[Discount Amount]]</f>
        <v>223935.76296000002</v>
      </c>
    </row>
    <row r="293" spans="1:20" x14ac:dyDescent="0.25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>
        <v>9</v>
      </c>
      <c r="J293" s="4">
        <v>41087.83</v>
      </c>
      <c r="K293" s="6">
        <v>9.52</v>
      </c>
      <c r="L293" s="4">
        <v>334586.42</v>
      </c>
      <c r="M293" s="4" t="str" cm="1">
        <f t="array" ref="M293">IF(Excel_Advanced_Sales_Dataset_2000__3[[#This Row],[Total Sales]]&gt;50000,{"Yes"},{"No"})</f>
        <v>Yes</v>
      </c>
      <c r="N293" s="5">
        <v>46049</v>
      </c>
      <c r="O293" s="1" t="s">
        <v>68</v>
      </c>
      <c r="P293" t="s">
        <v>59</v>
      </c>
      <c r="Q293" t="str">
        <f>IF(Excel_Advanced_Sales_Dataset_2000__3[[#This Row],[Delivery Status]]="Pending","Follow Up","Ok")</f>
        <v>Ok</v>
      </c>
      <c r="R293" s="1" t="s">
        <v>36</v>
      </c>
      <c r="S293">
        <f>Excel_Advanced_Sales_Dataset_2000__3[[#This Row],[Quantity]]*Excel_Advanced_Sales_Dataset_2000__3[[#This Row],[Unit Price]]*Excel_Advanced_Sales_Dataset_2000__3[[#This Row],[Discount %]]/100</f>
        <v>35204.052744000001</v>
      </c>
      <c r="T293" s="4">
        <f>Excel_Advanced_Sales_Dataset_2000__3[[#This Row],[Quantity]]*Excel_Advanced_Sales_Dataset_2000__3[[#This Row],[Unit Price]]-Excel_Advanced_Sales_Dataset_2000__3[[#This Row],[Discount Amount]]</f>
        <v>334586.41725600004</v>
      </c>
    </row>
    <row r="294" spans="1:20" x14ac:dyDescent="0.25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>
        <v>43</v>
      </c>
      <c r="J294" s="4">
        <v>21497.9</v>
      </c>
      <c r="K294" s="6">
        <v>5.31</v>
      </c>
      <c r="L294" s="4">
        <v>875323.54</v>
      </c>
      <c r="M294" s="4" t="str" cm="1">
        <f t="array" ref="M294">IF(Excel_Advanced_Sales_Dataset_2000__3[[#This Row],[Total Sales]]&gt;50000,{"Yes"},{"No"})</f>
        <v>Yes</v>
      </c>
      <c r="N294" s="5">
        <v>46121</v>
      </c>
      <c r="O294" s="1" t="s">
        <v>68</v>
      </c>
      <c r="P294" t="s">
        <v>25</v>
      </c>
      <c r="Q294" t="str">
        <f>IF(Excel_Advanced_Sales_Dataset_2000__3[[#This Row],[Delivery Status]]="Pending","Follow Up","Ok")</f>
        <v>Follow Up</v>
      </c>
      <c r="R294" s="1" t="s">
        <v>53</v>
      </c>
      <c r="S294">
        <f>Excel_Advanced_Sales_Dataset_2000__3[[#This Row],[Quantity]]*Excel_Advanced_Sales_Dataset_2000__3[[#This Row],[Unit Price]]*Excel_Advanced_Sales_Dataset_2000__3[[#This Row],[Discount %]]/100</f>
        <v>49086.155070000001</v>
      </c>
      <c r="T294" s="4">
        <f>Excel_Advanced_Sales_Dataset_2000__3[[#This Row],[Quantity]]*Excel_Advanced_Sales_Dataset_2000__3[[#This Row],[Unit Price]]-Excel_Advanced_Sales_Dataset_2000__3[[#This Row],[Discount Amount]]</f>
        <v>875323.54493000009</v>
      </c>
    </row>
    <row r="295" spans="1:20" x14ac:dyDescent="0.25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>
        <v>26</v>
      </c>
      <c r="J295" s="4">
        <v>47904.05</v>
      </c>
      <c r="K295" s="6">
        <v>5.21</v>
      </c>
      <c r="L295" s="4">
        <v>1180614.47</v>
      </c>
      <c r="M295" s="4" t="str" cm="1">
        <f t="array" ref="M295">IF(Excel_Advanced_Sales_Dataset_2000__3[[#This Row],[Total Sales]]&gt;50000,{"Yes"},{"No"})</f>
        <v>Yes</v>
      </c>
      <c r="N295" s="5">
        <v>46164</v>
      </c>
      <c r="O295" s="1" t="s">
        <v>24</v>
      </c>
      <c r="P295" t="s">
        <v>35</v>
      </c>
      <c r="Q295" t="str">
        <f>IF(Excel_Advanced_Sales_Dataset_2000__3[[#This Row],[Delivery Status]]="Pending","Follow Up","Ok")</f>
        <v>Ok</v>
      </c>
      <c r="R295" s="1" t="s">
        <v>36</v>
      </c>
      <c r="S295">
        <f>Excel_Advanced_Sales_Dataset_2000__3[[#This Row],[Quantity]]*Excel_Advanced_Sales_Dataset_2000__3[[#This Row],[Unit Price]]*Excel_Advanced_Sales_Dataset_2000__3[[#This Row],[Discount %]]/100</f>
        <v>64890.826130000001</v>
      </c>
      <c r="T295" s="4">
        <f>Excel_Advanced_Sales_Dataset_2000__3[[#This Row],[Quantity]]*Excel_Advanced_Sales_Dataset_2000__3[[#This Row],[Unit Price]]-Excel_Advanced_Sales_Dataset_2000__3[[#This Row],[Discount Amount]]</f>
        <v>1180614.4738700001</v>
      </c>
    </row>
    <row r="296" spans="1:20" x14ac:dyDescent="0.25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>
        <v>25</v>
      </c>
      <c r="J296" s="4">
        <v>27282.7</v>
      </c>
      <c r="K296" s="6">
        <v>18.829999999999998</v>
      </c>
      <c r="L296" s="4">
        <v>553634.18999999994</v>
      </c>
      <c r="M296" s="4" t="str" cm="1">
        <f t="array" ref="M296">IF(Excel_Advanced_Sales_Dataset_2000__3[[#This Row],[Total Sales]]&gt;50000,{"Yes"},{"No"})</f>
        <v>Yes</v>
      </c>
      <c r="N296" s="5">
        <v>46146</v>
      </c>
      <c r="O296" s="1" t="s">
        <v>45</v>
      </c>
      <c r="P296" t="s">
        <v>35</v>
      </c>
      <c r="Q296" t="str">
        <f>IF(Excel_Advanced_Sales_Dataset_2000__3[[#This Row],[Delivery Status]]="Pending","Follow Up","Ok")</f>
        <v>Ok</v>
      </c>
      <c r="R296" s="1" t="s">
        <v>26</v>
      </c>
      <c r="S296">
        <f>Excel_Advanced_Sales_Dataset_2000__3[[#This Row],[Quantity]]*Excel_Advanced_Sales_Dataset_2000__3[[#This Row],[Unit Price]]*Excel_Advanced_Sales_Dataset_2000__3[[#This Row],[Discount %]]/100</f>
        <v>128433.31024999998</v>
      </c>
      <c r="T296" s="4">
        <f>Excel_Advanced_Sales_Dataset_2000__3[[#This Row],[Quantity]]*Excel_Advanced_Sales_Dataset_2000__3[[#This Row],[Unit Price]]-Excel_Advanced_Sales_Dataset_2000__3[[#This Row],[Discount Amount]]</f>
        <v>553634.18975000002</v>
      </c>
    </row>
    <row r="297" spans="1:20" x14ac:dyDescent="0.25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>
        <v>32</v>
      </c>
      <c r="J297" s="4">
        <v>35266.9</v>
      </c>
      <c r="K297" s="6">
        <v>7.58</v>
      </c>
      <c r="L297" s="4">
        <v>1042997.41</v>
      </c>
      <c r="M297" s="4" t="str" cm="1">
        <f t="array" ref="M297">IF(Excel_Advanced_Sales_Dataset_2000__3[[#This Row],[Total Sales]]&gt;50000,{"Yes"},{"No"})</f>
        <v>Yes</v>
      </c>
      <c r="N297" s="5">
        <v>46039</v>
      </c>
      <c r="O297" s="1" t="s">
        <v>58</v>
      </c>
      <c r="P297" t="s">
        <v>35</v>
      </c>
      <c r="Q297" t="str">
        <f>IF(Excel_Advanced_Sales_Dataset_2000__3[[#This Row],[Delivery Status]]="Pending","Follow Up","Ok")</f>
        <v>Ok</v>
      </c>
      <c r="R297" s="1" t="s">
        <v>36</v>
      </c>
      <c r="S297">
        <f>Excel_Advanced_Sales_Dataset_2000__3[[#This Row],[Quantity]]*Excel_Advanced_Sales_Dataset_2000__3[[#This Row],[Unit Price]]*Excel_Advanced_Sales_Dataset_2000__3[[#This Row],[Discount %]]/100</f>
        <v>85543.392640000005</v>
      </c>
      <c r="T297" s="4">
        <f>Excel_Advanced_Sales_Dataset_2000__3[[#This Row],[Quantity]]*Excel_Advanced_Sales_Dataset_2000__3[[#This Row],[Unit Price]]-Excel_Advanced_Sales_Dataset_2000__3[[#This Row],[Discount Amount]]</f>
        <v>1042997.4073600001</v>
      </c>
    </row>
    <row r="298" spans="1:20" x14ac:dyDescent="0.25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>
        <v>11</v>
      </c>
      <c r="J298" s="4">
        <v>48686.92</v>
      </c>
      <c r="K298" s="6">
        <v>7.25</v>
      </c>
      <c r="L298" s="4">
        <v>496728.3</v>
      </c>
      <c r="M298" s="4" t="str" cm="1">
        <f t="array" ref="M298">IF(Excel_Advanced_Sales_Dataset_2000__3[[#This Row],[Total Sales]]&gt;50000,{"Yes"},{"No"})</f>
        <v>Yes</v>
      </c>
      <c r="N298" s="5">
        <v>46086</v>
      </c>
      <c r="O298" s="1" t="s">
        <v>58</v>
      </c>
      <c r="P298" t="s">
        <v>35</v>
      </c>
      <c r="Q298" t="str">
        <f>IF(Excel_Advanced_Sales_Dataset_2000__3[[#This Row],[Delivery Status]]="Pending","Follow Up","Ok")</f>
        <v>Ok</v>
      </c>
      <c r="R298" s="1" t="s">
        <v>53</v>
      </c>
      <c r="S298">
        <f>Excel_Advanced_Sales_Dataset_2000__3[[#This Row],[Quantity]]*Excel_Advanced_Sales_Dataset_2000__3[[#This Row],[Unit Price]]*Excel_Advanced_Sales_Dataset_2000__3[[#This Row],[Discount %]]/100</f>
        <v>38827.818700000003</v>
      </c>
      <c r="T298" s="4">
        <f>Excel_Advanced_Sales_Dataset_2000__3[[#This Row],[Quantity]]*Excel_Advanced_Sales_Dataset_2000__3[[#This Row],[Unit Price]]-Excel_Advanced_Sales_Dataset_2000__3[[#This Row],[Discount Amount]]</f>
        <v>496728.30129999999</v>
      </c>
    </row>
    <row r="299" spans="1:20" x14ac:dyDescent="0.25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>
        <v>42</v>
      </c>
      <c r="J299" s="4">
        <v>13740.75</v>
      </c>
      <c r="K299" s="6">
        <v>3.96</v>
      </c>
      <c r="L299" s="4">
        <v>554257.88</v>
      </c>
      <c r="M299" s="4" t="str" cm="1">
        <f t="array" ref="M299">IF(Excel_Advanced_Sales_Dataset_2000__3[[#This Row],[Total Sales]]&gt;50000,{"Yes"},{"No"})</f>
        <v>Yes</v>
      </c>
      <c r="N299" s="5">
        <v>46145</v>
      </c>
      <c r="O299" s="1" t="s">
        <v>58</v>
      </c>
      <c r="P299" t="s">
        <v>35</v>
      </c>
      <c r="Q299" t="str">
        <f>IF(Excel_Advanced_Sales_Dataset_2000__3[[#This Row],[Delivery Status]]="Pending","Follow Up","Ok")</f>
        <v>Ok</v>
      </c>
      <c r="R299" s="1" t="s">
        <v>36</v>
      </c>
      <c r="S299">
        <f>Excel_Advanced_Sales_Dataset_2000__3[[#This Row],[Quantity]]*Excel_Advanced_Sales_Dataset_2000__3[[#This Row],[Unit Price]]*Excel_Advanced_Sales_Dataset_2000__3[[#This Row],[Discount %]]/100</f>
        <v>22853.615399999999</v>
      </c>
      <c r="T299" s="4">
        <f>Excel_Advanced_Sales_Dataset_2000__3[[#This Row],[Quantity]]*Excel_Advanced_Sales_Dataset_2000__3[[#This Row],[Unit Price]]-Excel_Advanced_Sales_Dataset_2000__3[[#This Row],[Discount Amount]]</f>
        <v>554257.88459999999</v>
      </c>
    </row>
    <row r="300" spans="1:20" x14ac:dyDescent="0.25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>
        <v>37</v>
      </c>
      <c r="J300" s="4">
        <v>34487.06</v>
      </c>
      <c r="K300" s="6">
        <v>17.11</v>
      </c>
      <c r="L300" s="4">
        <v>1057693.99</v>
      </c>
      <c r="M300" s="4" t="str" cm="1">
        <f t="array" ref="M300">IF(Excel_Advanced_Sales_Dataset_2000__3[[#This Row],[Total Sales]]&gt;50000,{"Yes"},{"No"})</f>
        <v>Yes</v>
      </c>
      <c r="N300" s="5">
        <v>46348</v>
      </c>
      <c r="O300" s="1" t="s">
        <v>45</v>
      </c>
      <c r="P300" t="s">
        <v>35</v>
      </c>
      <c r="Q300" t="str">
        <f>IF(Excel_Advanced_Sales_Dataset_2000__3[[#This Row],[Delivery Status]]="Pending","Follow Up","Ok")</f>
        <v>Ok</v>
      </c>
      <c r="R300" s="1" t="s">
        <v>53</v>
      </c>
      <c r="S300">
        <f>Excel_Advanced_Sales_Dataset_2000__3[[#This Row],[Quantity]]*Excel_Advanced_Sales_Dataset_2000__3[[#This Row],[Unit Price]]*Excel_Advanced_Sales_Dataset_2000__3[[#This Row],[Discount %]]/100</f>
        <v>218327.23074200001</v>
      </c>
      <c r="T300" s="4">
        <f>Excel_Advanced_Sales_Dataset_2000__3[[#This Row],[Quantity]]*Excel_Advanced_Sales_Dataset_2000__3[[#This Row],[Unit Price]]-Excel_Advanced_Sales_Dataset_2000__3[[#This Row],[Discount Amount]]</f>
        <v>1057693.9892579999</v>
      </c>
    </row>
    <row r="301" spans="1:20" x14ac:dyDescent="0.25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>
        <v>39</v>
      </c>
      <c r="J301" s="4">
        <v>42809.279999999999</v>
      </c>
      <c r="K301" s="6">
        <v>10.87</v>
      </c>
      <c r="L301" s="4">
        <v>1488080.54</v>
      </c>
      <c r="M301" s="4" t="str" cm="1">
        <f t="array" ref="M301">IF(Excel_Advanced_Sales_Dataset_2000__3[[#This Row],[Total Sales]]&gt;50000,{"Yes"},{"No"})</f>
        <v>Yes</v>
      </c>
      <c r="N301" s="5">
        <v>46173</v>
      </c>
      <c r="O301" s="1" t="s">
        <v>24</v>
      </c>
      <c r="P301" t="s">
        <v>35</v>
      </c>
      <c r="Q301" t="str">
        <f>IF(Excel_Advanced_Sales_Dataset_2000__3[[#This Row],[Delivery Status]]="Pending","Follow Up","Ok")</f>
        <v>Ok</v>
      </c>
      <c r="R301" s="1" t="s">
        <v>26</v>
      </c>
      <c r="S301">
        <f>Excel_Advanced_Sales_Dataset_2000__3[[#This Row],[Quantity]]*Excel_Advanced_Sales_Dataset_2000__3[[#This Row],[Unit Price]]*Excel_Advanced_Sales_Dataset_2000__3[[#This Row],[Discount %]]/100</f>
        <v>181481.38070400001</v>
      </c>
      <c r="T301" s="4">
        <f>Excel_Advanced_Sales_Dataset_2000__3[[#This Row],[Quantity]]*Excel_Advanced_Sales_Dataset_2000__3[[#This Row],[Unit Price]]-Excel_Advanced_Sales_Dataset_2000__3[[#This Row],[Discount Amount]]</f>
        <v>1488080.5392959998</v>
      </c>
    </row>
    <row r="302" spans="1:20" x14ac:dyDescent="0.25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>
        <v>19</v>
      </c>
      <c r="J302" s="4">
        <v>24310.91</v>
      </c>
      <c r="K302" s="6">
        <v>17.5</v>
      </c>
      <c r="L302" s="4">
        <v>381073.51</v>
      </c>
      <c r="M302" s="4" t="str" cm="1">
        <f t="array" ref="M302">IF(Excel_Advanced_Sales_Dataset_2000__3[[#This Row],[Total Sales]]&gt;50000,{"Yes"},{"No"})</f>
        <v>Yes</v>
      </c>
      <c r="N302" s="5">
        <v>46333</v>
      </c>
      <c r="O302" s="1" t="s">
        <v>58</v>
      </c>
      <c r="P302" t="s">
        <v>35</v>
      </c>
      <c r="Q302" t="str">
        <f>IF(Excel_Advanced_Sales_Dataset_2000__3[[#This Row],[Delivery Status]]="Pending","Follow Up","Ok")</f>
        <v>Ok</v>
      </c>
      <c r="R302" s="1" t="s">
        <v>36</v>
      </c>
      <c r="S302">
        <f>Excel_Advanced_Sales_Dataset_2000__3[[#This Row],[Quantity]]*Excel_Advanced_Sales_Dataset_2000__3[[#This Row],[Unit Price]]*Excel_Advanced_Sales_Dataset_2000__3[[#This Row],[Discount %]]/100</f>
        <v>80833.775749999986</v>
      </c>
      <c r="T302" s="4">
        <f>Excel_Advanced_Sales_Dataset_2000__3[[#This Row],[Quantity]]*Excel_Advanced_Sales_Dataset_2000__3[[#This Row],[Unit Price]]-Excel_Advanced_Sales_Dataset_2000__3[[#This Row],[Discount Amount]]</f>
        <v>381073.51425000001</v>
      </c>
    </row>
    <row r="303" spans="1:20" x14ac:dyDescent="0.25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>
        <v>50</v>
      </c>
      <c r="J303" s="4">
        <v>797.29</v>
      </c>
      <c r="K303" s="6">
        <v>7.13</v>
      </c>
      <c r="L303" s="4">
        <v>37022.160000000003</v>
      </c>
      <c r="M303" s="4" t="str" cm="1">
        <f t="array" ref="M303">IF(Excel_Advanced_Sales_Dataset_2000__3[[#This Row],[Total Sales]]&gt;50000,{"Yes"},{"No"})</f>
        <v>No</v>
      </c>
      <c r="N303" s="5">
        <v>46170</v>
      </c>
      <c r="O303" s="1" t="s">
        <v>45</v>
      </c>
      <c r="P303" t="s">
        <v>35</v>
      </c>
      <c r="Q303" t="str">
        <f>IF(Excel_Advanced_Sales_Dataset_2000__3[[#This Row],[Delivery Status]]="Pending","Follow Up","Ok")</f>
        <v>Ok</v>
      </c>
      <c r="R303" s="1" t="s">
        <v>36</v>
      </c>
      <c r="S303">
        <f>Excel_Advanced_Sales_Dataset_2000__3[[#This Row],[Quantity]]*Excel_Advanced_Sales_Dataset_2000__3[[#This Row],[Unit Price]]*Excel_Advanced_Sales_Dataset_2000__3[[#This Row],[Discount %]]/100</f>
        <v>2842.3388500000001</v>
      </c>
      <c r="T303" s="4">
        <f>Excel_Advanced_Sales_Dataset_2000__3[[#This Row],[Quantity]]*Excel_Advanced_Sales_Dataset_2000__3[[#This Row],[Unit Price]]-Excel_Advanced_Sales_Dataset_2000__3[[#This Row],[Discount Amount]]</f>
        <v>37022.16115</v>
      </c>
    </row>
    <row r="304" spans="1:20" x14ac:dyDescent="0.25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>
        <v>32</v>
      </c>
      <c r="J304" s="4">
        <v>22029.74</v>
      </c>
      <c r="K304" s="6">
        <v>4.43</v>
      </c>
      <c r="L304" s="4">
        <v>673722.32</v>
      </c>
      <c r="M304" s="4" t="str" cm="1">
        <f t="array" ref="M304">IF(Excel_Advanced_Sales_Dataset_2000__3[[#This Row],[Total Sales]]&gt;50000,{"Yes"},{"No"})</f>
        <v>Yes</v>
      </c>
      <c r="N304" s="5">
        <v>46154</v>
      </c>
      <c r="O304" s="1" t="s">
        <v>113</v>
      </c>
      <c r="P304" t="s">
        <v>35</v>
      </c>
      <c r="Q304" t="str">
        <f>IF(Excel_Advanced_Sales_Dataset_2000__3[[#This Row],[Delivery Status]]="Pending","Follow Up","Ok")</f>
        <v>Ok</v>
      </c>
      <c r="R304" s="1" t="s">
        <v>36</v>
      </c>
      <c r="S304">
        <f>Excel_Advanced_Sales_Dataset_2000__3[[#This Row],[Quantity]]*Excel_Advanced_Sales_Dataset_2000__3[[#This Row],[Unit Price]]*Excel_Advanced_Sales_Dataset_2000__3[[#This Row],[Discount %]]/100</f>
        <v>31229.359424000002</v>
      </c>
      <c r="T304" s="4">
        <f>Excel_Advanced_Sales_Dataset_2000__3[[#This Row],[Quantity]]*Excel_Advanced_Sales_Dataset_2000__3[[#This Row],[Unit Price]]-Excel_Advanced_Sales_Dataset_2000__3[[#This Row],[Discount Amount]]</f>
        <v>673722.32057600003</v>
      </c>
    </row>
    <row r="305" spans="1:20" x14ac:dyDescent="0.25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>
        <v>38</v>
      </c>
      <c r="J305" s="4">
        <v>4442.12</v>
      </c>
      <c r="K305" s="6">
        <v>0.08</v>
      </c>
      <c r="L305" s="4">
        <v>168665.52</v>
      </c>
      <c r="M305" s="4" t="str" cm="1">
        <f t="array" ref="M305">IF(Excel_Advanced_Sales_Dataset_2000__3[[#This Row],[Total Sales]]&gt;50000,{"Yes"},{"No"})</f>
        <v>Yes</v>
      </c>
      <c r="N305" s="5">
        <v>46049</v>
      </c>
      <c r="O305" s="1" t="s">
        <v>24</v>
      </c>
      <c r="P305" t="s">
        <v>35</v>
      </c>
      <c r="Q305" t="str">
        <f>IF(Excel_Advanced_Sales_Dataset_2000__3[[#This Row],[Delivery Status]]="Pending","Follow Up","Ok")</f>
        <v>Ok</v>
      </c>
      <c r="R305" s="1" t="s">
        <v>53</v>
      </c>
      <c r="S305">
        <f>Excel_Advanced_Sales_Dataset_2000__3[[#This Row],[Quantity]]*Excel_Advanced_Sales_Dataset_2000__3[[#This Row],[Unit Price]]*Excel_Advanced_Sales_Dataset_2000__3[[#This Row],[Discount %]]/100</f>
        <v>135.040448</v>
      </c>
      <c r="T305" s="4">
        <f>Excel_Advanced_Sales_Dataset_2000__3[[#This Row],[Quantity]]*Excel_Advanced_Sales_Dataset_2000__3[[#This Row],[Unit Price]]-Excel_Advanced_Sales_Dataset_2000__3[[#This Row],[Discount Amount]]</f>
        <v>168665.51955199998</v>
      </c>
    </row>
    <row r="306" spans="1:20" x14ac:dyDescent="0.25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>
        <v>13</v>
      </c>
      <c r="J306" s="4">
        <v>24140.02</v>
      </c>
      <c r="K306" s="6">
        <v>19.920000000000002</v>
      </c>
      <c r="L306" s="4">
        <v>251307.26</v>
      </c>
      <c r="M306" s="4" t="str" cm="1">
        <f t="array" ref="M306">IF(Excel_Advanced_Sales_Dataset_2000__3[[#This Row],[Total Sales]]&gt;50000,{"Yes"},{"No"})</f>
        <v>Yes</v>
      </c>
      <c r="N306" s="5">
        <v>46127</v>
      </c>
      <c r="O306" s="1" t="s">
        <v>24</v>
      </c>
      <c r="P306" t="s">
        <v>59</v>
      </c>
      <c r="Q306" t="str">
        <f>IF(Excel_Advanced_Sales_Dataset_2000__3[[#This Row],[Delivery Status]]="Pending","Follow Up","Ok")</f>
        <v>Ok</v>
      </c>
      <c r="R306" s="1" t="s">
        <v>53</v>
      </c>
      <c r="S306">
        <f>Excel_Advanced_Sales_Dataset_2000__3[[#This Row],[Quantity]]*Excel_Advanced_Sales_Dataset_2000__3[[#This Row],[Unit Price]]*Excel_Advanced_Sales_Dataset_2000__3[[#This Row],[Discount %]]/100</f>
        <v>62512.995792000002</v>
      </c>
      <c r="T306" s="4">
        <f>Excel_Advanced_Sales_Dataset_2000__3[[#This Row],[Quantity]]*Excel_Advanced_Sales_Dataset_2000__3[[#This Row],[Unit Price]]-Excel_Advanced_Sales_Dataset_2000__3[[#This Row],[Discount Amount]]</f>
        <v>251307.26420800001</v>
      </c>
    </row>
    <row r="307" spans="1:20" x14ac:dyDescent="0.25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>
        <v>34</v>
      </c>
      <c r="J307" s="4">
        <v>9774.17</v>
      </c>
      <c r="K307" s="6">
        <v>4.5</v>
      </c>
      <c r="L307" s="4">
        <v>317367.3</v>
      </c>
      <c r="M307" s="4" t="str" cm="1">
        <f t="array" ref="M307">IF(Excel_Advanced_Sales_Dataset_2000__3[[#This Row],[Total Sales]]&gt;50000,{"Yes"},{"No"})</f>
        <v>Yes</v>
      </c>
      <c r="N307" s="5">
        <v>46364</v>
      </c>
      <c r="O307" s="1" t="s">
        <v>58</v>
      </c>
      <c r="P307" t="s">
        <v>35</v>
      </c>
      <c r="Q307" t="str">
        <f>IF(Excel_Advanced_Sales_Dataset_2000__3[[#This Row],[Delivery Status]]="Pending","Follow Up","Ok")</f>
        <v>Ok</v>
      </c>
      <c r="R307" s="1" t="s">
        <v>36</v>
      </c>
      <c r="S307">
        <f>Excel_Advanced_Sales_Dataset_2000__3[[#This Row],[Quantity]]*Excel_Advanced_Sales_Dataset_2000__3[[#This Row],[Unit Price]]*Excel_Advanced_Sales_Dataset_2000__3[[#This Row],[Discount %]]/100</f>
        <v>14954.480100000002</v>
      </c>
      <c r="T307" s="4">
        <f>Excel_Advanced_Sales_Dataset_2000__3[[#This Row],[Quantity]]*Excel_Advanced_Sales_Dataset_2000__3[[#This Row],[Unit Price]]-Excel_Advanced_Sales_Dataset_2000__3[[#This Row],[Discount Amount]]</f>
        <v>317367.29990000004</v>
      </c>
    </row>
    <row r="308" spans="1:20" x14ac:dyDescent="0.25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>
        <v>21</v>
      </c>
      <c r="J308" s="4">
        <v>15848.47</v>
      </c>
      <c r="K308" s="6">
        <v>14.34</v>
      </c>
      <c r="L308" s="4">
        <v>285091.78999999998</v>
      </c>
      <c r="M308" s="4" t="str" cm="1">
        <f t="array" ref="M308">IF(Excel_Advanced_Sales_Dataset_2000__3[[#This Row],[Total Sales]]&gt;50000,{"Yes"},{"No"})</f>
        <v>Yes</v>
      </c>
      <c r="N308" s="5">
        <v>46127</v>
      </c>
      <c r="O308" s="1" t="s">
        <v>24</v>
      </c>
      <c r="P308" t="s">
        <v>59</v>
      </c>
      <c r="Q308" t="str">
        <f>IF(Excel_Advanced_Sales_Dataset_2000__3[[#This Row],[Delivery Status]]="Pending","Follow Up","Ok")</f>
        <v>Ok</v>
      </c>
      <c r="R308" s="1" t="s">
        <v>36</v>
      </c>
      <c r="S308">
        <f>Excel_Advanced_Sales_Dataset_2000__3[[#This Row],[Quantity]]*Excel_Advanced_Sales_Dataset_2000__3[[#This Row],[Unit Price]]*Excel_Advanced_Sales_Dataset_2000__3[[#This Row],[Discount %]]/100</f>
        <v>47726.082557999995</v>
      </c>
      <c r="T308" s="4">
        <f>Excel_Advanced_Sales_Dataset_2000__3[[#This Row],[Quantity]]*Excel_Advanced_Sales_Dataset_2000__3[[#This Row],[Unit Price]]-Excel_Advanced_Sales_Dataset_2000__3[[#This Row],[Discount Amount]]</f>
        <v>285091.787442</v>
      </c>
    </row>
    <row r="309" spans="1:20" x14ac:dyDescent="0.25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>
        <v>3</v>
      </c>
      <c r="J309" s="4">
        <v>5869.66</v>
      </c>
      <c r="K309" s="6">
        <v>14.07</v>
      </c>
      <c r="L309" s="4">
        <v>15131.4</v>
      </c>
      <c r="M309" s="4" t="str" cm="1">
        <f t="array" ref="M309">IF(Excel_Advanced_Sales_Dataset_2000__3[[#This Row],[Total Sales]]&gt;50000,{"Yes"},{"No"})</f>
        <v>No</v>
      </c>
      <c r="N309" s="5">
        <v>46202</v>
      </c>
      <c r="O309" s="1" t="s">
        <v>45</v>
      </c>
      <c r="P309" t="s">
        <v>35</v>
      </c>
      <c r="Q309" t="str">
        <f>IF(Excel_Advanced_Sales_Dataset_2000__3[[#This Row],[Delivery Status]]="Pending","Follow Up","Ok")</f>
        <v>Ok</v>
      </c>
      <c r="R309" s="1" t="s">
        <v>53</v>
      </c>
      <c r="S309">
        <f>Excel_Advanced_Sales_Dataset_2000__3[[#This Row],[Quantity]]*Excel_Advanced_Sales_Dataset_2000__3[[#This Row],[Unit Price]]*Excel_Advanced_Sales_Dataset_2000__3[[#This Row],[Discount %]]/100</f>
        <v>2477.583486</v>
      </c>
      <c r="T309" s="4">
        <f>Excel_Advanced_Sales_Dataset_2000__3[[#This Row],[Quantity]]*Excel_Advanced_Sales_Dataset_2000__3[[#This Row],[Unit Price]]-Excel_Advanced_Sales_Dataset_2000__3[[#This Row],[Discount Amount]]</f>
        <v>15131.396514</v>
      </c>
    </row>
    <row r="310" spans="1:20" x14ac:dyDescent="0.25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>
        <v>6</v>
      </c>
      <c r="J310" s="4">
        <v>28405.119999999999</v>
      </c>
      <c r="K310" s="6">
        <v>15.19</v>
      </c>
      <c r="L310" s="4">
        <v>144542.29</v>
      </c>
      <c r="M310" s="4" t="str" cm="1">
        <f t="array" ref="M310">IF(Excel_Advanced_Sales_Dataset_2000__3[[#This Row],[Total Sales]]&gt;50000,{"Yes"},{"No"})</f>
        <v>Yes</v>
      </c>
      <c r="N310" s="5">
        <v>46291</v>
      </c>
      <c r="O310" s="1" t="s">
        <v>68</v>
      </c>
      <c r="P310" t="s">
        <v>25</v>
      </c>
      <c r="Q310" t="str">
        <f>IF(Excel_Advanced_Sales_Dataset_2000__3[[#This Row],[Delivery Status]]="Pending","Follow Up","Ok")</f>
        <v>Follow Up</v>
      </c>
      <c r="R310" s="1" t="s">
        <v>53</v>
      </c>
      <c r="S310">
        <f>Excel_Advanced_Sales_Dataset_2000__3[[#This Row],[Quantity]]*Excel_Advanced_Sales_Dataset_2000__3[[#This Row],[Unit Price]]*Excel_Advanced_Sales_Dataset_2000__3[[#This Row],[Discount %]]/100</f>
        <v>25888.426368</v>
      </c>
      <c r="T310" s="4">
        <f>Excel_Advanced_Sales_Dataset_2000__3[[#This Row],[Quantity]]*Excel_Advanced_Sales_Dataset_2000__3[[#This Row],[Unit Price]]-Excel_Advanced_Sales_Dataset_2000__3[[#This Row],[Discount Amount]]</f>
        <v>144542.29363199999</v>
      </c>
    </row>
    <row r="311" spans="1:20" x14ac:dyDescent="0.25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>
        <v>3</v>
      </c>
      <c r="J311" s="4">
        <v>31766.86</v>
      </c>
      <c r="K311" s="6">
        <v>0.15</v>
      </c>
      <c r="L311" s="4">
        <v>95157.63</v>
      </c>
      <c r="M311" s="4" t="str" cm="1">
        <f t="array" ref="M311">IF(Excel_Advanced_Sales_Dataset_2000__3[[#This Row],[Total Sales]]&gt;50000,{"Yes"},{"No"})</f>
        <v>Yes</v>
      </c>
      <c r="N311" s="5">
        <v>46132</v>
      </c>
      <c r="O311" s="1" t="s">
        <v>68</v>
      </c>
      <c r="P311" t="s">
        <v>35</v>
      </c>
      <c r="Q311" t="str">
        <f>IF(Excel_Advanced_Sales_Dataset_2000__3[[#This Row],[Delivery Status]]="Pending","Follow Up","Ok")</f>
        <v>Ok</v>
      </c>
      <c r="R311" s="1" t="s">
        <v>36</v>
      </c>
      <c r="S311">
        <f>Excel_Advanced_Sales_Dataset_2000__3[[#This Row],[Quantity]]*Excel_Advanced_Sales_Dataset_2000__3[[#This Row],[Unit Price]]*Excel_Advanced_Sales_Dataset_2000__3[[#This Row],[Discount %]]/100</f>
        <v>142.95087000000001</v>
      </c>
      <c r="T311" s="4">
        <f>Excel_Advanced_Sales_Dataset_2000__3[[#This Row],[Quantity]]*Excel_Advanced_Sales_Dataset_2000__3[[#This Row],[Unit Price]]-Excel_Advanced_Sales_Dataset_2000__3[[#This Row],[Discount Amount]]</f>
        <v>95157.629130000001</v>
      </c>
    </row>
    <row r="312" spans="1:20" x14ac:dyDescent="0.25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>
        <v>38</v>
      </c>
      <c r="J312" s="4">
        <v>47620.31</v>
      </c>
      <c r="K312" s="6">
        <v>13.96</v>
      </c>
      <c r="L312" s="4">
        <v>1556955.56</v>
      </c>
      <c r="M312" s="4" t="str" cm="1">
        <f t="array" ref="M312">IF(Excel_Advanced_Sales_Dataset_2000__3[[#This Row],[Total Sales]]&gt;50000,{"Yes"},{"No"})</f>
        <v>Yes</v>
      </c>
      <c r="N312" s="5">
        <v>46292</v>
      </c>
      <c r="O312" s="1" t="s">
        <v>68</v>
      </c>
      <c r="P312" t="s">
        <v>35</v>
      </c>
      <c r="Q312" t="str">
        <f>IF(Excel_Advanced_Sales_Dataset_2000__3[[#This Row],[Delivery Status]]="Pending","Follow Up","Ok")</f>
        <v>Ok</v>
      </c>
      <c r="R312" s="1" t="s">
        <v>53</v>
      </c>
      <c r="S312">
        <f>Excel_Advanced_Sales_Dataset_2000__3[[#This Row],[Quantity]]*Excel_Advanced_Sales_Dataset_2000__3[[#This Row],[Unit Price]]*Excel_Advanced_Sales_Dataset_2000__3[[#This Row],[Discount %]]/100</f>
        <v>252616.22048799999</v>
      </c>
      <c r="T312" s="4">
        <f>Excel_Advanced_Sales_Dataset_2000__3[[#This Row],[Quantity]]*Excel_Advanced_Sales_Dataset_2000__3[[#This Row],[Unit Price]]-Excel_Advanced_Sales_Dataset_2000__3[[#This Row],[Discount Amount]]</f>
        <v>1556955.5595119998</v>
      </c>
    </row>
    <row r="313" spans="1:20" x14ac:dyDescent="0.25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>
        <v>4</v>
      </c>
      <c r="J313" s="4">
        <v>29680.66</v>
      </c>
      <c r="K313" s="6">
        <v>8.8000000000000007</v>
      </c>
      <c r="L313" s="4">
        <v>108275.05</v>
      </c>
      <c r="M313" s="4" t="str" cm="1">
        <f t="array" ref="M313">IF(Excel_Advanced_Sales_Dataset_2000__3[[#This Row],[Total Sales]]&gt;50000,{"Yes"},{"No"})</f>
        <v>Yes</v>
      </c>
      <c r="N313" s="5">
        <v>46069</v>
      </c>
      <c r="O313" s="1" t="s">
        <v>45</v>
      </c>
      <c r="P313" t="s">
        <v>25</v>
      </c>
      <c r="Q313" t="str">
        <f>IF(Excel_Advanced_Sales_Dataset_2000__3[[#This Row],[Delivery Status]]="Pending","Follow Up","Ok")</f>
        <v>Follow Up</v>
      </c>
      <c r="R313" s="1" t="s">
        <v>26</v>
      </c>
      <c r="S313">
        <f>Excel_Advanced_Sales_Dataset_2000__3[[#This Row],[Quantity]]*Excel_Advanced_Sales_Dataset_2000__3[[#This Row],[Unit Price]]*Excel_Advanced_Sales_Dataset_2000__3[[#This Row],[Discount %]]/100</f>
        <v>10447.592320000002</v>
      </c>
      <c r="T313" s="4">
        <f>Excel_Advanced_Sales_Dataset_2000__3[[#This Row],[Quantity]]*Excel_Advanced_Sales_Dataset_2000__3[[#This Row],[Unit Price]]-Excel_Advanced_Sales_Dataset_2000__3[[#This Row],[Discount Amount]]</f>
        <v>108275.04768</v>
      </c>
    </row>
    <row r="314" spans="1:20" x14ac:dyDescent="0.25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>
        <v>34</v>
      </c>
      <c r="J314" s="4">
        <v>4992.13</v>
      </c>
      <c r="K314" s="6">
        <v>2.64</v>
      </c>
      <c r="L314" s="4">
        <v>165251.48000000001</v>
      </c>
      <c r="M314" s="4" t="str" cm="1">
        <f t="array" ref="M314">IF(Excel_Advanced_Sales_Dataset_2000__3[[#This Row],[Total Sales]]&gt;50000,{"Yes"},{"No"})</f>
        <v>Yes</v>
      </c>
      <c r="N314" s="5">
        <v>46335</v>
      </c>
      <c r="O314" s="1" t="s">
        <v>45</v>
      </c>
      <c r="P314" t="s">
        <v>25</v>
      </c>
      <c r="Q314" t="str">
        <f>IF(Excel_Advanced_Sales_Dataset_2000__3[[#This Row],[Delivery Status]]="Pending","Follow Up","Ok")</f>
        <v>Follow Up</v>
      </c>
      <c r="R314" s="1" t="s">
        <v>53</v>
      </c>
      <c r="S314">
        <f>Excel_Advanced_Sales_Dataset_2000__3[[#This Row],[Quantity]]*Excel_Advanced_Sales_Dataset_2000__3[[#This Row],[Unit Price]]*Excel_Advanced_Sales_Dataset_2000__3[[#This Row],[Discount %]]/100</f>
        <v>4480.935888</v>
      </c>
      <c r="T314" s="4">
        <f>Excel_Advanced_Sales_Dataset_2000__3[[#This Row],[Quantity]]*Excel_Advanced_Sales_Dataset_2000__3[[#This Row],[Unit Price]]-Excel_Advanced_Sales_Dataset_2000__3[[#This Row],[Discount Amount]]</f>
        <v>165251.48411200001</v>
      </c>
    </row>
    <row r="315" spans="1:20" x14ac:dyDescent="0.25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>
        <v>33</v>
      </c>
      <c r="J315" s="4">
        <v>9742.7099999999991</v>
      </c>
      <c r="K315" s="6">
        <v>14.91</v>
      </c>
      <c r="L315" s="4">
        <v>273572.37</v>
      </c>
      <c r="M315" s="4" t="str" cm="1">
        <f t="array" ref="M315">IF(Excel_Advanced_Sales_Dataset_2000__3[[#This Row],[Total Sales]]&gt;50000,{"Yes"},{"No"})</f>
        <v>Yes</v>
      </c>
      <c r="N315" s="5">
        <v>46354</v>
      </c>
      <c r="O315" s="1" t="s">
        <v>24</v>
      </c>
      <c r="P315" t="s">
        <v>59</v>
      </c>
      <c r="Q315" t="str">
        <f>IF(Excel_Advanced_Sales_Dataset_2000__3[[#This Row],[Delivery Status]]="Pending","Follow Up","Ok")</f>
        <v>Ok</v>
      </c>
      <c r="R315" s="1" t="s">
        <v>53</v>
      </c>
      <c r="S315">
        <f>Excel_Advanced_Sales_Dataset_2000__3[[#This Row],[Quantity]]*Excel_Advanced_Sales_Dataset_2000__3[[#This Row],[Unit Price]]*Excel_Advanced_Sales_Dataset_2000__3[[#This Row],[Discount %]]/100</f>
        <v>47937.056013000001</v>
      </c>
      <c r="T315" s="4">
        <f>Excel_Advanced_Sales_Dataset_2000__3[[#This Row],[Quantity]]*Excel_Advanced_Sales_Dataset_2000__3[[#This Row],[Unit Price]]-Excel_Advanced_Sales_Dataset_2000__3[[#This Row],[Discount Amount]]</f>
        <v>273572.37398699997</v>
      </c>
    </row>
    <row r="316" spans="1:20" x14ac:dyDescent="0.25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>
        <v>43</v>
      </c>
      <c r="J316" s="4">
        <v>40039.75</v>
      </c>
      <c r="K316" s="6">
        <v>6.72</v>
      </c>
      <c r="L316" s="4">
        <v>1606010.39</v>
      </c>
      <c r="M316" s="4" t="str" cm="1">
        <f t="array" ref="M316">IF(Excel_Advanced_Sales_Dataset_2000__3[[#This Row],[Total Sales]]&gt;50000,{"Yes"},{"No"})</f>
        <v>Yes</v>
      </c>
      <c r="N316" s="5">
        <v>46166</v>
      </c>
      <c r="O316" s="1" t="s">
        <v>45</v>
      </c>
      <c r="P316" t="s">
        <v>35</v>
      </c>
      <c r="Q316" t="str">
        <f>IF(Excel_Advanced_Sales_Dataset_2000__3[[#This Row],[Delivery Status]]="Pending","Follow Up","Ok")</f>
        <v>Ok</v>
      </c>
      <c r="R316" s="1" t="s">
        <v>53</v>
      </c>
      <c r="S316">
        <f>Excel_Advanced_Sales_Dataset_2000__3[[#This Row],[Quantity]]*Excel_Advanced_Sales_Dataset_2000__3[[#This Row],[Unit Price]]*Excel_Advanced_Sales_Dataset_2000__3[[#This Row],[Discount %]]/100</f>
        <v>115698.8616</v>
      </c>
      <c r="T316" s="4">
        <f>Excel_Advanced_Sales_Dataset_2000__3[[#This Row],[Quantity]]*Excel_Advanced_Sales_Dataset_2000__3[[#This Row],[Unit Price]]-Excel_Advanced_Sales_Dataset_2000__3[[#This Row],[Discount Amount]]</f>
        <v>1606010.3884000001</v>
      </c>
    </row>
    <row r="317" spans="1:20" x14ac:dyDescent="0.25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>
        <v>42</v>
      </c>
      <c r="J317" s="4">
        <v>34076.410000000003</v>
      </c>
      <c r="K317" s="6">
        <v>6.9</v>
      </c>
      <c r="L317" s="4">
        <v>1332455.78</v>
      </c>
      <c r="M317" s="4" t="str" cm="1">
        <f t="array" ref="M317">IF(Excel_Advanced_Sales_Dataset_2000__3[[#This Row],[Total Sales]]&gt;50000,{"Yes"},{"No"})</f>
        <v>Yes</v>
      </c>
      <c r="N317" s="5">
        <v>46353</v>
      </c>
      <c r="O317" s="1" t="s">
        <v>68</v>
      </c>
      <c r="P317" t="s">
        <v>35</v>
      </c>
      <c r="Q317" t="str">
        <f>IF(Excel_Advanced_Sales_Dataset_2000__3[[#This Row],[Delivery Status]]="Pending","Follow Up","Ok")</f>
        <v>Ok</v>
      </c>
      <c r="R317" s="1" t="s">
        <v>53</v>
      </c>
      <c r="S317">
        <f>Excel_Advanced_Sales_Dataset_2000__3[[#This Row],[Quantity]]*Excel_Advanced_Sales_Dataset_2000__3[[#This Row],[Unit Price]]*Excel_Advanced_Sales_Dataset_2000__3[[#This Row],[Discount %]]/100</f>
        <v>98753.436180000019</v>
      </c>
      <c r="T317" s="4">
        <f>Excel_Advanced_Sales_Dataset_2000__3[[#This Row],[Quantity]]*Excel_Advanced_Sales_Dataset_2000__3[[#This Row],[Unit Price]]-Excel_Advanced_Sales_Dataset_2000__3[[#This Row],[Discount Amount]]</f>
        <v>1332455.7838200002</v>
      </c>
    </row>
    <row r="318" spans="1:20" x14ac:dyDescent="0.25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>
        <v>31</v>
      </c>
      <c r="J318" s="4">
        <v>40255.82</v>
      </c>
      <c r="K318" s="6">
        <v>1.24</v>
      </c>
      <c r="L318" s="4">
        <v>1232456.08</v>
      </c>
      <c r="M318" s="4" t="str" cm="1">
        <f t="array" ref="M318">IF(Excel_Advanced_Sales_Dataset_2000__3[[#This Row],[Total Sales]]&gt;50000,{"Yes"},{"No"})</f>
        <v>Yes</v>
      </c>
      <c r="N318" s="5">
        <v>46324</v>
      </c>
      <c r="O318" s="1" t="s">
        <v>68</v>
      </c>
      <c r="P318" t="s">
        <v>35</v>
      </c>
      <c r="Q318" t="str">
        <f>IF(Excel_Advanced_Sales_Dataset_2000__3[[#This Row],[Delivery Status]]="Pending","Follow Up","Ok")</f>
        <v>Ok</v>
      </c>
      <c r="R318" s="1" t="s">
        <v>53</v>
      </c>
      <c r="S318">
        <f>Excel_Advanced_Sales_Dataset_2000__3[[#This Row],[Quantity]]*Excel_Advanced_Sales_Dataset_2000__3[[#This Row],[Unit Price]]*Excel_Advanced_Sales_Dataset_2000__3[[#This Row],[Discount %]]/100</f>
        <v>15474.337208000001</v>
      </c>
      <c r="T318" s="4">
        <f>Excel_Advanced_Sales_Dataset_2000__3[[#This Row],[Quantity]]*Excel_Advanced_Sales_Dataset_2000__3[[#This Row],[Unit Price]]-Excel_Advanced_Sales_Dataset_2000__3[[#This Row],[Discount Amount]]</f>
        <v>1232456.0827919999</v>
      </c>
    </row>
    <row r="319" spans="1:20" x14ac:dyDescent="0.25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>
        <v>37</v>
      </c>
      <c r="J319" s="4">
        <v>27370.58</v>
      </c>
      <c r="K319" s="6">
        <v>16.18</v>
      </c>
      <c r="L319" s="4">
        <v>848854.75</v>
      </c>
      <c r="M319" s="4" t="str" cm="1">
        <f t="array" ref="M319">IF(Excel_Advanced_Sales_Dataset_2000__3[[#This Row],[Total Sales]]&gt;50000,{"Yes"},{"No"})</f>
        <v>Yes</v>
      </c>
      <c r="N319" s="5">
        <v>46056</v>
      </c>
      <c r="O319" s="1" t="s">
        <v>24</v>
      </c>
      <c r="P319" t="s">
        <v>59</v>
      </c>
      <c r="Q319" t="str">
        <f>IF(Excel_Advanced_Sales_Dataset_2000__3[[#This Row],[Delivery Status]]="Pending","Follow Up","Ok")</f>
        <v>Ok</v>
      </c>
      <c r="R319" s="1" t="s">
        <v>26</v>
      </c>
      <c r="S319">
        <f>Excel_Advanced_Sales_Dataset_2000__3[[#This Row],[Quantity]]*Excel_Advanced_Sales_Dataset_2000__3[[#This Row],[Unit Price]]*Excel_Advanced_Sales_Dataset_2000__3[[#This Row],[Discount %]]/100</f>
        <v>163856.714228</v>
      </c>
      <c r="T319" s="4">
        <f>Excel_Advanced_Sales_Dataset_2000__3[[#This Row],[Quantity]]*Excel_Advanced_Sales_Dataset_2000__3[[#This Row],[Unit Price]]-Excel_Advanced_Sales_Dataset_2000__3[[#This Row],[Discount Amount]]</f>
        <v>848854.74577200005</v>
      </c>
    </row>
    <row r="320" spans="1:20" x14ac:dyDescent="0.25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>
        <v>31</v>
      </c>
      <c r="J320" s="4">
        <v>29673.57</v>
      </c>
      <c r="K320" s="6">
        <v>12.41</v>
      </c>
      <c r="L320" s="4">
        <v>805723.48</v>
      </c>
      <c r="M320" s="4" t="str" cm="1">
        <f t="array" ref="M320">IF(Excel_Advanced_Sales_Dataset_2000__3[[#This Row],[Total Sales]]&gt;50000,{"Yes"},{"No"})</f>
        <v>Yes</v>
      </c>
      <c r="N320" s="5">
        <v>46311</v>
      </c>
      <c r="O320" s="1" t="s">
        <v>45</v>
      </c>
      <c r="P320" t="s">
        <v>35</v>
      </c>
      <c r="Q320" t="str">
        <f>IF(Excel_Advanced_Sales_Dataset_2000__3[[#This Row],[Delivery Status]]="Pending","Follow Up","Ok")</f>
        <v>Ok</v>
      </c>
      <c r="R320" s="1" t="s">
        <v>36</v>
      </c>
      <c r="S320">
        <f>Excel_Advanced_Sales_Dataset_2000__3[[#This Row],[Quantity]]*Excel_Advanced_Sales_Dataset_2000__3[[#This Row],[Unit Price]]*Excel_Advanced_Sales_Dataset_2000__3[[#This Row],[Discount %]]/100</f>
        <v>114157.19114700001</v>
      </c>
      <c r="T320" s="4">
        <f>Excel_Advanced_Sales_Dataset_2000__3[[#This Row],[Quantity]]*Excel_Advanced_Sales_Dataset_2000__3[[#This Row],[Unit Price]]-Excel_Advanced_Sales_Dataset_2000__3[[#This Row],[Discount Amount]]</f>
        <v>805723.4788530001</v>
      </c>
    </row>
    <row r="321" spans="1:20" x14ac:dyDescent="0.25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>
        <v>24</v>
      </c>
      <c r="J321" s="4">
        <v>36264.89</v>
      </c>
      <c r="K321" s="6">
        <v>19.77</v>
      </c>
      <c r="L321" s="4">
        <v>698287.71</v>
      </c>
      <c r="M321" s="4" t="str" cm="1">
        <f t="array" ref="M321">IF(Excel_Advanced_Sales_Dataset_2000__3[[#This Row],[Total Sales]]&gt;50000,{"Yes"},{"No"})</f>
        <v>Yes</v>
      </c>
      <c r="N321" s="5">
        <v>46299</v>
      </c>
      <c r="O321" s="1" t="s">
        <v>24</v>
      </c>
      <c r="P321" t="s">
        <v>35</v>
      </c>
      <c r="Q321" t="str">
        <f>IF(Excel_Advanced_Sales_Dataset_2000__3[[#This Row],[Delivery Status]]="Pending","Follow Up","Ok")</f>
        <v>Ok</v>
      </c>
      <c r="R321" s="1" t="s">
        <v>53</v>
      </c>
      <c r="S321">
        <f>Excel_Advanced_Sales_Dataset_2000__3[[#This Row],[Quantity]]*Excel_Advanced_Sales_Dataset_2000__3[[#This Row],[Unit Price]]*Excel_Advanced_Sales_Dataset_2000__3[[#This Row],[Discount %]]/100</f>
        <v>172069.65007199999</v>
      </c>
      <c r="T321" s="4">
        <f>Excel_Advanced_Sales_Dataset_2000__3[[#This Row],[Quantity]]*Excel_Advanced_Sales_Dataset_2000__3[[#This Row],[Unit Price]]-Excel_Advanced_Sales_Dataset_2000__3[[#This Row],[Discount Amount]]</f>
        <v>698287.709928</v>
      </c>
    </row>
    <row r="322" spans="1:20" x14ac:dyDescent="0.25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>
        <v>24</v>
      </c>
      <c r="J322" s="4">
        <v>20377.169999999998</v>
      </c>
      <c r="K322" s="6">
        <v>8.36</v>
      </c>
      <c r="L322" s="4">
        <v>448167.33</v>
      </c>
      <c r="M322" s="4" t="str" cm="1">
        <f t="array" ref="M322">IF(Excel_Advanced_Sales_Dataset_2000__3[[#This Row],[Total Sales]]&gt;50000,{"Yes"},{"No"})</f>
        <v>Yes</v>
      </c>
      <c r="N322" s="5">
        <v>46057</v>
      </c>
      <c r="O322" s="1" t="s">
        <v>68</v>
      </c>
      <c r="P322" t="s">
        <v>35</v>
      </c>
      <c r="Q322" t="str">
        <f>IF(Excel_Advanced_Sales_Dataset_2000__3[[#This Row],[Delivery Status]]="Pending","Follow Up","Ok")</f>
        <v>Ok</v>
      </c>
      <c r="R322" s="1" t="s">
        <v>26</v>
      </c>
      <c r="S322">
        <f>Excel_Advanced_Sales_Dataset_2000__3[[#This Row],[Quantity]]*Excel_Advanced_Sales_Dataset_2000__3[[#This Row],[Unit Price]]*Excel_Advanced_Sales_Dataset_2000__3[[#This Row],[Discount %]]/100</f>
        <v>40884.753887999992</v>
      </c>
      <c r="T322" s="4">
        <f>Excel_Advanced_Sales_Dataset_2000__3[[#This Row],[Quantity]]*Excel_Advanced_Sales_Dataset_2000__3[[#This Row],[Unit Price]]-Excel_Advanced_Sales_Dataset_2000__3[[#This Row],[Discount Amount]]</f>
        <v>448167.32611199998</v>
      </c>
    </row>
    <row r="323" spans="1:20" x14ac:dyDescent="0.25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>
        <v>25</v>
      </c>
      <c r="J323" s="4">
        <v>18855.419999999998</v>
      </c>
      <c r="K323" s="6">
        <v>1.63</v>
      </c>
      <c r="L323" s="4">
        <v>463701.92</v>
      </c>
      <c r="M323" s="4" t="str" cm="1">
        <f t="array" ref="M323">IF(Excel_Advanced_Sales_Dataset_2000__3[[#This Row],[Total Sales]]&gt;50000,{"Yes"},{"No"})</f>
        <v>Yes</v>
      </c>
      <c r="N323" s="5">
        <v>46374</v>
      </c>
      <c r="O323" s="1" t="s">
        <v>113</v>
      </c>
      <c r="P323" t="s">
        <v>25</v>
      </c>
      <c r="Q323" t="str">
        <f>IF(Excel_Advanced_Sales_Dataset_2000__3[[#This Row],[Delivery Status]]="Pending","Follow Up","Ok")</f>
        <v>Follow Up</v>
      </c>
      <c r="R323" s="1" t="s">
        <v>26</v>
      </c>
      <c r="S323">
        <f>Excel_Advanced_Sales_Dataset_2000__3[[#This Row],[Quantity]]*Excel_Advanced_Sales_Dataset_2000__3[[#This Row],[Unit Price]]*Excel_Advanced_Sales_Dataset_2000__3[[#This Row],[Discount %]]/100</f>
        <v>7683.5836499999987</v>
      </c>
      <c r="T323" s="4">
        <f>Excel_Advanced_Sales_Dataset_2000__3[[#This Row],[Quantity]]*Excel_Advanced_Sales_Dataset_2000__3[[#This Row],[Unit Price]]-Excel_Advanced_Sales_Dataset_2000__3[[#This Row],[Discount Amount]]</f>
        <v>463701.91634999996</v>
      </c>
    </row>
    <row r="324" spans="1:20" x14ac:dyDescent="0.25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>
        <v>43</v>
      </c>
      <c r="J324" s="4">
        <v>47187.97</v>
      </c>
      <c r="K324" s="6">
        <v>12.71</v>
      </c>
      <c r="L324" s="4">
        <v>1771186.3</v>
      </c>
      <c r="M324" s="4" t="str" cm="1">
        <f t="array" ref="M324">IF(Excel_Advanced_Sales_Dataset_2000__3[[#This Row],[Total Sales]]&gt;50000,{"Yes"},{"No"})</f>
        <v>Yes</v>
      </c>
      <c r="N324" s="5">
        <v>46036</v>
      </c>
      <c r="O324" s="1" t="s">
        <v>45</v>
      </c>
      <c r="P324" t="s">
        <v>35</v>
      </c>
      <c r="Q324" t="str">
        <f>IF(Excel_Advanced_Sales_Dataset_2000__3[[#This Row],[Delivery Status]]="Pending","Follow Up","Ok")</f>
        <v>Ok</v>
      </c>
      <c r="R324" s="1" t="s">
        <v>26</v>
      </c>
      <c r="S324">
        <f>Excel_Advanced_Sales_Dataset_2000__3[[#This Row],[Quantity]]*Excel_Advanced_Sales_Dataset_2000__3[[#This Row],[Unit Price]]*Excel_Advanced_Sales_Dataset_2000__3[[#This Row],[Discount %]]/100</f>
        <v>257896.41244099999</v>
      </c>
      <c r="T324" s="4">
        <f>Excel_Advanced_Sales_Dataset_2000__3[[#This Row],[Quantity]]*Excel_Advanced_Sales_Dataset_2000__3[[#This Row],[Unit Price]]-Excel_Advanced_Sales_Dataset_2000__3[[#This Row],[Discount Amount]]</f>
        <v>1771186.2975590001</v>
      </c>
    </row>
    <row r="325" spans="1:20" x14ac:dyDescent="0.25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>
        <v>45</v>
      </c>
      <c r="J325" s="4">
        <v>39696.050000000003</v>
      </c>
      <c r="K325" s="6">
        <v>12.33</v>
      </c>
      <c r="L325" s="4">
        <v>1566068.72</v>
      </c>
      <c r="M325" s="4" t="str" cm="1">
        <f t="array" ref="M325">IF(Excel_Advanced_Sales_Dataset_2000__3[[#This Row],[Total Sales]]&gt;50000,{"Yes"},{"No"})</f>
        <v>Yes</v>
      </c>
      <c r="N325" s="5">
        <v>46077</v>
      </c>
      <c r="O325" s="1" t="s">
        <v>68</v>
      </c>
      <c r="P325" t="s">
        <v>35</v>
      </c>
      <c r="Q325" t="str">
        <f>IF(Excel_Advanced_Sales_Dataset_2000__3[[#This Row],[Delivery Status]]="Pending","Follow Up","Ok")</f>
        <v>Ok</v>
      </c>
      <c r="R325" s="1" t="s">
        <v>36</v>
      </c>
      <c r="S325">
        <f>Excel_Advanced_Sales_Dataset_2000__3[[#This Row],[Quantity]]*Excel_Advanced_Sales_Dataset_2000__3[[#This Row],[Unit Price]]*Excel_Advanced_Sales_Dataset_2000__3[[#This Row],[Discount %]]/100</f>
        <v>220253.533425</v>
      </c>
      <c r="T325" s="4">
        <f>Excel_Advanced_Sales_Dataset_2000__3[[#This Row],[Quantity]]*Excel_Advanced_Sales_Dataset_2000__3[[#This Row],[Unit Price]]-Excel_Advanced_Sales_Dataset_2000__3[[#This Row],[Discount Amount]]</f>
        <v>1566068.7165750002</v>
      </c>
    </row>
    <row r="326" spans="1:20" x14ac:dyDescent="0.25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>
        <v>33</v>
      </c>
      <c r="J326" s="4">
        <v>12914.17</v>
      </c>
      <c r="K326" s="6">
        <v>4</v>
      </c>
      <c r="L326" s="4">
        <v>409120.91</v>
      </c>
      <c r="M326" s="4" t="str" cm="1">
        <f t="array" ref="M326">IF(Excel_Advanced_Sales_Dataset_2000__3[[#This Row],[Total Sales]]&gt;50000,{"Yes"},{"No"})</f>
        <v>Yes</v>
      </c>
      <c r="N326" s="5">
        <v>46077</v>
      </c>
      <c r="O326" s="1" t="s">
        <v>24</v>
      </c>
      <c r="P326" t="s">
        <v>35</v>
      </c>
      <c r="Q326" t="str">
        <f>IF(Excel_Advanced_Sales_Dataset_2000__3[[#This Row],[Delivery Status]]="Pending","Follow Up","Ok")</f>
        <v>Ok</v>
      </c>
      <c r="R326" s="1" t="s">
        <v>26</v>
      </c>
      <c r="S326">
        <f>Excel_Advanced_Sales_Dataset_2000__3[[#This Row],[Quantity]]*Excel_Advanced_Sales_Dataset_2000__3[[#This Row],[Unit Price]]*Excel_Advanced_Sales_Dataset_2000__3[[#This Row],[Discount %]]/100</f>
        <v>17046.704399999999</v>
      </c>
      <c r="T326" s="4">
        <f>Excel_Advanced_Sales_Dataset_2000__3[[#This Row],[Quantity]]*Excel_Advanced_Sales_Dataset_2000__3[[#This Row],[Unit Price]]-Excel_Advanced_Sales_Dataset_2000__3[[#This Row],[Discount Amount]]</f>
        <v>409120.9056</v>
      </c>
    </row>
    <row r="327" spans="1:20" x14ac:dyDescent="0.25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>
        <v>12</v>
      </c>
      <c r="J327" s="4">
        <v>36810.559999999998</v>
      </c>
      <c r="K327" s="6">
        <v>18.68</v>
      </c>
      <c r="L327" s="4">
        <v>359212.17</v>
      </c>
      <c r="M327" s="4" t="str" cm="1">
        <f t="array" ref="M327">IF(Excel_Advanced_Sales_Dataset_2000__3[[#This Row],[Total Sales]]&gt;50000,{"Yes"},{"No"})</f>
        <v>Yes</v>
      </c>
      <c r="N327" s="5">
        <v>46201</v>
      </c>
      <c r="O327" s="1" t="s">
        <v>58</v>
      </c>
      <c r="P327" t="s">
        <v>35</v>
      </c>
      <c r="Q327" t="str">
        <f>IF(Excel_Advanced_Sales_Dataset_2000__3[[#This Row],[Delivery Status]]="Pending","Follow Up","Ok")</f>
        <v>Ok</v>
      </c>
      <c r="R327" s="1" t="s">
        <v>36</v>
      </c>
      <c r="S327">
        <f>Excel_Advanced_Sales_Dataset_2000__3[[#This Row],[Quantity]]*Excel_Advanced_Sales_Dataset_2000__3[[#This Row],[Unit Price]]*Excel_Advanced_Sales_Dataset_2000__3[[#This Row],[Discount %]]/100</f>
        <v>82514.551295999991</v>
      </c>
      <c r="T327" s="4">
        <f>Excel_Advanced_Sales_Dataset_2000__3[[#This Row],[Quantity]]*Excel_Advanced_Sales_Dataset_2000__3[[#This Row],[Unit Price]]-Excel_Advanced_Sales_Dataset_2000__3[[#This Row],[Discount Amount]]</f>
        <v>359212.16870399995</v>
      </c>
    </row>
    <row r="328" spans="1:20" x14ac:dyDescent="0.25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>
        <v>41</v>
      </c>
      <c r="J328" s="4">
        <v>21221.64</v>
      </c>
      <c r="K328" s="6">
        <v>15.38</v>
      </c>
      <c r="L328" s="4">
        <v>736267.82</v>
      </c>
      <c r="M328" s="4" t="str" cm="1">
        <f t="array" ref="M328">IF(Excel_Advanced_Sales_Dataset_2000__3[[#This Row],[Total Sales]]&gt;50000,{"Yes"},{"No"})</f>
        <v>Yes</v>
      </c>
      <c r="N328" s="5">
        <v>46076</v>
      </c>
      <c r="O328" s="1" t="s">
        <v>45</v>
      </c>
      <c r="P328" t="s">
        <v>25</v>
      </c>
      <c r="Q328" t="str">
        <f>IF(Excel_Advanced_Sales_Dataset_2000__3[[#This Row],[Delivery Status]]="Pending","Follow Up","Ok")</f>
        <v>Follow Up</v>
      </c>
      <c r="R328" s="1" t="s">
        <v>53</v>
      </c>
      <c r="S328">
        <f>Excel_Advanced_Sales_Dataset_2000__3[[#This Row],[Quantity]]*Excel_Advanced_Sales_Dataset_2000__3[[#This Row],[Unit Price]]*Excel_Advanced_Sales_Dataset_2000__3[[#This Row],[Discount %]]/100</f>
        <v>133819.41751199999</v>
      </c>
      <c r="T328" s="4">
        <f>Excel_Advanced_Sales_Dataset_2000__3[[#This Row],[Quantity]]*Excel_Advanced_Sales_Dataset_2000__3[[#This Row],[Unit Price]]-Excel_Advanced_Sales_Dataset_2000__3[[#This Row],[Discount Amount]]</f>
        <v>736267.82248800003</v>
      </c>
    </row>
    <row r="329" spans="1:20" x14ac:dyDescent="0.25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>
        <v>45</v>
      </c>
      <c r="J329" s="4">
        <v>15964.28</v>
      </c>
      <c r="K329" s="6">
        <v>4.62</v>
      </c>
      <c r="L329" s="4">
        <v>685202.86</v>
      </c>
      <c r="M329" s="4" t="str" cm="1">
        <f t="array" ref="M329">IF(Excel_Advanced_Sales_Dataset_2000__3[[#This Row],[Total Sales]]&gt;50000,{"Yes"},{"No"})</f>
        <v>Yes</v>
      </c>
      <c r="N329" s="5">
        <v>46364</v>
      </c>
      <c r="O329" s="1" t="s">
        <v>45</v>
      </c>
      <c r="P329" t="s">
        <v>35</v>
      </c>
      <c r="Q329" t="str">
        <f>IF(Excel_Advanced_Sales_Dataset_2000__3[[#This Row],[Delivery Status]]="Pending","Follow Up","Ok")</f>
        <v>Ok</v>
      </c>
      <c r="R329" s="1" t="s">
        <v>26</v>
      </c>
      <c r="S329">
        <f>Excel_Advanced_Sales_Dataset_2000__3[[#This Row],[Quantity]]*Excel_Advanced_Sales_Dataset_2000__3[[#This Row],[Unit Price]]*Excel_Advanced_Sales_Dataset_2000__3[[#This Row],[Discount %]]/100</f>
        <v>33189.738120000002</v>
      </c>
      <c r="T329" s="4">
        <f>Excel_Advanced_Sales_Dataset_2000__3[[#This Row],[Quantity]]*Excel_Advanced_Sales_Dataset_2000__3[[#This Row],[Unit Price]]-Excel_Advanced_Sales_Dataset_2000__3[[#This Row],[Discount Amount]]</f>
        <v>685202.86187999998</v>
      </c>
    </row>
    <row r="330" spans="1:20" x14ac:dyDescent="0.25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>
        <v>4</v>
      </c>
      <c r="J330" s="4">
        <v>39878.35</v>
      </c>
      <c r="K330" s="6">
        <v>17.03</v>
      </c>
      <c r="L330" s="4">
        <v>132348.26999999999</v>
      </c>
      <c r="M330" s="4" t="str" cm="1">
        <f t="array" ref="M330">IF(Excel_Advanced_Sales_Dataset_2000__3[[#This Row],[Total Sales]]&gt;50000,{"Yes"},{"No"})</f>
        <v>Yes</v>
      </c>
      <c r="N330" s="5">
        <v>46382</v>
      </c>
      <c r="O330" s="1" t="s">
        <v>58</v>
      </c>
      <c r="P330" t="s">
        <v>35</v>
      </c>
      <c r="Q330" t="str">
        <f>IF(Excel_Advanced_Sales_Dataset_2000__3[[#This Row],[Delivery Status]]="Pending","Follow Up","Ok")</f>
        <v>Ok</v>
      </c>
      <c r="R330" s="1" t="s">
        <v>26</v>
      </c>
      <c r="S330">
        <f>Excel_Advanced_Sales_Dataset_2000__3[[#This Row],[Quantity]]*Excel_Advanced_Sales_Dataset_2000__3[[#This Row],[Unit Price]]*Excel_Advanced_Sales_Dataset_2000__3[[#This Row],[Discount %]]/100</f>
        <v>27165.132020000001</v>
      </c>
      <c r="T330" s="4">
        <f>Excel_Advanced_Sales_Dataset_2000__3[[#This Row],[Quantity]]*Excel_Advanced_Sales_Dataset_2000__3[[#This Row],[Unit Price]]-Excel_Advanced_Sales_Dataset_2000__3[[#This Row],[Discount Amount]]</f>
        <v>132348.26798</v>
      </c>
    </row>
    <row r="331" spans="1:20" x14ac:dyDescent="0.25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>
        <v>10</v>
      </c>
      <c r="J331" s="4">
        <v>7206.95</v>
      </c>
      <c r="K331" s="6">
        <v>5.57</v>
      </c>
      <c r="L331" s="4">
        <v>68055.23</v>
      </c>
      <c r="M331" s="4" t="str" cm="1">
        <f t="array" ref="M331">IF(Excel_Advanced_Sales_Dataset_2000__3[[#This Row],[Total Sales]]&gt;50000,{"Yes"},{"No"})</f>
        <v>Yes</v>
      </c>
      <c r="N331" s="5">
        <v>46245</v>
      </c>
      <c r="O331" s="1" t="s">
        <v>58</v>
      </c>
      <c r="P331" t="s">
        <v>35</v>
      </c>
      <c r="Q331" t="str">
        <f>IF(Excel_Advanced_Sales_Dataset_2000__3[[#This Row],[Delivery Status]]="Pending","Follow Up","Ok")</f>
        <v>Ok</v>
      </c>
      <c r="R331" s="1" t="s">
        <v>26</v>
      </c>
      <c r="S331">
        <f>Excel_Advanced_Sales_Dataset_2000__3[[#This Row],[Quantity]]*Excel_Advanced_Sales_Dataset_2000__3[[#This Row],[Unit Price]]*Excel_Advanced_Sales_Dataset_2000__3[[#This Row],[Discount %]]/100</f>
        <v>4014.2711500000005</v>
      </c>
      <c r="T331" s="4">
        <f>Excel_Advanced_Sales_Dataset_2000__3[[#This Row],[Quantity]]*Excel_Advanced_Sales_Dataset_2000__3[[#This Row],[Unit Price]]-Excel_Advanced_Sales_Dataset_2000__3[[#This Row],[Discount Amount]]</f>
        <v>68055.22885</v>
      </c>
    </row>
    <row r="332" spans="1:20" x14ac:dyDescent="0.25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>
        <v>15</v>
      </c>
      <c r="J332" s="4">
        <v>43766.95</v>
      </c>
      <c r="K332" s="6">
        <v>16.45</v>
      </c>
      <c r="L332" s="4">
        <v>548509.30000000005</v>
      </c>
      <c r="M332" s="4" t="str" cm="1">
        <f t="array" ref="M332">IF(Excel_Advanced_Sales_Dataset_2000__3[[#This Row],[Total Sales]]&gt;50000,{"Yes"},{"No"})</f>
        <v>Yes</v>
      </c>
      <c r="N332" s="5">
        <v>46080</v>
      </c>
      <c r="O332" s="1" t="s">
        <v>24</v>
      </c>
      <c r="P332" t="s">
        <v>35</v>
      </c>
      <c r="Q332" t="str">
        <f>IF(Excel_Advanced_Sales_Dataset_2000__3[[#This Row],[Delivery Status]]="Pending","Follow Up","Ok")</f>
        <v>Ok</v>
      </c>
      <c r="R332" s="1" t="s">
        <v>26</v>
      </c>
      <c r="S332">
        <f>Excel_Advanced_Sales_Dataset_2000__3[[#This Row],[Quantity]]*Excel_Advanced_Sales_Dataset_2000__3[[#This Row],[Unit Price]]*Excel_Advanced_Sales_Dataset_2000__3[[#This Row],[Discount %]]/100</f>
        <v>107994.949125</v>
      </c>
      <c r="T332" s="4">
        <f>Excel_Advanced_Sales_Dataset_2000__3[[#This Row],[Quantity]]*Excel_Advanced_Sales_Dataset_2000__3[[#This Row],[Unit Price]]-Excel_Advanced_Sales_Dataset_2000__3[[#This Row],[Discount Amount]]</f>
        <v>548509.30087499996</v>
      </c>
    </row>
    <row r="333" spans="1:20" x14ac:dyDescent="0.25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>
        <v>19</v>
      </c>
      <c r="J333" s="4">
        <v>12964.84</v>
      </c>
      <c r="K333" s="6">
        <v>3.74</v>
      </c>
      <c r="L333" s="4">
        <v>237119.14</v>
      </c>
      <c r="M333" s="4" t="str" cm="1">
        <f t="array" ref="M333">IF(Excel_Advanced_Sales_Dataset_2000__3[[#This Row],[Total Sales]]&gt;50000,{"Yes"},{"No"})</f>
        <v>Yes</v>
      </c>
      <c r="N333" s="5">
        <v>46329</v>
      </c>
      <c r="O333" s="1" t="s">
        <v>45</v>
      </c>
      <c r="P333" t="s">
        <v>35</v>
      </c>
      <c r="Q333" t="str">
        <f>IF(Excel_Advanced_Sales_Dataset_2000__3[[#This Row],[Delivery Status]]="Pending","Follow Up","Ok")</f>
        <v>Ok</v>
      </c>
      <c r="R333" s="1" t="s">
        <v>53</v>
      </c>
      <c r="S333">
        <f>Excel_Advanced_Sales_Dataset_2000__3[[#This Row],[Quantity]]*Excel_Advanced_Sales_Dataset_2000__3[[#This Row],[Unit Price]]*Excel_Advanced_Sales_Dataset_2000__3[[#This Row],[Discount %]]/100</f>
        <v>9212.8153039999997</v>
      </c>
      <c r="T333" s="4">
        <f>Excel_Advanced_Sales_Dataset_2000__3[[#This Row],[Quantity]]*Excel_Advanced_Sales_Dataset_2000__3[[#This Row],[Unit Price]]-Excel_Advanced_Sales_Dataset_2000__3[[#This Row],[Discount Amount]]</f>
        <v>237119.144696</v>
      </c>
    </row>
    <row r="334" spans="1:20" x14ac:dyDescent="0.25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>
        <v>14</v>
      </c>
      <c r="J334" s="4">
        <v>26986.080000000002</v>
      </c>
      <c r="K334" s="6">
        <v>3.11</v>
      </c>
      <c r="L334" s="4">
        <v>366055.38</v>
      </c>
      <c r="M334" s="4" t="str" cm="1">
        <f t="array" ref="M334">IF(Excel_Advanced_Sales_Dataset_2000__3[[#This Row],[Total Sales]]&gt;50000,{"Yes"},{"No"})</f>
        <v>Yes</v>
      </c>
      <c r="N334" s="5">
        <v>46088</v>
      </c>
      <c r="O334" s="1" t="s">
        <v>113</v>
      </c>
      <c r="P334" t="s">
        <v>59</v>
      </c>
      <c r="Q334" t="str">
        <f>IF(Excel_Advanced_Sales_Dataset_2000__3[[#This Row],[Delivery Status]]="Pending","Follow Up","Ok")</f>
        <v>Ok</v>
      </c>
      <c r="R334" s="1" t="s">
        <v>53</v>
      </c>
      <c r="S334">
        <f>Excel_Advanced_Sales_Dataset_2000__3[[#This Row],[Quantity]]*Excel_Advanced_Sales_Dataset_2000__3[[#This Row],[Unit Price]]*Excel_Advanced_Sales_Dataset_2000__3[[#This Row],[Discount %]]/100</f>
        <v>11749.739231999998</v>
      </c>
      <c r="T334" s="4">
        <f>Excel_Advanced_Sales_Dataset_2000__3[[#This Row],[Quantity]]*Excel_Advanced_Sales_Dataset_2000__3[[#This Row],[Unit Price]]-Excel_Advanced_Sales_Dataset_2000__3[[#This Row],[Discount Amount]]</f>
        <v>366055.38076799997</v>
      </c>
    </row>
    <row r="335" spans="1:20" x14ac:dyDescent="0.25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>
        <v>40</v>
      </c>
      <c r="J335" s="4">
        <v>11676.05</v>
      </c>
      <c r="K335" s="6">
        <v>12.16</v>
      </c>
      <c r="L335" s="4">
        <v>410249.69</v>
      </c>
      <c r="M335" s="4" t="str" cm="1">
        <f t="array" ref="M335">IF(Excel_Advanced_Sales_Dataset_2000__3[[#This Row],[Total Sales]]&gt;50000,{"Yes"},{"No"})</f>
        <v>Yes</v>
      </c>
      <c r="N335" s="5">
        <v>46201</v>
      </c>
      <c r="O335" s="1" t="s">
        <v>68</v>
      </c>
      <c r="P335" t="s">
        <v>35</v>
      </c>
      <c r="Q335" t="str">
        <f>IF(Excel_Advanced_Sales_Dataset_2000__3[[#This Row],[Delivery Status]]="Pending","Follow Up","Ok")</f>
        <v>Ok</v>
      </c>
      <c r="R335" s="1" t="s">
        <v>26</v>
      </c>
      <c r="S335">
        <f>Excel_Advanced_Sales_Dataset_2000__3[[#This Row],[Quantity]]*Excel_Advanced_Sales_Dataset_2000__3[[#This Row],[Unit Price]]*Excel_Advanced_Sales_Dataset_2000__3[[#This Row],[Discount %]]/100</f>
        <v>56792.307199999996</v>
      </c>
      <c r="T335" s="4">
        <f>Excel_Advanced_Sales_Dataset_2000__3[[#This Row],[Quantity]]*Excel_Advanced_Sales_Dataset_2000__3[[#This Row],[Unit Price]]-Excel_Advanced_Sales_Dataset_2000__3[[#This Row],[Discount Amount]]</f>
        <v>410249.69280000002</v>
      </c>
    </row>
    <row r="336" spans="1:20" x14ac:dyDescent="0.25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>
        <v>8</v>
      </c>
      <c r="J336" s="4">
        <v>5263.1</v>
      </c>
      <c r="K336" s="6">
        <v>10.52</v>
      </c>
      <c r="L336" s="4">
        <v>37675.379999999997</v>
      </c>
      <c r="M336" s="4" t="str" cm="1">
        <f t="array" ref="M336">IF(Excel_Advanced_Sales_Dataset_2000__3[[#This Row],[Total Sales]]&gt;50000,{"Yes"},{"No"})</f>
        <v>No</v>
      </c>
      <c r="N336" s="5">
        <v>46095</v>
      </c>
      <c r="O336" s="1" t="s">
        <v>113</v>
      </c>
      <c r="P336" t="s">
        <v>35</v>
      </c>
      <c r="Q336" t="str">
        <f>IF(Excel_Advanced_Sales_Dataset_2000__3[[#This Row],[Delivery Status]]="Pending","Follow Up","Ok")</f>
        <v>Ok</v>
      </c>
      <c r="R336" s="1" t="s">
        <v>36</v>
      </c>
      <c r="S336">
        <f>Excel_Advanced_Sales_Dataset_2000__3[[#This Row],[Quantity]]*Excel_Advanced_Sales_Dataset_2000__3[[#This Row],[Unit Price]]*Excel_Advanced_Sales_Dataset_2000__3[[#This Row],[Discount %]]/100</f>
        <v>4429.4249600000003</v>
      </c>
      <c r="T336" s="4">
        <f>Excel_Advanced_Sales_Dataset_2000__3[[#This Row],[Quantity]]*Excel_Advanced_Sales_Dataset_2000__3[[#This Row],[Unit Price]]-Excel_Advanced_Sales_Dataset_2000__3[[#This Row],[Discount Amount]]</f>
        <v>37675.375039999999</v>
      </c>
    </row>
    <row r="337" spans="1:20" x14ac:dyDescent="0.25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>
        <v>49</v>
      </c>
      <c r="J337" s="4">
        <v>9599.68</v>
      </c>
      <c r="K337" s="6">
        <v>13.82</v>
      </c>
      <c r="L337" s="4">
        <v>405377.21</v>
      </c>
      <c r="M337" s="4" t="str" cm="1">
        <f t="array" ref="M337">IF(Excel_Advanced_Sales_Dataset_2000__3[[#This Row],[Total Sales]]&gt;50000,{"Yes"},{"No"})</f>
        <v>Yes</v>
      </c>
      <c r="N337" s="5">
        <v>46080</v>
      </c>
      <c r="O337" s="1" t="s">
        <v>58</v>
      </c>
      <c r="P337" t="s">
        <v>35</v>
      </c>
      <c r="Q337" t="str">
        <f>IF(Excel_Advanced_Sales_Dataset_2000__3[[#This Row],[Delivery Status]]="Pending","Follow Up","Ok")</f>
        <v>Ok</v>
      </c>
      <c r="R337" s="1" t="s">
        <v>53</v>
      </c>
      <c r="S337">
        <f>Excel_Advanced_Sales_Dataset_2000__3[[#This Row],[Quantity]]*Excel_Advanced_Sales_Dataset_2000__3[[#This Row],[Unit Price]]*Excel_Advanced_Sales_Dataset_2000__3[[#This Row],[Discount %]]/100</f>
        <v>65007.113024000006</v>
      </c>
      <c r="T337" s="4">
        <f>Excel_Advanced_Sales_Dataset_2000__3[[#This Row],[Quantity]]*Excel_Advanced_Sales_Dataset_2000__3[[#This Row],[Unit Price]]-Excel_Advanced_Sales_Dataset_2000__3[[#This Row],[Discount Amount]]</f>
        <v>405377.20697599999</v>
      </c>
    </row>
    <row r="338" spans="1:20" x14ac:dyDescent="0.25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>
        <v>21</v>
      </c>
      <c r="J338" s="4">
        <v>21554.01</v>
      </c>
      <c r="K338" s="6">
        <v>3.61</v>
      </c>
      <c r="L338" s="4">
        <v>436294.12</v>
      </c>
      <c r="M338" s="4" t="str" cm="1">
        <f t="array" ref="M338">IF(Excel_Advanced_Sales_Dataset_2000__3[[#This Row],[Total Sales]]&gt;50000,{"Yes"},{"No"})</f>
        <v>Yes</v>
      </c>
      <c r="N338" s="5">
        <v>46187</v>
      </c>
      <c r="O338" s="1" t="s">
        <v>45</v>
      </c>
      <c r="P338" t="s">
        <v>35</v>
      </c>
      <c r="Q338" t="str">
        <f>IF(Excel_Advanced_Sales_Dataset_2000__3[[#This Row],[Delivery Status]]="Pending","Follow Up","Ok")</f>
        <v>Ok</v>
      </c>
      <c r="R338" s="1" t="s">
        <v>36</v>
      </c>
      <c r="S338">
        <f>Excel_Advanced_Sales_Dataset_2000__3[[#This Row],[Quantity]]*Excel_Advanced_Sales_Dataset_2000__3[[#This Row],[Unit Price]]*Excel_Advanced_Sales_Dataset_2000__3[[#This Row],[Discount %]]/100</f>
        <v>16340.094980999997</v>
      </c>
      <c r="T338" s="4">
        <f>Excel_Advanced_Sales_Dataset_2000__3[[#This Row],[Quantity]]*Excel_Advanced_Sales_Dataset_2000__3[[#This Row],[Unit Price]]-Excel_Advanced_Sales_Dataset_2000__3[[#This Row],[Discount Amount]]</f>
        <v>436294.11501899996</v>
      </c>
    </row>
    <row r="339" spans="1:20" x14ac:dyDescent="0.25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>
        <v>36</v>
      </c>
      <c r="J339" s="4">
        <v>3359.24</v>
      </c>
      <c r="K339" s="6">
        <v>1.1100000000000001</v>
      </c>
      <c r="L339" s="4">
        <v>119590.29</v>
      </c>
      <c r="M339" s="4" t="str" cm="1">
        <f t="array" ref="M339">IF(Excel_Advanced_Sales_Dataset_2000__3[[#This Row],[Total Sales]]&gt;50000,{"Yes"},{"No"})</f>
        <v>Yes</v>
      </c>
      <c r="N339" s="5">
        <v>46318</v>
      </c>
      <c r="O339" s="1" t="s">
        <v>113</v>
      </c>
      <c r="P339" t="s">
        <v>35</v>
      </c>
      <c r="Q339" t="str">
        <f>IF(Excel_Advanced_Sales_Dataset_2000__3[[#This Row],[Delivery Status]]="Pending","Follow Up","Ok")</f>
        <v>Ok</v>
      </c>
      <c r="R339" s="1" t="s">
        <v>36</v>
      </c>
      <c r="S339">
        <f>Excel_Advanced_Sales_Dataset_2000__3[[#This Row],[Quantity]]*Excel_Advanced_Sales_Dataset_2000__3[[#This Row],[Unit Price]]*Excel_Advanced_Sales_Dataset_2000__3[[#This Row],[Discount %]]/100</f>
        <v>1342.352304</v>
      </c>
      <c r="T339" s="4">
        <f>Excel_Advanced_Sales_Dataset_2000__3[[#This Row],[Quantity]]*Excel_Advanced_Sales_Dataset_2000__3[[#This Row],[Unit Price]]-Excel_Advanced_Sales_Dataset_2000__3[[#This Row],[Discount Amount]]</f>
        <v>119590.28769599998</v>
      </c>
    </row>
    <row r="340" spans="1:20" x14ac:dyDescent="0.25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>
        <v>23</v>
      </c>
      <c r="J340" s="4">
        <v>14343.18</v>
      </c>
      <c r="K340" s="6">
        <v>16.79</v>
      </c>
      <c r="L340" s="4">
        <v>274504.08</v>
      </c>
      <c r="M340" s="4" t="str" cm="1">
        <f t="array" ref="M340">IF(Excel_Advanced_Sales_Dataset_2000__3[[#This Row],[Total Sales]]&gt;50000,{"Yes"},{"No"})</f>
        <v>Yes</v>
      </c>
      <c r="N340" s="5">
        <v>46344</v>
      </c>
      <c r="O340" s="1" t="s">
        <v>113</v>
      </c>
      <c r="P340" t="s">
        <v>35</v>
      </c>
      <c r="Q340" t="str">
        <f>IF(Excel_Advanced_Sales_Dataset_2000__3[[#This Row],[Delivery Status]]="Pending","Follow Up","Ok")</f>
        <v>Ok</v>
      </c>
      <c r="R340" s="1" t="s">
        <v>53</v>
      </c>
      <c r="S340">
        <f>Excel_Advanced_Sales_Dataset_2000__3[[#This Row],[Quantity]]*Excel_Advanced_Sales_Dataset_2000__3[[#This Row],[Unit Price]]*Excel_Advanced_Sales_Dataset_2000__3[[#This Row],[Discount %]]/100</f>
        <v>55389.058206000002</v>
      </c>
      <c r="T340" s="4">
        <f>Excel_Advanced_Sales_Dataset_2000__3[[#This Row],[Quantity]]*Excel_Advanced_Sales_Dataset_2000__3[[#This Row],[Unit Price]]-Excel_Advanced_Sales_Dataset_2000__3[[#This Row],[Discount Amount]]</f>
        <v>274504.081794</v>
      </c>
    </row>
    <row r="341" spans="1:20" x14ac:dyDescent="0.25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>
        <v>34</v>
      </c>
      <c r="J341" s="4">
        <v>40017.919999999998</v>
      </c>
      <c r="K341" s="6">
        <v>7.48</v>
      </c>
      <c r="L341" s="4">
        <v>1258835.71</v>
      </c>
      <c r="M341" s="4" t="str" cm="1">
        <f t="array" ref="M341">IF(Excel_Advanced_Sales_Dataset_2000__3[[#This Row],[Total Sales]]&gt;50000,{"Yes"},{"No"})</f>
        <v>Yes</v>
      </c>
      <c r="N341" s="5">
        <v>46305</v>
      </c>
      <c r="O341" s="1" t="s">
        <v>45</v>
      </c>
      <c r="P341" t="s">
        <v>35</v>
      </c>
      <c r="Q341" t="str">
        <f>IF(Excel_Advanced_Sales_Dataset_2000__3[[#This Row],[Delivery Status]]="Pending","Follow Up","Ok")</f>
        <v>Ok</v>
      </c>
      <c r="R341" s="1" t="s">
        <v>36</v>
      </c>
      <c r="S341">
        <f>Excel_Advanced_Sales_Dataset_2000__3[[#This Row],[Quantity]]*Excel_Advanced_Sales_Dataset_2000__3[[#This Row],[Unit Price]]*Excel_Advanced_Sales_Dataset_2000__3[[#This Row],[Discount %]]/100</f>
        <v>101773.574144</v>
      </c>
      <c r="T341" s="4">
        <f>Excel_Advanced_Sales_Dataset_2000__3[[#This Row],[Quantity]]*Excel_Advanced_Sales_Dataset_2000__3[[#This Row],[Unit Price]]-Excel_Advanced_Sales_Dataset_2000__3[[#This Row],[Discount Amount]]</f>
        <v>1258835.7058560001</v>
      </c>
    </row>
    <row r="342" spans="1:20" x14ac:dyDescent="0.25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>
        <v>36</v>
      </c>
      <c r="J342" s="4">
        <v>10471.530000000001</v>
      </c>
      <c r="K342" s="6">
        <v>11.32</v>
      </c>
      <c r="L342" s="4">
        <v>334301.5</v>
      </c>
      <c r="M342" s="4" t="str" cm="1">
        <f t="array" ref="M342">IF(Excel_Advanced_Sales_Dataset_2000__3[[#This Row],[Total Sales]]&gt;50000,{"Yes"},{"No"})</f>
        <v>Yes</v>
      </c>
      <c r="N342" s="5">
        <v>46278</v>
      </c>
      <c r="O342" s="1" t="s">
        <v>24</v>
      </c>
      <c r="P342" t="s">
        <v>35</v>
      </c>
      <c r="Q342" t="str">
        <f>IF(Excel_Advanced_Sales_Dataset_2000__3[[#This Row],[Delivery Status]]="Pending","Follow Up","Ok")</f>
        <v>Ok</v>
      </c>
      <c r="R342" s="1" t="s">
        <v>53</v>
      </c>
      <c r="S342">
        <f>Excel_Advanced_Sales_Dataset_2000__3[[#This Row],[Quantity]]*Excel_Advanced_Sales_Dataset_2000__3[[#This Row],[Unit Price]]*Excel_Advanced_Sales_Dataset_2000__3[[#This Row],[Discount %]]/100</f>
        <v>42673.579056000002</v>
      </c>
      <c r="T342" s="4">
        <f>Excel_Advanced_Sales_Dataset_2000__3[[#This Row],[Quantity]]*Excel_Advanced_Sales_Dataset_2000__3[[#This Row],[Unit Price]]-Excel_Advanced_Sales_Dataset_2000__3[[#This Row],[Discount Amount]]</f>
        <v>334301.50094400003</v>
      </c>
    </row>
    <row r="343" spans="1:20" x14ac:dyDescent="0.25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>
        <v>26</v>
      </c>
      <c r="J343" s="4">
        <v>1035.6400000000001</v>
      </c>
      <c r="K343" s="6">
        <v>14.86</v>
      </c>
      <c r="L343" s="4">
        <v>22925.34</v>
      </c>
      <c r="M343" s="4" t="str" cm="1">
        <f t="array" ref="M343">IF(Excel_Advanced_Sales_Dataset_2000__3[[#This Row],[Total Sales]]&gt;50000,{"Yes"},{"No"})</f>
        <v>No</v>
      </c>
      <c r="N343" s="5">
        <v>46106</v>
      </c>
      <c r="O343" s="1" t="s">
        <v>58</v>
      </c>
      <c r="P343" t="s">
        <v>35</v>
      </c>
      <c r="Q343" t="str">
        <f>IF(Excel_Advanced_Sales_Dataset_2000__3[[#This Row],[Delivery Status]]="Pending","Follow Up","Ok")</f>
        <v>Ok</v>
      </c>
      <c r="R343" s="1" t="s">
        <v>53</v>
      </c>
      <c r="S343">
        <f>Excel_Advanced_Sales_Dataset_2000__3[[#This Row],[Quantity]]*Excel_Advanced_Sales_Dataset_2000__3[[#This Row],[Unit Price]]*Excel_Advanced_Sales_Dataset_2000__3[[#This Row],[Discount %]]/100</f>
        <v>4001.2987040000003</v>
      </c>
      <c r="T343" s="4">
        <f>Excel_Advanced_Sales_Dataset_2000__3[[#This Row],[Quantity]]*Excel_Advanced_Sales_Dataset_2000__3[[#This Row],[Unit Price]]-Excel_Advanced_Sales_Dataset_2000__3[[#This Row],[Discount Amount]]</f>
        <v>22925.341296000002</v>
      </c>
    </row>
    <row r="344" spans="1:20" x14ac:dyDescent="0.25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>
        <v>28</v>
      </c>
      <c r="J344" s="4">
        <v>11176.9</v>
      </c>
      <c r="K344" s="6">
        <v>17.98</v>
      </c>
      <c r="L344" s="4">
        <v>256684.21</v>
      </c>
      <c r="M344" s="4" t="str" cm="1">
        <f t="array" ref="M344">IF(Excel_Advanced_Sales_Dataset_2000__3[[#This Row],[Total Sales]]&gt;50000,{"Yes"},{"No"})</f>
        <v>Yes</v>
      </c>
      <c r="N344" s="5">
        <v>46340</v>
      </c>
      <c r="O344" s="1" t="s">
        <v>113</v>
      </c>
      <c r="P344" t="s">
        <v>35</v>
      </c>
      <c r="Q344" t="str">
        <f>IF(Excel_Advanced_Sales_Dataset_2000__3[[#This Row],[Delivery Status]]="Pending","Follow Up","Ok")</f>
        <v>Ok</v>
      </c>
      <c r="R344" s="1" t="s">
        <v>36</v>
      </c>
      <c r="S344">
        <f>Excel_Advanced_Sales_Dataset_2000__3[[#This Row],[Quantity]]*Excel_Advanced_Sales_Dataset_2000__3[[#This Row],[Unit Price]]*Excel_Advanced_Sales_Dataset_2000__3[[#This Row],[Discount %]]/100</f>
        <v>56268.985360000006</v>
      </c>
      <c r="T344" s="4">
        <f>Excel_Advanced_Sales_Dataset_2000__3[[#This Row],[Quantity]]*Excel_Advanced_Sales_Dataset_2000__3[[#This Row],[Unit Price]]-Excel_Advanced_Sales_Dataset_2000__3[[#This Row],[Discount Amount]]</f>
        <v>256684.21464000002</v>
      </c>
    </row>
    <row r="345" spans="1:20" x14ac:dyDescent="0.25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>
        <v>20</v>
      </c>
      <c r="J345" s="4">
        <v>9052.98</v>
      </c>
      <c r="K345" s="6">
        <v>4.3899999999999997</v>
      </c>
      <c r="L345" s="4">
        <v>173111.08</v>
      </c>
      <c r="M345" s="4" t="str" cm="1">
        <f t="array" ref="M345">IF(Excel_Advanced_Sales_Dataset_2000__3[[#This Row],[Total Sales]]&gt;50000,{"Yes"},{"No"})</f>
        <v>Yes</v>
      </c>
      <c r="N345" s="5">
        <v>46051</v>
      </c>
      <c r="O345" s="1" t="s">
        <v>24</v>
      </c>
      <c r="P345" t="s">
        <v>35</v>
      </c>
      <c r="Q345" t="str">
        <f>IF(Excel_Advanced_Sales_Dataset_2000__3[[#This Row],[Delivery Status]]="Pending","Follow Up","Ok")</f>
        <v>Ok</v>
      </c>
      <c r="R345" s="1" t="s">
        <v>26</v>
      </c>
      <c r="S345">
        <f>Excel_Advanced_Sales_Dataset_2000__3[[#This Row],[Quantity]]*Excel_Advanced_Sales_Dataset_2000__3[[#This Row],[Unit Price]]*Excel_Advanced_Sales_Dataset_2000__3[[#This Row],[Discount %]]/100</f>
        <v>7948.5164399999985</v>
      </c>
      <c r="T345" s="4">
        <f>Excel_Advanced_Sales_Dataset_2000__3[[#This Row],[Quantity]]*Excel_Advanced_Sales_Dataset_2000__3[[#This Row],[Unit Price]]-Excel_Advanced_Sales_Dataset_2000__3[[#This Row],[Discount Amount]]</f>
        <v>173111.08355999997</v>
      </c>
    </row>
    <row r="346" spans="1:20" x14ac:dyDescent="0.25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>
        <v>19</v>
      </c>
      <c r="J346" s="4">
        <v>31420.78</v>
      </c>
      <c r="K346" s="6">
        <v>12.67</v>
      </c>
      <c r="L346" s="4">
        <v>521355.58</v>
      </c>
      <c r="M346" s="4" t="str" cm="1">
        <f t="array" ref="M346">IF(Excel_Advanced_Sales_Dataset_2000__3[[#This Row],[Total Sales]]&gt;50000,{"Yes"},{"No"})</f>
        <v>Yes</v>
      </c>
      <c r="N346" s="5">
        <v>46246</v>
      </c>
      <c r="O346" s="1" t="s">
        <v>68</v>
      </c>
      <c r="P346" t="s">
        <v>35</v>
      </c>
      <c r="Q346" t="str">
        <f>IF(Excel_Advanced_Sales_Dataset_2000__3[[#This Row],[Delivery Status]]="Pending","Follow Up","Ok")</f>
        <v>Ok</v>
      </c>
      <c r="R346" s="1" t="s">
        <v>26</v>
      </c>
      <c r="S346">
        <f>Excel_Advanced_Sales_Dataset_2000__3[[#This Row],[Quantity]]*Excel_Advanced_Sales_Dataset_2000__3[[#This Row],[Unit Price]]*Excel_Advanced_Sales_Dataset_2000__3[[#This Row],[Discount %]]/100</f>
        <v>75639.24369399999</v>
      </c>
      <c r="T346" s="4">
        <f>Excel_Advanced_Sales_Dataset_2000__3[[#This Row],[Quantity]]*Excel_Advanced_Sales_Dataset_2000__3[[#This Row],[Unit Price]]-Excel_Advanced_Sales_Dataset_2000__3[[#This Row],[Discount Amount]]</f>
        <v>521355.57630599994</v>
      </c>
    </row>
    <row r="347" spans="1:20" x14ac:dyDescent="0.25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>
        <v>9</v>
      </c>
      <c r="J347" s="4">
        <v>31653.88</v>
      </c>
      <c r="K347" s="6">
        <v>7.43</v>
      </c>
      <c r="L347" s="4">
        <v>263717.96999999997</v>
      </c>
      <c r="M347" s="4" t="str" cm="1">
        <f t="array" ref="M347">IF(Excel_Advanced_Sales_Dataset_2000__3[[#This Row],[Total Sales]]&gt;50000,{"Yes"},{"No"})</f>
        <v>Yes</v>
      </c>
      <c r="N347" s="5">
        <v>46362</v>
      </c>
      <c r="O347" s="1" t="s">
        <v>68</v>
      </c>
      <c r="P347" t="s">
        <v>25</v>
      </c>
      <c r="Q347" t="str">
        <f>IF(Excel_Advanced_Sales_Dataset_2000__3[[#This Row],[Delivery Status]]="Pending","Follow Up","Ok")</f>
        <v>Follow Up</v>
      </c>
      <c r="R347" s="1" t="s">
        <v>53</v>
      </c>
      <c r="S347">
        <f>Excel_Advanced_Sales_Dataset_2000__3[[#This Row],[Quantity]]*Excel_Advanced_Sales_Dataset_2000__3[[#This Row],[Unit Price]]*Excel_Advanced_Sales_Dataset_2000__3[[#This Row],[Discount %]]/100</f>
        <v>21166.949556</v>
      </c>
      <c r="T347" s="4">
        <f>Excel_Advanced_Sales_Dataset_2000__3[[#This Row],[Quantity]]*Excel_Advanced_Sales_Dataset_2000__3[[#This Row],[Unit Price]]-Excel_Advanced_Sales_Dataset_2000__3[[#This Row],[Discount Amount]]</f>
        <v>263717.97044399998</v>
      </c>
    </row>
    <row r="348" spans="1:20" x14ac:dyDescent="0.25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>
        <v>43</v>
      </c>
      <c r="J348" s="4">
        <v>25754.81</v>
      </c>
      <c r="K348" s="6">
        <v>14.83</v>
      </c>
      <c r="L348" s="4">
        <v>943220.98</v>
      </c>
      <c r="M348" s="4" t="str" cm="1">
        <f t="array" ref="M348">IF(Excel_Advanced_Sales_Dataset_2000__3[[#This Row],[Total Sales]]&gt;50000,{"Yes"},{"No"})</f>
        <v>Yes</v>
      </c>
      <c r="N348" s="5">
        <v>46076</v>
      </c>
      <c r="O348" s="1" t="s">
        <v>68</v>
      </c>
      <c r="P348" t="s">
        <v>35</v>
      </c>
      <c r="Q348" t="str">
        <f>IF(Excel_Advanced_Sales_Dataset_2000__3[[#This Row],[Delivery Status]]="Pending","Follow Up","Ok")</f>
        <v>Ok</v>
      </c>
      <c r="R348" s="1" t="s">
        <v>53</v>
      </c>
      <c r="S348">
        <f>Excel_Advanced_Sales_Dataset_2000__3[[#This Row],[Quantity]]*Excel_Advanced_Sales_Dataset_2000__3[[#This Row],[Unit Price]]*Excel_Advanced_Sales_Dataset_2000__3[[#This Row],[Discount %]]/100</f>
        <v>164235.847889</v>
      </c>
      <c r="T348" s="4">
        <f>Excel_Advanced_Sales_Dataset_2000__3[[#This Row],[Quantity]]*Excel_Advanced_Sales_Dataset_2000__3[[#This Row],[Unit Price]]-Excel_Advanced_Sales_Dataset_2000__3[[#This Row],[Discount Amount]]</f>
        <v>943220.98211100011</v>
      </c>
    </row>
    <row r="349" spans="1:20" x14ac:dyDescent="0.25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>
        <v>45</v>
      </c>
      <c r="J349" s="4">
        <v>26932.14</v>
      </c>
      <c r="K349" s="6">
        <v>17.21</v>
      </c>
      <c r="L349" s="4">
        <v>1003370.34</v>
      </c>
      <c r="M349" s="4" t="str" cm="1">
        <f t="array" ref="M349">IF(Excel_Advanced_Sales_Dataset_2000__3[[#This Row],[Total Sales]]&gt;50000,{"Yes"},{"No"})</f>
        <v>Yes</v>
      </c>
      <c r="N349" s="5">
        <v>46080</v>
      </c>
      <c r="O349" s="1" t="s">
        <v>113</v>
      </c>
      <c r="P349" t="s">
        <v>35</v>
      </c>
      <c r="Q349" t="str">
        <f>IF(Excel_Advanced_Sales_Dataset_2000__3[[#This Row],[Delivery Status]]="Pending","Follow Up","Ok")</f>
        <v>Ok</v>
      </c>
      <c r="R349" s="1" t="s">
        <v>36</v>
      </c>
      <c r="S349">
        <f>Excel_Advanced_Sales_Dataset_2000__3[[#This Row],[Quantity]]*Excel_Advanced_Sales_Dataset_2000__3[[#This Row],[Unit Price]]*Excel_Advanced_Sales_Dataset_2000__3[[#This Row],[Discount %]]/100</f>
        <v>208575.95823000002</v>
      </c>
      <c r="T349" s="4">
        <f>Excel_Advanced_Sales_Dataset_2000__3[[#This Row],[Quantity]]*Excel_Advanced_Sales_Dataset_2000__3[[#This Row],[Unit Price]]-Excel_Advanced_Sales_Dataset_2000__3[[#This Row],[Discount Amount]]</f>
        <v>1003370.3417700001</v>
      </c>
    </row>
    <row r="350" spans="1:20" x14ac:dyDescent="0.25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>
        <v>27</v>
      </c>
      <c r="J350" s="4">
        <v>29570.1</v>
      </c>
      <c r="K350" s="6">
        <v>9.9499999999999993</v>
      </c>
      <c r="L350" s="4">
        <v>718952.63</v>
      </c>
      <c r="M350" s="4" t="str" cm="1">
        <f t="array" ref="M350">IF(Excel_Advanced_Sales_Dataset_2000__3[[#This Row],[Total Sales]]&gt;50000,{"Yes"},{"No"})</f>
        <v>Yes</v>
      </c>
      <c r="N350" s="5">
        <v>46289</v>
      </c>
      <c r="O350" s="1" t="s">
        <v>58</v>
      </c>
      <c r="P350" t="s">
        <v>59</v>
      </c>
      <c r="Q350" t="str">
        <f>IF(Excel_Advanced_Sales_Dataset_2000__3[[#This Row],[Delivery Status]]="Pending","Follow Up","Ok")</f>
        <v>Ok</v>
      </c>
      <c r="R350" s="1" t="s">
        <v>36</v>
      </c>
      <c r="S350">
        <f>Excel_Advanced_Sales_Dataset_2000__3[[#This Row],[Quantity]]*Excel_Advanced_Sales_Dataset_2000__3[[#This Row],[Unit Price]]*Excel_Advanced_Sales_Dataset_2000__3[[#This Row],[Discount %]]/100</f>
        <v>79440.073649999991</v>
      </c>
      <c r="T350" s="4">
        <f>Excel_Advanced_Sales_Dataset_2000__3[[#This Row],[Quantity]]*Excel_Advanced_Sales_Dataset_2000__3[[#This Row],[Unit Price]]-Excel_Advanced_Sales_Dataset_2000__3[[#This Row],[Discount Amount]]</f>
        <v>718952.62634999992</v>
      </c>
    </row>
    <row r="351" spans="1:20" x14ac:dyDescent="0.25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>
        <v>36</v>
      </c>
      <c r="J351" s="4">
        <v>33905.660000000003</v>
      </c>
      <c r="K351" s="6">
        <v>19.66</v>
      </c>
      <c r="L351" s="4">
        <v>980633.06</v>
      </c>
      <c r="M351" s="4" t="str" cm="1">
        <f t="array" ref="M351">IF(Excel_Advanced_Sales_Dataset_2000__3[[#This Row],[Total Sales]]&gt;50000,{"Yes"},{"No"})</f>
        <v>Yes</v>
      </c>
      <c r="N351" s="5">
        <v>46106</v>
      </c>
      <c r="O351" s="1" t="s">
        <v>113</v>
      </c>
      <c r="P351" t="s">
        <v>35</v>
      </c>
      <c r="Q351" t="str">
        <f>IF(Excel_Advanced_Sales_Dataset_2000__3[[#This Row],[Delivery Status]]="Pending","Follow Up","Ok")</f>
        <v>Ok</v>
      </c>
      <c r="R351" s="1" t="s">
        <v>26</v>
      </c>
      <c r="S351">
        <f>Excel_Advanced_Sales_Dataset_2000__3[[#This Row],[Quantity]]*Excel_Advanced_Sales_Dataset_2000__3[[#This Row],[Unit Price]]*Excel_Advanced_Sales_Dataset_2000__3[[#This Row],[Discount %]]/100</f>
        <v>239970.69921600007</v>
      </c>
      <c r="T351" s="4">
        <f>Excel_Advanced_Sales_Dataset_2000__3[[#This Row],[Quantity]]*Excel_Advanced_Sales_Dataset_2000__3[[#This Row],[Unit Price]]-Excel_Advanced_Sales_Dataset_2000__3[[#This Row],[Discount Amount]]</f>
        <v>980633.0607840002</v>
      </c>
    </row>
    <row r="352" spans="1:20" x14ac:dyDescent="0.25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>
        <v>42</v>
      </c>
      <c r="J352" s="4">
        <v>38890.769999999997</v>
      </c>
      <c r="K352" s="6">
        <v>12.32</v>
      </c>
      <c r="L352" s="4">
        <v>1432175.94</v>
      </c>
      <c r="M352" s="4" t="str" cm="1">
        <f t="array" ref="M352">IF(Excel_Advanced_Sales_Dataset_2000__3[[#This Row],[Total Sales]]&gt;50000,{"Yes"},{"No"})</f>
        <v>Yes</v>
      </c>
      <c r="N352" s="5">
        <v>46027</v>
      </c>
      <c r="O352" s="1" t="s">
        <v>68</v>
      </c>
      <c r="P352" t="s">
        <v>35</v>
      </c>
      <c r="Q352" t="str">
        <f>IF(Excel_Advanced_Sales_Dataset_2000__3[[#This Row],[Delivery Status]]="Pending","Follow Up","Ok")</f>
        <v>Ok</v>
      </c>
      <c r="R352" s="1" t="s">
        <v>36</v>
      </c>
      <c r="S352">
        <f>Excel_Advanced_Sales_Dataset_2000__3[[#This Row],[Quantity]]*Excel_Advanced_Sales_Dataset_2000__3[[#This Row],[Unit Price]]*Excel_Advanced_Sales_Dataset_2000__3[[#This Row],[Discount %]]/100</f>
        <v>201236.400288</v>
      </c>
      <c r="T352" s="4">
        <f>Excel_Advanced_Sales_Dataset_2000__3[[#This Row],[Quantity]]*Excel_Advanced_Sales_Dataset_2000__3[[#This Row],[Unit Price]]-Excel_Advanced_Sales_Dataset_2000__3[[#This Row],[Discount Amount]]</f>
        <v>1432175.9397119998</v>
      </c>
    </row>
    <row r="353" spans="1:20" x14ac:dyDescent="0.25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>
        <v>47</v>
      </c>
      <c r="J353" s="4">
        <v>11859.3</v>
      </c>
      <c r="K353" s="6">
        <v>19.66</v>
      </c>
      <c r="L353" s="4">
        <v>447804.8</v>
      </c>
      <c r="M353" s="4" t="str" cm="1">
        <f t="array" ref="M353">IF(Excel_Advanced_Sales_Dataset_2000__3[[#This Row],[Total Sales]]&gt;50000,{"Yes"},{"No"})</f>
        <v>Yes</v>
      </c>
      <c r="N353" s="5">
        <v>46334</v>
      </c>
      <c r="O353" s="1" t="s">
        <v>24</v>
      </c>
      <c r="P353" t="s">
        <v>35</v>
      </c>
      <c r="Q353" t="str">
        <f>IF(Excel_Advanced_Sales_Dataset_2000__3[[#This Row],[Delivery Status]]="Pending","Follow Up","Ok")</f>
        <v>Ok</v>
      </c>
      <c r="R353" s="1" t="s">
        <v>36</v>
      </c>
      <c r="S353">
        <f>Excel_Advanced_Sales_Dataset_2000__3[[#This Row],[Quantity]]*Excel_Advanced_Sales_Dataset_2000__3[[#This Row],[Unit Price]]*Excel_Advanced_Sales_Dataset_2000__3[[#This Row],[Discount %]]/100</f>
        <v>109582.30386</v>
      </c>
      <c r="T353" s="4">
        <f>Excel_Advanced_Sales_Dataset_2000__3[[#This Row],[Quantity]]*Excel_Advanced_Sales_Dataset_2000__3[[#This Row],[Unit Price]]-Excel_Advanced_Sales_Dataset_2000__3[[#This Row],[Discount Amount]]</f>
        <v>447804.79613999999</v>
      </c>
    </row>
    <row r="354" spans="1:20" x14ac:dyDescent="0.25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>
        <v>20</v>
      </c>
      <c r="J354" s="4">
        <v>37679.82</v>
      </c>
      <c r="K354" s="6">
        <v>15.84</v>
      </c>
      <c r="L354" s="4">
        <v>634226.73</v>
      </c>
      <c r="M354" s="4" t="str" cm="1">
        <f t="array" ref="M354">IF(Excel_Advanced_Sales_Dataset_2000__3[[#This Row],[Total Sales]]&gt;50000,{"Yes"},{"No"})</f>
        <v>Yes</v>
      </c>
      <c r="N354" s="5">
        <v>46138</v>
      </c>
      <c r="O354" s="1" t="s">
        <v>68</v>
      </c>
      <c r="P354" t="s">
        <v>35</v>
      </c>
      <c r="Q354" t="str">
        <f>IF(Excel_Advanced_Sales_Dataset_2000__3[[#This Row],[Delivery Status]]="Pending","Follow Up","Ok")</f>
        <v>Ok</v>
      </c>
      <c r="R354" s="1" t="s">
        <v>26</v>
      </c>
      <c r="S354">
        <f>Excel_Advanced_Sales_Dataset_2000__3[[#This Row],[Quantity]]*Excel_Advanced_Sales_Dataset_2000__3[[#This Row],[Unit Price]]*Excel_Advanced_Sales_Dataset_2000__3[[#This Row],[Discount %]]/100</f>
        <v>119369.66976</v>
      </c>
      <c r="T354" s="4">
        <f>Excel_Advanced_Sales_Dataset_2000__3[[#This Row],[Quantity]]*Excel_Advanced_Sales_Dataset_2000__3[[#This Row],[Unit Price]]-Excel_Advanced_Sales_Dataset_2000__3[[#This Row],[Discount Amount]]</f>
        <v>634226.73024000006</v>
      </c>
    </row>
    <row r="355" spans="1:20" x14ac:dyDescent="0.25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>
        <v>27</v>
      </c>
      <c r="J355" s="4">
        <v>30929.57</v>
      </c>
      <c r="K355" s="6">
        <v>3.76</v>
      </c>
      <c r="L355" s="4">
        <v>803698.69</v>
      </c>
      <c r="M355" s="4" t="str" cm="1">
        <f t="array" ref="M355">IF(Excel_Advanced_Sales_Dataset_2000__3[[#This Row],[Total Sales]]&gt;50000,{"Yes"},{"No"})</f>
        <v>Yes</v>
      </c>
      <c r="N355" s="5">
        <v>46377</v>
      </c>
      <c r="O355" s="1" t="s">
        <v>58</v>
      </c>
      <c r="P355" t="s">
        <v>35</v>
      </c>
      <c r="Q355" t="str">
        <f>IF(Excel_Advanced_Sales_Dataset_2000__3[[#This Row],[Delivery Status]]="Pending","Follow Up","Ok")</f>
        <v>Ok</v>
      </c>
      <c r="R355" s="1" t="s">
        <v>36</v>
      </c>
      <c r="S355">
        <f>Excel_Advanced_Sales_Dataset_2000__3[[#This Row],[Quantity]]*Excel_Advanced_Sales_Dataset_2000__3[[#This Row],[Unit Price]]*Excel_Advanced_Sales_Dataset_2000__3[[#This Row],[Discount %]]/100</f>
        <v>31399.699463999998</v>
      </c>
      <c r="T355" s="4">
        <f>Excel_Advanced_Sales_Dataset_2000__3[[#This Row],[Quantity]]*Excel_Advanced_Sales_Dataset_2000__3[[#This Row],[Unit Price]]-Excel_Advanced_Sales_Dataset_2000__3[[#This Row],[Discount Amount]]</f>
        <v>803698.69053600007</v>
      </c>
    </row>
    <row r="356" spans="1:20" x14ac:dyDescent="0.25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>
        <v>19</v>
      </c>
      <c r="J356" s="4">
        <v>48264.75</v>
      </c>
      <c r="K356" s="6">
        <v>8.07</v>
      </c>
      <c r="L356" s="4">
        <v>843025.91</v>
      </c>
      <c r="M356" s="4" t="str" cm="1">
        <f t="array" ref="M356">IF(Excel_Advanced_Sales_Dataset_2000__3[[#This Row],[Total Sales]]&gt;50000,{"Yes"},{"No"})</f>
        <v>Yes</v>
      </c>
      <c r="N356" s="5">
        <v>46328</v>
      </c>
      <c r="O356" s="1" t="s">
        <v>68</v>
      </c>
      <c r="P356" t="s">
        <v>35</v>
      </c>
      <c r="Q356" t="str">
        <f>IF(Excel_Advanced_Sales_Dataset_2000__3[[#This Row],[Delivery Status]]="Pending","Follow Up","Ok")</f>
        <v>Ok</v>
      </c>
      <c r="R356" s="1" t="s">
        <v>26</v>
      </c>
      <c r="S356">
        <f>Excel_Advanced_Sales_Dataset_2000__3[[#This Row],[Quantity]]*Excel_Advanced_Sales_Dataset_2000__3[[#This Row],[Unit Price]]*Excel_Advanced_Sales_Dataset_2000__3[[#This Row],[Discount %]]/100</f>
        <v>74004.341175000009</v>
      </c>
      <c r="T356" s="4">
        <f>Excel_Advanced_Sales_Dataset_2000__3[[#This Row],[Quantity]]*Excel_Advanced_Sales_Dataset_2000__3[[#This Row],[Unit Price]]-Excel_Advanced_Sales_Dataset_2000__3[[#This Row],[Discount Amount]]</f>
        <v>843025.90882500005</v>
      </c>
    </row>
    <row r="357" spans="1:20" x14ac:dyDescent="0.25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>
        <v>23</v>
      </c>
      <c r="J357" s="4">
        <v>12694.34</v>
      </c>
      <c r="K357" s="6">
        <v>2.0499999999999998</v>
      </c>
      <c r="L357" s="4">
        <v>285984.44</v>
      </c>
      <c r="M357" s="4" t="str" cm="1">
        <f t="array" ref="M357">IF(Excel_Advanced_Sales_Dataset_2000__3[[#This Row],[Total Sales]]&gt;50000,{"Yes"},{"No"})</f>
        <v>Yes</v>
      </c>
      <c r="N357" s="5">
        <v>46034</v>
      </c>
      <c r="O357" s="1" t="s">
        <v>45</v>
      </c>
      <c r="P357" t="s">
        <v>35</v>
      </c>
      <c r="Q357" t="str">
        <f>IF(Excel_Advanced_Sales_Dataset_2000__3[[#This Row],[Delivery Status]]="Pending","Follow Up","Ok")</f>
        <v>Ok</v>
      </c>
      <c r="R357" s="1" t="s">
        <v>26</v>
      </c>
      <c r="S357">
        <f>Excel_Advanced_Sales_Dataset_2000__3[[#This Row],[Quantity]]*Excel_Advanced_Sales_Dataset_2000__3[[#This Row],[Unit Price]]*Excel_Advanced_Sales_Dataset_2000__3[[#This Row],[Discount %]]/100</f>
        <v>5985.3813099999998</v>
      </c>
      <c r="T357" s="4">
        <f>Excel_Advanced_Sales_Dataset_2000__3[[#This Row],[Quantity]]*Excel_Advanced_Sales_Dataset_2000__3[[#This Row],[Unit Price]]-Excel_Advanced_Sales_Dataset_2000__3[[#This Row],[Discount Amount]]</f>
        <v>285984.43868999998</v>
      </c>
    </row>
    <row r="358" spans="1:20" x14ac:dyDescent="0.25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>
        <v>49</v>
      </c>
      <c r="J358" s="4">
        <v>22101.55</v>
      </c>
      <c r="K358" s="6">
        <v>19.57</v>
      </c>
      <c r="L358" s="4">
        <v>871037.56</v>
      </c>
      <c r="M358" s="4" t="str" cm="1">
        <f t="array" ref="M358">IF(Excel_Advanced_Sales_Dataset_2000__3[[#This Row],[Total Sales]]&gt;50000,{"Yes"},{"No"})</f>
        <v>Yes</v>
      </c>
      <c r="N358" s="5">
        <v>46034</v>
      </c>
      <c r="O358" s="1" t="s">
        <v>113</v>
      </c>
      <c r="P358" t="s">
        <v>35</v>
      </c>
      <c r="Q358" t="str">
        <f>IF(Excel_Advanced_Sales_Dataset_2000__3[[#This Row],[Delivery Status]]="Pending","Follow Up","Ok")</f>
        <v>Ok</v>
      </c>
      <c r="R358" s="1" t="s">
        <v>53</v>
      </c>
      <c r="S358">
        <f>Excel_Advanced_Sales_Dataset_2000__3[[#This Row],[Quantity]]*Excel_Advanced_Sales_Dataset_2000__3[[#This Row],[Unit Price]]*Excel_Advanced_Sales_Dataset_2000__3[[#This Row],[Discount %]]/100</f>
        <v>211938.393415</v>
      </c>
      <c r="T358" s="4">
        <f>Excel_Advanced_Sales_Dataset_2000__3[[#This Row],[Quantity]]*Excel_Advanced_Sales_Dataset_2000__3[[#This Row],[Unit Price]]-Excel_Advanced_Sales_Dataset_2000__3[[#This Row],[Discount Amount]]</f>
        <v>871037.5565849999</v>
      </c>
    </row>
    <row r="359" spans="1:20" x14ac:dyDescent="0.25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>
        <v>23</v>
      </c>
      <c r="J359" s="4">
        <v>38627.06</v>
      </c>
      <c r="K359" s="6">
        <v>1.33</v>
      </c>
      <c r="L359" s="4">
        <v>876606.36</v>
      </c>
      <c r="M359" s="4" t="str" cm="1">
        <f t="array" ref="M359">IF(Excel_Advanced_Sales_Dataset_2000__3[[#This Row],[Total Sales]]&gt;50000,{"Yes"},{"No"})</f>
        <v>Yes</v>
      </c>
      <c r="N359" s="5">
        <v>46075</v>
      </c>
      <c r="O359" s="1" t="s">
        <v>58</v>
      </c>
      <c r="P359" t="s">
        <v>35</v>
      </c>
      <c r="Q359" t="str">
        <f>IF(Excel_Advanced_Sales_Dataset_2000__3[[#This Row],[Delivery Status]]="Pending","Follow Up","Ok")</f>
        <v>Ok</v>
      </c>
      <c r="R359" s="1" t="s">
        <v>53</v>
      </c>
      <c r="S359">
        <f>Excel_Advanced_Sales_Dataset_2000__3[[#This Row],[Quantity]]*Excel_Advanced_Sales_Dataset_2000__3[[#This Row],[Unit Price]]*Excel_Advanced_Sales_Dataset_2000__3[[#This Row],[Discount %]]/100</f>
        <v>11816.017653999999</v>
      </c>
      <c r="T359" s="4">
        <f>Excel_Advanced_Sales_Dataset_2000__3[[#This Row],[Quantity]]*Excel_Advanced_Sales_Dataset_2000__3[[#This Row],[Unit Price]]-Excel_Advanced_Sales_Dataset_2000__3[[#This Row],[Discount Amount]]</f>
        <v>876606.36234599992</v>
      </c>
    </row>
    <row r="360" spans="1:20" x14ac:dyDescent="0.25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>
        <v>29</v>
      </c>
      <c r="J360" s="4">
        <v>10659.04</v>
      </c>
      <c r="K360" s="6">
        <v>11.09</v>
      </c>
      <c r="L360" s="4">
        <v>274831.62</v>
      </c>
      <c r="M360" s="4" t="str" cm="1">
        <f t="array" ref="M360">IF(Excel_Advanced_Sales_Dataset_2000__3[[#This Row],[Total Sales]]&gt;50000,{"Yes"},{"No"})</f>
        <v>Yes</v>
      </c>
      <c r="N360" s="5">
        <v>46300</v>
      </c>
      <c r="O360" s="1" t="s">
        <v>45</v>
      </c>
      <c r="P360" t="s">
        <v>35</v>
      </c>
      <c r="Q360" t="str">
        <f>IF(Excel_Advanced_Sales_Dataset_2000__3[[#This Row],[Delivery Status]]="Pending","Follow Up","Ok")</f>
        <v>Ok</v>
      </c>
      <c r="R360" s="1" t="s">
        <v>26</v>
      </c>
      <c r="S360">
        <f>Excel_Advanced_Sales_Dataset_2000__3[[#This Row],[Quantity]]*Excel_Advanced_Sales_Dataset_2000__3[[#This Row],[Unit Price]]*Excel_Advanced_Sales_Dataset_2000__3[[#This Row],[Discount %]]/100</f>
        <v>34280.538544000003</v>
      </c>
      <c r="T360" s="4">
        <f>Excel_Advanced_Sales_Dataset_2000__3[[#This Row],[Quantity]]*Excel_Advanced_Sales_Dataset_2000__3[[#This Row],[Unit Price]]-Excel_Advanced_Sales_Dataset_2000__3[[#This Row],[Discount Amount]]</f>
        <v>274831.62145600002</v>
      </c>
    </row>
    <row r="361" spans="1:20" x14ac:dyDescent="0.25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>
        <v>13</v>
      </c>
      <c r="J361" s="4">
        <v>11247.49</v>
      </c>
      <c r="K361" s="6">
        <v>5.57</v>
      </c>
      <c r="L361" s="4">
        <v>138073.06</v>
      </c>
      <c r="M361" s="4" t="str" cm="1">
        <f t="array" ref="M361">IF(Excel_Advanced_Sales_Dataset_2000__3[[#This Row],[Total Sales]]&gt;50000,{"Yes"},{"No"})</f>
        <v>Yes</v>
      </c>
      <c r="N361" s="5">
        <v>46071</v>
      </c>
      <c r="O361" s="1" t="s">
        <v>24</v>
      </c>
      <c r="P361" t="s">
        <v>35</v>
      </c>
      <c r="Q361" t="str">
        <f>IF(Excel_Advanced_Sales_Dataset_2000__3[[#This Row],[Delivery Status]]="Pending","Follow Up","Ok")</f>
        <v>Ok</v>
      </c>
      <c r="R361" s="1" t="s">
        <v>26</v>
      </c>
      <c r="S361">
        <f>Excel_Advanced_Sales_Dataset_2000__3[[#This Row],[Quantity]]*Excel_Advanced_Sales_Dataset_2000__3[[#This Row],[Unit Price]]*Excel_Advanced_Sales_Dataset_2000__3[[#This Row],[Discount %]]/100</f>
        <v>8144.3075090000002</v>
      </c>
      <c r="T361" s="4">
        <f>Excel_Advanced_Sales_Dataset_2000__3[[#This Row],[Quantity]]*Excel_Advanced_Sales_Dataset_2000__3[[#This Row],[Unit Price]]-Excel_Advanced_Sales_Dataset_2000__3[[#This Row],[Discount Amount]]</f>
        <v>138073.06249099999</v>
      </c>
    </row>
    <row r="362" spans="1:20" x14ac:dyDescent="0.25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>
        <v>10</v>
      </c>
      <c r="J362" s="4">
        <v>33367.1</v>
      </c>
      <c r="K362" s="6">
        <v>16.03</v>
      </c>
      <c r="L362" s="4">
        <v>280183.53999999998</v>
      </c>
      <c r="M362" s="4" t="str" cm="1">
        <f t="array" ref="M362">IF(Excel_Advanced_Sales_Dataset_2000__3[[#This Row],[Total Sales]]&gt;50000,{"Yes"},{"No"})</f>
        <v>Yes</v>
      </c>
      <c r="N362" s="5">
        <v>46153</v>
      </c>
      <c r="O362" s="1" t="s">
        <v>68</v>
      </c>
      <c r="P362" t="s">
        <v>25</v>
      </c>
      <c r="Q362" t="str">
        <f>IF(Excel_Advanced_Sales_Dataset_2000__3[[#This Row],[Delivery Status]]="Pending","Follow Up","Ok")</f>
        <v>Follow Up</v>
      </c>
      <c r="R362" s="1" t="s">
        <v>26</v>
      </c>
      <c r="S362">
        <f>Excel_Advanced_Sales_Dataset_2000__3[[#This Row],[Quantity]]*Excel_Advanced_Sales_Dataset_2000__3[[#This Row],[Unit Price]]*Excel_Advanced_Sales_Dataset_2000__3[[#This Row],[Discount %]]/100</f>
        <v>53487.46130000001</v>
      </c>
      <c r="T362" s="4">
        <f>Excel_Advanced_Sales_Dataset_2000__3[[#This Row],[Quantity]]*Excel_Advanced_Sales_Dataset_2000__3[[#This Row],[Unit Price]]-Excel_Advanced_Sales_Dataset_2000__3[[#This Row],[Discount Amount]]</f>
        <v>280183.53869999998</v>
      </c>
    </row>
    <row r="363" spans="1:20" x14ac:dyDescent="0.25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>
        <v>6</v>
      </c>
      <c r="J363" s="4">
        <v>18581.3</v>
      </c>
      <c r="K363" s="6">
        <v>10.65</v>
      </c>
      <c r="L363" s="4">
        <v>99614.35</v>
      </c>
      <c r="M363" s="4" t="str" cm="1">
        <f t="array" ref="M363">IF(Excel_Advanced_Sales_Dataset_2000__3[[#This Row],[Total Sales]]&gt;50000,{"Yes"},{"No"})</f>
        <v>Yes</v>
      </c>
      <c r="N363" s="5">
        <v>46309</v>
      </c>
      <c r="O363" s="1" t="s">
        <v>45</v>
      </c>
      <c r="P363" t="s">
        <v>25</v>
      </c>
      <c r="Q363" t="str">
        <f>IF(Excel_Advanced_Sales_Dataset_2000__3[[#This Row],[Delivery Status]]="Pending","Follow Up","Ok")</f>
        <v>Follow Up</v>
      </c>
      <c r="R363" s="1" t="s">
        <v>36</v>
      </c>
      <c r="S363">
        <f>Excel_Advanced_Sales_Dataset_2000__3[[#This Row],[Quantity]]*Excel_Advanced_Sales_Dataset_2000__3[[#This Row],[Unit Price]]*Excel_Advanced_Sales_Dataset_2000__3[[#This Row],[Discount %]]/100</f>
        <v>11873.450699999998</v>
      </c>
      <c r="T363" s="4">
        <f>Excel_Advanced_Sales_Dataset_2000__3[[#This Row],[Quantity]]*Excel_Advanced_Sales_Dataset_2000__3[[#This Row],[Unit Price]]-Excel_Advanced_Sales_Dataset_2000__3[[#This Row],[Discount Amount]]</f>
        <v>99614.349299999987</v>
      </c>
    </row>
    <row r="364" spans="1:20" x14ac:dyDescent="0.25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>
        <v>47</v>
      </c>
      <c r="J364" s="4">
        <v>36572.03</v>
      </c>
      <c r="K364" s="6">
        <v>4.67</v>
      </c>
      <c r="L364" s="4">
        <v>1638613.46</v>
      </c>
      <c r="M364" s="4" t="str" cm="1">
        <f t="array" ref="M364">IF(Excel_Advanced_Sales_Dataset_2000__3[[#This Row],[Total Sales]]&gt;50000,{"Yes"},{"No"})</f>
        <v>Yes</v>
      </c>
      <c r="N364" s="5">
        <v>46385</v>
      </c>
      <c r="O364" s="1" t="s">
        <v>58</v>
      </c>
      <c r="P364" t="s">
        <v>25</v>
      </c>
      <c r="Q364" t="str">
        <f>IF(Excel_Advanced_Sales_Dataset_2000__3[[#This Row],[Delivery Status]]="Pending","Follow Up","Ok")</f>
        <v>Follow Up</v>
      </c>
      <c r="R364" s="1" t="s">
        <v>26</v>
      </c>
      <c r="S364">
        <f>Excel_Advanced_Sales_Dataset_2000__3[[#This Row],[Quantity]]*Excel_Advanced_Sales_Dataset_2000__3[[#This Row],[Unit Price]]*Excel_Advanced_Sales_Dataset_2000__3[[#This Row],[Discount %]]/100</f>
        <v>80271.948646999997</v>
      </c>
      <c r="T364" s="4">
        <f>Excel_Advanced_Sales_Dataset_2000__3[[#This Row],[Quantity]]*Excel_Advanced_Sales_Dataset_2000__3[[#This Row],[Unit Price]]-Excel_Advanced_Sales_Dataset_2000__3[[#This Row],[Discount Amount]]</f>
        <v>1638613.461353</v>
      </c>
    </row>
    <row r="365" spans="1:20" x14ac:dyDescent="0.25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>
        <v>35</v>
      </c>
      <c r="J365" s="4">
        <v>47742.93</v>
      </c>
      <c r="K365" s="6">
        <v>1.94</v>
      </c>
      <c r="L365" s="4">
        <v>1638585.1</v>
      </c>
      <c r="M365" s="4" t="str" cm="1">
        <f t="array" ref="M365">IF(Excel_Advanced_Sales_Dataset_2000__3[[#This Row],[Total Sales]]&gt;50000,{"Yes"},{"No"})</f>
        <v>Yes</v>
      </c>
      <c r="N365" s="5">
        <v>46146</v>
      </c>
      <c r="O365" s="1" t="s">
        <v>58</v>
      </c>
      <c r="P365" t="s">
        <v>35</v>
      </c>
      <c r="Q365" t="str">
        <f>IF(Excel_Advanced_Sales_Dataset_2000__3[[#This Row],[Delivery Status]]="Pending","Follow Up","Ok")</f>
        <v>Ok</v>
      </c>
      <c r="R365" s="1" t="s">
        <v>53</v>
      </c>
      <c r="S365">
        <f>Excel_Advanced_Sales_Dataset_2000__3[[#This Row],[Quantity]]*Excel_Advanced_Sales_Dataset_2000__3[[#This Row],[Unit Price]]*Excel_Advanced_Sales_Dataset_2000__3[[#This Row],[Discount %]]/100</f>
        <v>32417.449470000003</v>
      </c>
      <c r="T365" s="4">
        <f>Excel_Advanced_Sales_Dataset_2000__3[[#This Row],[Quantity]]*Excel_Advanced_Sales_Dataset_2000__3[[#This Row],[Unit Price]]-Excel_Advanced_Sales_Dataset_2000__3[[#This Row],[Discount Amount]]</f>
        <v>1638585.1005299999</v>
      </c>
    </row>
    <row r="366" spans="1:20" x14ac:dyDescent="0.25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>
        <v>5</v>
      </c>
      <c r="J366" s="4">
        <v>5691.48</v>
      </c>
      <c r="K366" s="6">
        <v>4.79</v>
      </c>
      <c r="L366" s="4">
        <v>27094.29</v>
      </c>
      <c r="M366" s="4" t="str" cm="1">
        <f t="array" ref="M366">IF(Excel_Advanced_Sales_Dataset_2000__3[[#This Row],[Total Sales]]&gt;50000,{"Yes"},{"No"})</f>
        <v>No</v>
      </c>
      <c r="N366" s="5">
        <v>46373</v>
      </c>
      <c r="O366" s="1" t="s">
        <v>58</v>
      </c>
      <c r="P366" t="s">
        <v>35</v>
      </c>
      <c r="Q366" t="str">
        <f>IF(Excel_Advanced_Sales_Dataset_2000__3[[#This Row],[Delivery Status]]="Pending","Follow Up","Ok")</f>
        <v>Ok</v>
      </c>
      <c r="R366" s="1" t="s">
        <v>36</v>
      </c>
      <c r="S366">
        <f>Excel_Advanced_Sales_Dataset_2000__3[[#This Row],[Quantity]]*Excel_Advanced_Sales_Dataset_2000__3[[#This Row],[Unit Price]]*Excel_Advanced_Sales_Dataset_2000__3[[#This Row],[Discount %]]/100</f>
        <v>1363.1094599999999</v>
      </c>
      <c r="T366" s="4">
        <f>Excel_Advanced_Sales_Dataset_2000__3[[#This Row],[Quantity]]*Excel_Advanced_Sales_Dataset_2000__3[[#This Row],[Unit Price]]-Excel_Advanced_Sales_Dataset_2000__3[[#This Row],[Discount Amount]]</f>
        <v>27094.290539999998</v>
      </c>
    </row>
    <row r="367" spans="1:20" x14ac:dyDescent="0.25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>
        <v>44</v>
      </c>
      <c r="J367" s="4">
        <v>45537.03</v>
      </c>
      <c r="K367" s="6">
        <v>4.3499999999999996</v>
      </c>
      <c r="L367" s="4">
        <v>1916471.44</v>
      </c>
      <c r="M367" s="4" t="str" cm="1">
        <f t="array" ref="M367">IF(Excel_Advanced_Sales_Dataset_2000__3[[#This Row],[Total Sales]]&gt;50000,{"Yes"},{"No"})</f>
        <v>Yes</v>
      </c>
      <c r="N367" s="5">
        <v>46292</v>
      </c>
      <c r="O367" s="1" t="s">
        <v>58</v>
      </c>
      <c r="P367" t="s">
        <v>35</v>
      </c>
      <c r="Q367" t="str">
        <f>IF(Excel_Advanced_Sales_Dataset_2000__3[[#This Row],[Delivery Status]]="Pending","Follow Up","Ok")</f>
        <v>Ok</v>
      </c>
      <c r="R367" s="1" t="s">
        <v>36</v>
      </c>
      <c r="S367">
        <f>Excel_Advanced_Sales_Dataset_2000__3[[#This Row],[Quantity]]*Excel_Advanced_Sales_Dataset_2000__3[[#This Row],[Unit Price]]*Excel_Advanced_Sales_Dataset_2000__3[[#This Row],[Discount %]]/100</f>
        <v>87157.875419999997</v>
      </c>
      <c r="T367" s="4">
        <f>Excel_Advanced_Sales_Dataset_2000__3[[#This Row],[Quantity]]*Excel_Advanced_Sales_Dataset_2000__3[[#This Row],[Unit Price]]-Excel_Advanced_Sales_Dataset_2000__3[[#This Row],[Discount Amount]]</f>
        <v>1916471.4445799999</v>
      </c>
    </row>
    <row r="368" spans="1:20" x14ac:dyDescent="0.25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>
        <v>38</v>
      </c>
      <c r="J368" s="4">
        <v>49725.51</v>
      </c>
      <c r="K368" s="6">
        <v>14.17</v>
      </c>
      <c r="L368" s="4">
        <v>1621817.4</v>
      </c>
      <c r="M368" s="4" t="str" cm="1">
        <f t="array" ref="M368">IF(Excel_Advanced_Sales_Dataset_2000__3[[#This Row],[Total Sales]]&gt;50000,{"Yes"},{"No"})</f>
        <v>Yes</v>
      </c>
      <c r="N368" s="5">
        <v>46039</v>
      </c>
      <c r="O368" s="1" t="s">
        <v>113</v>
      </c>
      <c r="P368" t="s">
        <v>59</v>
      </c>
      <c r="Q368" t="str">
        <f>IF(Excel_Advanced_Sales_Dataset_2000__3[[#This Row],[Delivery Status]]="Pending","Follow Up","Ok")</f>
        <v>Ok</v>
      </c>
      <c r="R368" s="1" t="s">
        <v>53</v>
      </c>
      <c r="S368">
        <f>Excel_Advanced_Sales_Dataset_2000__3[[#This Row],[Quantity]]*Excel_Advanced_Sales_Dataset_2000__3[[#This Row],[Unit Price]]*Excel_Advanced_Sales_Dataset_2000__3[[#This Row],[Discount %]]/100</f>
        <v>267751.98114600003</v>
      </c>
      <c r="T368" s="4">
        <f>Excel_Advanced_Sales_Dataset_2000__3[[#This Row],[Quantity]]*Excel_Advanced_Sales_Dataset_2000__3[[#This Row],[Unit Price]]-Excel_Advanced_Sales_Dataset_2000__3[[#This Row],[Discount Amount]]</f>
        <v>1621817.398854</v>
      </c>
    </row>
    <row r="369" spans="1:20" x14ac:dyDescent="0.25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>
        <v>32</v>
      </c>
      <c r="J369" s="4">
        <v>14568.69</v>
      </c>
      <c r="K369" s="6">
        <v>16.64</v>
      </c>
      <c r="L369" s="4">
        <v>388622.72</v>
      </c>
      <c r="M369" s="4" t="str" cm="1">
        <f t="array" ref="M369">IF(Excel_Advanced_Sales_Dataset_2000__3[[#This Row],[Total Sales]]&gt;50000,{"Yes"},{"No"})</f>
        <v>Yes</v>
      </c>
      <c r="N369" s="5">
        <v>46342</v>
      </c>
      <c r="O369" s="1" t="s">
        <v>45</v>
      </c>
      <c r="P369" t="s">
        <v>35</v>
      </c>
      <c r="Q369" t="str">
        <f>IF(Excel_Advanced_Sales_Dataset_2000__3[[#This Row],[Delivery Status]]="Pending","Follow Up","Ok")</f>
        <v>Ok</v>
      </c>
      <c r="R369" s="1" t="s">
        <v>26</v>
      </c>
      <c r="S369">
        <f>Excel_Advanced_Sales_Dataset_2000__3[[#This Row],[Quantity]]*Excel_Advanced_Sales_Dataset_2000__3[[#This Row],[Unit Price]]*Excel_Advanced_Sales_Dataset_2000__3[[#This Row],[Discount %]]/100</f>
        <v>77575.360511999999</v>
      </c>
      <c r="T369" s="4">
        <f>Excel_Advanced_Sales_Dataset_2000__3[[#This Row],[Quantity]]*Excel_Advanced_Sales_Dataset_2000__3[[#This Row],[Unit Price]]-Excel_Advanced_Sales_Dataset_2000__3[[#This Row],[Discount Amount]]</f>
        <v>388622.71948800003</v>
      </c>
    </row>
    <row r="370" spans="1:20" x14ac:dyDescent="0.25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>
        <v>16</v>
      </c>
      <c r="J370" s="4">
        <v>5482.04</v>
      </c>
      <c r="K370" s="6">
        <v>15.07</v>
      </c>
      <c r="L370" s="4">
        <v>74494.350000000006</v>
      </c>
      <c r="M370" s="4" t="str" cm="1">
        <f t="array" ref="M370">IF(Excel_Advanced_Sales_Dataset_2000__3[[#This Row],[Total Sales]]&gt;50000,{"Yes"},{"No"})</f>
        <v>Yes</v>
      </c>
      <c r="N370" s="5">
        <v>46379</v>
      </c>
      <c r="O370" s="1" t="s">
        <v>24</v>
      </c>
      <c r="P370" t="s">
        <v>35</v>
      </c>
      <c r="Q370" t="str">
        <f>IF(Excel_Advanced_Sales_Dataset_2000__3[[#This Row],[Delivery Status]]="Pending","Follow Up","Ok")</f>
        <v>Ok</v>
      </c>
      <c r="R370" s="1" t="s">
        <v>36</v>
      </c>
      <c r="S370">
        <f>Excel_Advanced_Sales_Dataset_2000__3[[#This Row],[Quantity]]*Excel_Advanced_Sales_Dataset_2000__3[[#This Row],[Unit Price]]*Excel_Advanced_Sales_Dataset_2000__3[[#This Row],[Discount %]]/100</f>
        <v>13218.294848</v>
      </c>
      <c r="T370" s="4">
        <f>Excel_Advanced_Sales_Dataset_2000__3[[#This Row],[Quantity]]*Excel_Advanced_Sales_Dataset_2000__3[[#This Row],[Unit Price]]-Excel_Advanced_Sales_Dataset_2000__3[[#This Row],[Discount Amount]]</f>
        <v>74494.345151999994</v>
      </c>
    </row>
    <row r="371" spans="1:20" x14ac:dyDescent="0.25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>
        <v>13</v>
      </c>
      <c r="J371" s="4">
        <v>43786.080000000002</v>
      </c>
      <c r="K371" s="6">
        <v>19.12</v>
      </c>
      <c r="L371" s="4">
        <v>460384.36</v>
      </c>
      <c r="M371" s="4" t="str" cm="1">
        <f t="array" ref="M371">IF(Excel_Advanced_Sales_Dataset_2000__3[[#This Row],[Total Sales]]&gt;50000,{"Yes"},{"No"})</f>
        <v>Yes</v>
      </c>
      <c r="N371" s="5">
        <v>46262</v>
      </c>
      <c r="O371" s="1" t="s">
        <v>24</v>
      </c>
      <c r="P371" t="s">
        <v>35</v>
      </c>
      <c r="Q371" t="str">
        <f>IF(Excel_Advanced_Sales_Dataset_2000__3[[#This Row],[Delivery Status]]="Pending","Follow Up","Ok")</f>
        <v>Ok</v>
      </c>
      <c r="R371" s="1" t="s">
        <v>53</v>
      </c>
      <c r="S371">
        <f>Excel_Advanced_Sales_Dataset_2000__3[[#This Row],[Quantity]]*Excel_Advanced_Sales_Dataset_2000__3[[#This Row],[Unit Price]]*Excel_Advanced_Sales_Dataset_2000__3[[#This Row],[Discount %]]/100</f>
        <v>108834.68044800003</v>
      </c>
      <c r="T371" s="4">
        <f>Excel_Advanced_Sales_Dataset_2000__3[[#This Row],[Quantity]]*Excel_Advanced_Sales_Dataset_2000__3[[#This Row],[Unit Price]]-Excel_Advanced_Sales_Dataset_2000__3[[#This Row],[Discount Amount]]</f>
        <v>460384.35955200001</v>
      </c>
    </row>
    <row r="372" spans="1:20" x14ac:dyDescent="0.25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>
        <v>5</v>
      </c>
      <c r="J372" s="4">
        <v>21712.32</v>
      </c>
      <c r="K372" s="6">
        <v>9.5</v>
      </c>
      <c r="L372" s="4">
        <v>98248.25</v>
      </c>
      <c r="M372" s="4" t="str" cm="1">
        <f t="array" ref="M372">IF(Excel_Advanced_Sales_Dataset_2000__3[[#This Row],[Total Sales]]&gt;50000,{"Yes"},{"No"})</f>
        <v>Yes</v>
      </c>
      <c r="N372" s="5">
        <v>46368</v>
      </c>
      <c r="O372" s="1" t="s">
        <v>58</v>
      </c>
      <c r="P372" t="s">
        <v>35</v>
      </c>
      <c r="Q372" t="str">
        <f>IF(Excel_Advanced_Sales_Dataset_2000__3[[#This Row],[Delivery Status]]="Pending","Follow Up","Ok")</f>
        <v>Ok</v>
      </c>
      <c r="R372" s="1" t="s">
        <v>36</v>
      </c>
      <c r="S372">
        <f>Excel_Advanced_Sales_Dataset_2000__3[[#This Row],[Quantity]]*Excel_Advanced_Sales_Dataset_2000__3[[#This Row],[Unit Price]]*Excel_Advanced_Sales_Dataset_2000__3[[#This Row],[Discount %]]/100</f>
        <v>10313.352000000001</v>
      </c>
      <c r="T372" s="4">
        <f>Excel_Advanced_Sales_Dataset_2000__3[[#This Row],[Quantity]]*Excel_Advanced_Sales_Dataset_2000__3[[#This Row],[Unit Price]]-Excel_Advanced_Sales_Dataset_2000__3[[#This Row],[Discount Amount]]</f>
        <v>98248.248000000007</v>
      </c>
    </row>
    <row r="373" spans="1:20" x14ac:dyDescent="0.25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>
        <v>25</v>
      </c>
      <c r="J373" s="4">
        <v>15655.34</v>
      </c>
      <c r="K373" s="6">
        <v>7.64</v>
      </c>
      <c r="L373" s="4">
        <v>361481.8</v>
      </c>
      <c r="M373" s="4" t="str" cm="1">
        <f t="array" ref="M373">IF(Excel_Advanced_Sales_Dataset_2000__3[[#This Row],[Total Sales]]&gt;50000,{"Yes"},{"No"})</f>
        <v>Yes</v>
      </c>
      <c r="N373" s="5">
        <v>46178</v>
      </c>
      <c r="O373" s="1" t="s">
        <v>58</v>
      </c>
      <c r="P373" t="s">
        <v>25</v>
      </c>
      <c r="Q373" t="str">
        <f>IF(Excel_Advanced_Sales_Dataset_2000__3[[#This Row],[Delivery Status]]="Pending","Follow Up","Ok")</f>
        <v>Follow Up</v>
      </c>
      <c r="R373" s="1" t="s">
        <v>36</v>
      </c>
      <c r="S373">
        <f>Excel_Advanced_Sales_Dataset_2000__3[[#This Row],[Quantity]]*Excel_Advanced_Sales_Dataset_2000__3[[#This Row],[Unit Price]]*Excel_Advanced_Sales_Dataset_2000__3[[#This Row],[Discount %]]/100</f>
        <v>29901.699399999998</v>
      </c>
      <c r="T373" s="4">
        <f>Excel_Advanced_Sales_Dataset_2000__3[[#This Row],[Quantity]]*Excel_Advanced_Sales_Dataset_2000__3[[#This Row],[Unit Price]]-Excel_Advanced_Sales_Dataset_2000__3[[#This Row],[Discount Amount]]</f>
        <v>361481.80060000002</v>
      </c>
    </row>
    <row r="374" spans="1:20" x14ac:dyDescent="0.25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>
        <v>1</v>
      </c>
      <c r="J374" s="4">
        <v>21148.04</v>
      </c>
      <c r="K374" s="6">
        <v>17.54</v>
      </c>
      <c r="L374" s="4">
        <v>17438.669999999998</v>
      </c>
      <c r="M374" s="4" t="str" cm="1">
        <f t="array" ref="M374">IF(Excel_Advanced_Sales_Dataset_2000__3[[#This Row],[Total Sales]]&gt;50000,{"Yes"},{"No"})</f>
        <v>No</v>
      </c>
      <c r="N374" s="5">
        <v>46246</v>
      </c>
      <c r="O374" s="1" t="s">
        <v>68</v>
      </c>
      <c r="P374" t="s">
        <v>35</v>
      </c>
      <c r="Q374" t="str">
        <f>IF(Excel_Advanced_Sales_Dataset_2000__3[[#This Row],[Delivery Status]]="Pending","Follow Up","Ok")</f>
        <v>Ok</v>
      </c>
      <c r="R374" s="1" t="s">
        <v>53</v>
      </c>
      <c r="S374">
        <f>Excel_Advanced_Sales_Dataset_2000__3[[#This Row],[Quantity]]*Excel_Advanced_Sales_Dataset_2000__3[[#This Row],[Unit Price]]*Excel_Advanced_Sales_Dataset_2000__3[[#This Row],[Discount %]]/100</f>
        <v>3709.3662160000003</v>
      </c>
      <c r="T374" s="4">
        <f>Excel_Advanced_Sales_Dataset_2000__3[[#This Row],[Quantity]]*Excel_Advanced_Sales_Dataset_2000__3[[#This Row],[Unit Price]]-Excel_Advanced_Sales_Dataset_2000__3[[#This Row],[Discount Amount]]</f>
        <v>17438.673783999999</v>
      </c>
    </row>
    <row r="375" spans="1:20" x14ac:dyDescent="0.25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>
        <v>6</v>
      </c>
      <c r="J375" s="4">
        <v>16085.62</v>
      </c>
      <c r="K375" s="6">
        <v>1.21</v>
      </c>
      <c r="L375" s="4">
        <v>95345.9</v>
      </c>
      <c r="M375" s="4" t="str" cm="1">
        <f t="array" ref="M375">IF(Excel_Advanced_Sales_Dataset_2000__3[[#This Row],[Total Sales]]&gt;50000,{"Yes"},{"No"})</f>
        <v>Yes</v>
      </c>
      <c r="N375" s="5">
        <v>46294</v>
      </c>
      <c r="O375" s="1" t="s">
        <v>45</v>
      </c>
      <c r="P375" t="s">
        <v>25</v>
      </c>
      <c r="Q375" t="str">
        <f>IF(Excel_Advanced_Sales_Dataset_2000__3[[#This Row],[Delivery Status]]="Pending","Follow Up","Ok")</f>
        <v>Follow Up</v>
      </c>
      <c r="R375" s="1" t="s">
        <v>53</v>
      </c>
      <c r="S375">
        <f>Excel_Advanced_Sales_Dataset_2000__3[[#This Row],[Quantity]]*Excel_Advanced_Sales_Dataset_2000__3[[#This Row],[Unit Price]]*Excel_Advanced_Sales_Dataset_2000__3[[#This Row],[Discount %]]/100</f>
        <v>1167.816012</v>
      </c>
      <c r="T375" s="4">
        <f>Excel_Advanced_Sales_Dataset_2000__3[[#This Row],[Quantity]]*Excel_Advanced_Sales_Dataset_2000__3[[#This Row],[Unit Price]]-Excel_Advanced_Sales_Dataset_2000__3[[#This Row],[Discount Amount]]</f>
        <v>95345.903988000005</v>
      </c>
    </row>
    <row r="376" spans="1:20" x14ac:dyDescent="0.25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>
        <v>33</v>
      </c>
      <c r="J376" s="4">
        <v>29810.39</v>
      </c>
      <c r="K376" s="6">
        <v>15.17</v>
      </c>
      <c r="L376" s="4">
        <v>834509.08</v>
      </c>
      <c r="M376" s="4" t="str" cm="1">
        <f t="array" ref="M376">IF(Excel_Advanced_Sales_Dataset_2000__3[[#This Row],[Total Sales]]&gt;50000,{"Yes"},{"No"})</f>
        <v>Yes</v>
      </c>
      <c r="N376" s="5">
        <v>46327</v>
      </c>
      <c r="O376" s="1" t="s">
        <v>45</v>
      </c>
      <c r="P376" t="s">
        <v>35</v>
      </c>
      <c r="Q376" t="str">
        <f>IF(Excel_Advanced_Sales_Dataset_2000__3[[#This Row],[Delivery Status]]="Pending","Follow Up","Ok")</f>
        <v>Ok</v>
      </c>
      <c r="R376" s="1" t="s">
        <v>26</v>
      </c>
      <c r="S376">
        <f>Excel_Advanced_Sales_Dataset_2000__3[[#This Row],[Quantity]]*Excel_Advanced_Sales_Dataset_2000__3[[#This Row],[Unit Price]]*Excel_Advanced_Sales_Dataset_2000__3[[#This Row],[Discount %]]/100</f>
        <v>149233.79337900001</v>
      </c>
      <c r="T376" s="4">
        <f>Excel_Advanced_Sales_Dataset_2000__3[[#This Row],[Quantity]]*Excel_Advanced_Sales_Dataset_2000__3[[#This Row],[Unit Price]]-Excel_Advanced_Sales_Dataset_2000__3[[#This Row],[Discount Amount]]</f>
        <v>834509.07662099996</v>
      </c>
    </row>
    <row r="377" spans="1:20" x14ac:dyDescent="0.25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>
        <v>4</v>
      </c>
      <c r="J377" s="4">
        <v>21357.55</v>
      </c>
      <c r="K377" s="6">
        <v>11.45</v>
      </c>
      <c r="L377" s="4">
        <v>75648.44</v>
      </c>
      <c r="M377" s="4" t="str" cm="1">
        <f t="array" ref="M377">IF(Excel_Advanced_Sales_Dataset_2000__3[[#This Row],[Total Sales]]&gt;50000,{"Yes"},{"No"})</f>
        <v>Yes</v>
      </c>
      <c r="N377" s="5">
        <v>46039</v>
      </c>
      <c r="O377" s="1" t="s">
        <v>113</v>
      </c>
      <c r="P377" t="s">
        <v>35</v>
      </c>
      <c r="Q377" t="str">
        <f>IF(Excel_Advanced_Sales_Dataset_2000__3[[#This Row],[Delivery Status]]="Pending","Follow Up","Ok")</f>
        <v>Ok</v>
      </c>
      <c r="R377" s="1" t="s">
        <v>36</v>
      </c>
      <c r="S377">
        <f>Excel_Advanced_Sales_Dataset_2000__3[[#This Row],[Quantity]]*Excel_Advanced_Sales_Dataset_2000__3[[#This Row],[Unit Price]]*Excel_Advanced_Sales_Dataset_2000__3[[#This Row],[Discount %]]/100</f>
        <v>9781.7578999999987</v>
      </c>
      <c r="T377" s="4">
        <f>Excel_Advanced_Sales_Dataset_2000__3[[#This Row],[Quantity]]*Excel_Advanced_Sales_Dataset_2000__3[[#This Row],[Unit Price]]-Excel_Advanced_Sales_Dataset_2000__3[[#This Row],[Discount Amount]]</f>
        <v>75648.4421</v>
      </c>
    </row>
    <row r="378" spans="1:20" x14ac:dyDescent="0.25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>
        <v>26</v>
      </c>
      <c r="J378" s="4">
        <v>43714.59</v>
      </c>
      <c r="K378" s="6">
        <v>7.69</v>
      </c>
      <c r="L378" s="4">
        <v>1049176.3899999999</v>
      </c>
      <c r="M378" s="4" t="str" cm="1">
        <f t="array" ref="M378">IF(Excel_Advanced_Sales_Dataset_2000__3[[#This Row],[Total Sales]]&gt;50000,{"Yes"},{"No"})</f>
        <v>Yes</v>
      </c>
      <c r="N378" s="5">
        <v>46075</v>
      </c>
      <c r="O378" s="1" t="s">
        <v>24</v>
      </c>
      <c r="P378" t="s">
        <v>59</v>
      </c>
      <c r="Q378" t="str">
        <f>IF(Excel_Advanced_Sales_Dataset_2000__3[[#This Row],[Delivery Status]]="Pending","Follow Up","Ok")</f>
        <v>Ok</v>
      </c>
      <c r="R378" s="1" t="s">
        <v>53</v>
      </c>
      <c r="S378">
        <f>Excel_Advanced_Sales_Dataset_2000__3[[#This Row],[Quantity]]*Excel_Advanced_Sales_Dataset_2000__3[[#This Row],[Unit Price]]*Excel_Advanced_Sales_Dataset_2000__3[[#This Row],[Discount %]]/100</f>
        <v>87402.951245999982</v>
      </c>
      <c r="T378" s="4">
        <f>Excel_Advanced_Sales_Dataset_2000__3[[#This Row],[Quantity]]*Excel_Advanced_Sales_Dataset_2000__3[[#This Row],[Unit Price]]-Excel_Advanced_Sales_Dataset_2000__3[[#This Row],[Discount Amount]]</f>
        <v>1049176.388754</v>
      </c>
    </row>
    <row r="379" spans="1:20" x14ac:dyDescent="0.25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>
        <v>34</v>
      </c>
      <c r="J379" s="4">
        <v>3226.32</v>
      </c>
      <c r="K379" s="6">
        <v>10.91</v>
      </c>
      <c r="L379" s="4">
        <v>97727.17</v>
      </c>
      <c r="M379" s="4" t="str" cm="1">
        <f t="array" ref="M379">IF(Excel_Advanced_Sales_Dataset_2000__3[[#This Row],[Total Sales]]&gt;50000,{"Yes"},{"No"})</f>
        <v>Yes</v>
      </c>
      <c r="N379" s="5">
        <v>46266</v>
      </c>
      <c r="O379" s="1" t="s">
        <v>58</v>
      </c>
      <c r="P379" t="s">
        <v>35</v>
      </c>
      <c r="Q379" t="str">
        <f>IF(Excel_Advanced_Sales_Dataset_2000__3[[#This Row],[Delivery Status]]="Pending","Follow Up","Ok")</f>
        <v>Ok</v>
      </c>
      <c r="R379" s="1" t="s">
        <v>53</v>
      </c>
      <c r="S379">
        <f>Excel_Advanced_Sales_Dataset_2000__3[[#This Row],[Quantity]]*Excel_Advanced_Sales_Dataset_2000__3[[#This Row],[Unit Price]]*Excel_Advanced_Sales_Dataset_2000__3[[#This Row],[Discount %]]/100</f>
        <v>11967.711408000001</v>
      </c>
      <c r="T379" s="4">
        <f>Excel_Advanced_Sales_Dataset_2000__3[[#This Row],[Quantity]]*Excel_Advanced_Sales_Dataset_2000__3[[#This Row],[Unit Price]]-Excel_Advanced_Sales_Dataset_2000__3[[#This Row],[Discount Amount]]</f>
        <v>97727.168592000002</v>
      </c>
    </row>
    <row r="380" spans="1:20" x14ac:dyDescent="0.25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>
        <v>24</v>
      </c>
      <c r="J380" s="4">
        <v>34068.06</v>
      </c>
      <c r="K380" s="6">
        <v>2.16</v>
      </c>
      <c r="L380" s="4">
        <v>799972.56</v>
      </c>
      <c r="M380" s="4" t="str" cm="1">
        <f t="array" ref="M380">IF(Excel_Advanced_Sales_Dataset_2000__3[[#This Row],[Total Sales]]&gt;50000,{"Yes"},{"No"})</f>
        <v>Yes</v>
      </c>
      <c r="N380" s="5">
        <v>46361</v>
      </c>
      <c r="O380" s="1" t="s">
        <v>68</v>
      </c>
      <c r="P380" t="s">
        <v>35</v>
      </c>
      <c r="Q380" t="str">
        <f>IF(Excel_Advanced_Sales_Dataset_2000__3[[#This Row],[Delivery Status]]="Pending","Follow Up","Ok")</f>
        <v>Ok</v>
      </c>
      <c r="R380" s="1" t="s">
        <v>26</v>
      </c>
      <c r="S380">
        <f>Excel_Advanced_Sales_Dataset_2000__3[[#This Row],[Quantity]]*Excel_Advanced_Sales_Dataset_2000__3[[#This Row],[Unit Price]]*Excel_Advanced_Sales_Dataset_2000__3[[#This Row],[Discount %]]/100</f>
        <v>17660.882303999999</v>
      </c>
      <c r="T380" s="4">
        <f>Excel_Advanced_Sales_Dataset_2000__3[[#This Row],[Quantity]]*Excel_Advanced_Sales_Dataset_2000__3[[#This Row],[Unit Price]]-Excel_Advanced_Sales_Dataset_2000__3[[#This Row],[Discount Amount]]</f>
        <v>799972.55769599997</v>
      </c>
    </row>
    <row r="381" spans="1:20" x14ac:dyDescent="0.25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>
        <v>44</v>
      </c>
      <c r="J381" s="4">
        <v>8759.9</v>
      </c>
      <c r="K381" s="6">
        <v>13.58</v>
      </c>
      <c r="L381" s="4">
        <v>333093.45</v>
      </c>
      <c r="M381" s="4" t="str" cm="1">
        <f t="array" ref="M381">IF(Excel_Advanced_Sales_Dataset_2000__3[[#This Row],[Total Sales]]&gt;50000,{"Yes"},{"No"})</f>
        <v>Yes</v>
      </c>
      <c r="N381" s="5">
        <v>46091</v>
      </c>
      <c r="O381" s="1" t="s">
        <v>45</v>
      </c>
      <c r="P381" t="s">
        <v>35</v>
      </c>
      <c r="Q381" t="str">
        <f>IF(Excel_Advanced_Sales_Dataset_2000__3[[#This Row],[Delivery Status]]="Pending","Follow Up","Ok")</f>
        <v>Ok</v>
      </c>
      <c r="R381" s="1" t="s">
        <v>53</v>
      </c>
      <c r="S381">
        <f>Excel_Advanced_Sales_Dataset_2000__3[[#This Row],[Quantity]]*Excel_Advanced_Sales_Dataset_2000__3[[#This Row],[Unit Price]]*Excel_Advanced_Sales_Dataset_2000__3[[#This Row],[Discount %]]/100</f>
        <v>52342.154479999997</v>
      </c>
      <c r="T381" s="4">
        <f>Excel_Advanced_Sales_Dataset_2000__3[[#This Row],[Quantity]]*Excel_Advanced_Sales_Dataset_2000__3[[#This Row],[Unit Price]]-Excel_Advanced_Sales_Dataset_2000__3[[#This Row],[Discount Amount]]</f>
        <v>333093.44551999995</v>
      </c>
    </row>
    <row r="382" spans="1:20" x14ac:dyDescent="0.25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>
        <v>10</v>
      </c>
      <c r="J382" s="4">
        <v>17300.54</v>
      </c>
      <c r="K382" s="6">
        <v>6.57</v>
      </c>
      <c r="L382" s="4">
        <v>161638.95000000001</v>
      </c>
      <c r="M382" s="4" t="str" cm="1">
        <f t="array" ref="M382">IF(Excel_Advanced_Sales_Dataset_2000__3[[#This Row],[Total Sales]]&gt;50000,{"Yes"},{"No"})</f>
        <v>Yes</v>
      </c>
      <c r="N382" s="5">
        <v>46154</v>
      </c>
      <c r="O382" s="1" t="s">
        <v>68</v>
      </c>
      <c r="P382" t="s">
        <v>35</v>
      </c>
      <c r="Q382" t="str">
        <f>IF(Excel_Advanced_Sales_Dataset_2000__3[[#This Row],[Delivery Status]]="Pending","Follow Up","Ok")</f>
        <v>Ok</v>
      </c>
      <c r="R382" s="1" t="s">
        <v>53</v>
      </c>
      <c r="S382">
        <f>Excel_Advanced_Sales_Dataset_2000__3[[#This Row],[Quantity]]*Excel_Advanced_Sales_Dataset_2000__3[[#This Row],[Unit Price]]*Excel_Advanced_Sales_Dataset_2000__3[[#This Row],[Discount %]]/100</f>
        <v>11366.454780000002</v>
      </c>
      <c r="T382" s="4">
        <f>Excel_Advanced_Sales_Dataset_2000__3[[#This Row],[Quantity]]*Excel_Advanced_Sales_Dataset_2000__3[[#This Row],[Unit Price]]-Excel_Advanced_Sales_Dataset_2000__3[[#This Row],[Discount Amount]]</f>
        <v>161638.94522000002</v>
      </c>
    </row>
    <row r="383" spans="1:20" x14ac:dyDescent="0.25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>
        <v>23</v>
      </c>
      <c r="J383" s="4">
        <v>25680.48</v>
      </c>
      <c r="K383" s="6">
        <v>17.97</v>
      </c>
      <c r="L383" s="4">
        <v>484511.05</v>
      </c>
      <c r="M383" s="4" t="str" cm="1">
        <f t="array" ref="M383">IF(Excel_Advanced_Sales_Dataset_2000__3[[#This Row],[Total Sales]]&gt;50000,{"Yes"},{"No"})</f>
        <v>Yes</v>
      </c>
      <c r="N383" s="5">
        <v>46078</v>
      </c>
      <c r="O383" s="1" t="s">
        <v>45</v>
      </c>
      <c r="P383" t="s">
        <v>35</v>
      </c>
      <c r="Q383" t="str">
        <f>IF(Excel_Advanced_Sales_Dataset_2000__3[[#This Row],[Delivery Status]]="Pending","Follow Up","Ok")</f>
        <v>Ok</v>
      </c>
      <c r="R383" s="1" t="s">
        <v>53</v>
      </c>
      <c r="S383">
        <f>Excel_Advanced_Sales_Dataset_2000__3[[#This Row],[Quantity]]*Excel_Advanced_Sales_Dataset_2000__3[[#This Row],[Unit Price]]*Excel_Advanced_Sales_Dataset_2000__3[[#This Row],[Discount %]]/100</f>
        <v>106139.99188799999</v>
      </c>
      <c r="T383" s="4">
        <f>Excel_Advanced_Sales_Dataset_2000__3[[#This Row],[Quantity]]*Excel_Advanced_Sales_Dataset_2000__3[[#This Row],[Unit Price]]-Excel_Advanced_Sales_Dataset_2000__3[[#This Row],[Discount Amount]]</f>
        <v>484511.04811200005</v>
      </c>
    </row>
    <row r="384" spans="1:20" x14ac:dyDescent="0.25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>
        <v>46</v>
      </c>
      <c r="J384" s="4">
        <v>28821.42</v>
      </c>
      <c r="K384" s="6">
        <v>13.68</v>
      </c>
      <c r="L384" s="4">
        <v>1144417.8899999999</v>
      </c>
      <c r="M384" s="4" t="str" cm="1">
        <f t="array" ref="M384">IF(Excel_Advanced_Sales_Dataset_2000__3[[#This Row],[Total Sales]]&gt;50000,{"Yes"},{"No"})</f>
        <v>Yes</v>
      </c>
      <c r="N384" s="5">
        <v>46379</v>
      </c>
      <c r="O384" s="1" t="s">
        <v>68</v>
      </c>
      <c r="P384" t="s">
        <v>35</v>
      </c>
      <c r="Q384" t="str">
        <f>IF(Excel_Advanced_Sales_Dataset_2000__3[[#This Row],[Delivery Status]]="Pending","Follow Up","Ok")</f>
        <v>Ok</v>
      </c>
      <c r="R384" s="1" t="s">
        <v>53</v>
      </c>
      <c r="S384">
        <f>Excel_Advanced_Sales_Dataset_2000__3[[#This Row],[Quantity]]*Excel_Advanced_Sales_Dataset_2000__3[[#This Row],[Unit Price]]*Excel_Advanced_Sales_Dataset_2000__3[[#This Row],[Discount %]]/100</f>
        <v>181367.43177599995</v>
      </c>
      <c r="T384" s="4">
        <f>Excel_Advanced_Sales_Dataset_2000__3[[#This Row],[Quantity]]*Excel_Advanced_Sales_Dataset_2000__3[[#This Row],[Unit Price]]-Excel_Advanced_Sales_Dataset_2000__3[[#This Row],[Discount Amount]]</f>
        <v>1144417.8882239999</v>
      </c>
    </row>
    <row r="385" spans="1:20" x14ac:dyDescent="0.25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>
        <v>49</v>
      </c>
      <c r="J385" s="4">
        <v>47380.24</v>
      </c>
      <c r="K385" s="6">
        <v>14.98</v>
      </c>
      <c r="L385" s="4">
        <v>1973851.32</v>
      </c>
      <c r="M385" s="4" t="str" cm="1">
        <f t="array" ref="M385">IF(Excel_Advanced_Sales_Dataset_2000__3[[#This Row],[Total Sales]]&gt;50000,{"Yes"},{"No"})</f>
        <v>Yes</v>
      </c>
      <c r="N385" s="5">
        <v>46269</v>
      </c>
      <c r="O385" s="1" t="s">
        <v>113</v>
      </c>
      <c r="P385" t="s">
        <v>35</v>
      </c>
      <c r="Q385" t="str">
        <f>IF(Excel_Advanced_Sales_Dataset_2000__3[[#This Row],[Delivery Status]]="Pending","Follow Up","Ok")</f>
        <v>Ok</v>
      </c>
      <c r="R385" s="1" t="s">
        <v>53</v>
      </c>
      <c r="S385">
        <f>Excel_Advanced_Sales_Dataset_2000__3[[#This Row],[Quantity]]*Excel_Advanced_Sales_Dataset_2000__3[[#This Row],[Unit Price]]*Excel_Advanced_Sales_Dataset_2000__3[[#This Row],[Discount %]]/100</f>
        <v>347780.43764799996</v>
      </c>
      <c r="T385" s="4">
        <f>Excel_Advanced_Sales_Dataset_2000__3[[#This Row],[Quantity]]*Excel_Advanced_Sales_Dataset_2000__3[[#This Row],[Unit Price]]-Excel_Advanced_Sales_Dataset_2000__3[[#This Row],[Discount Amount]]</f>
        <v>1973851.3223519998</v>
      </c>
    </row>
    <row r="386" spans="1:20" x14ac:dyDescent="0.25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>
        <v>16</v>
      </c>
      <c r="J386" s="4">
        <v>1989.06</v>
      </c>
      <c r="K386" s="6">
        <v>9.85</v>
      </c>
      <c r="L386" s="4">
        <v>28690.2</v>
      </c>
      <c r="M386" s="4" t="str" cm="1">
        <f t="array" ref="M386">IF(Excel_Advanced_Sales_Dataset_2000__3[[#This Row],[Total Sales]]&gt;50000,{"Yes"},{"No"})</f>
        <v>No</v>
      </c>
      <c r="N386" s="5">
        <v>46231</v>
      </c>
      <c r="O386" s="1" t="s">
        <v>68</v>
      </c>
      <c r="P386" t="s">
        <v>35</v>
      </c>
      <c r="Q386" t="str">
        <f>IF(Excel_Advanced_Sales_Dataset_2000__3[[#This Row],[Delivery Status]]="Pending","Follow Up","Ok")</f>
        <v>Ok</v>
      </c>
      <c r="R386" s="1" t="s">
        <v>26</v>
      </c>
      <c r="S386">
        <f>Excel_Advanced_Sales_Dataset_2000__3[[#This Row],[Quantity]]*Excel_Advanced_Sales_Dataset_2000__3[[#This Row],[Unit Price]]*Excel_Advanced_Sales_Dataset_2000__3[[#This Row],[Discount %]]/100</f>
        <v>3134.7585599999998</v>
      </c>
      <c r="T386" s="4">
        <f>Excel_Advanced_Sales_Dataset_2000__3[[#This Row],[Quantity]]*Excel_Advanced_Sales_Dataset_2000__3[[#This Row],[Unit Price]]-Excel_Advanced_Sales_Dataset_2000__3[[#This Row],[Discount Amount]]</f>
        <v>28690.201440000001</v>
      </c>
    </row>
    <row r="387" spans="1:20" x14ac:dyDescent="0.25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>
        <v>31</v>
      </c>
      <c r="J387" s="4">
        <v>36771.19</v>
      </c>
      <c r="K387" s="6">
        <v>6.81</v>
      </c>
      <c r="L387" s="4">
        <v>1062279.23</v>
      </c>
      <c r="M387" s="4" t="str" cm="1">
        <f t="array" ref="M387">IF(Excel_Advanced_Sales_Dataset_2000__3[[#This Row],[Total Sales]]&gt;50000,{"Yes"},{"No"})</f>
        <v>Yes</v>
      </c>
      <c r="N387" s="5">
        <v>46114</v>
      </c>
      <c r="O387" s="1" t="s">
        <v>68</v>
      </c>
      <c r="P387" t="s">
        <v>35</v>
      </c>
      <c r="Q387" t="str">
        <f>IF(Excel_Advanced_Sales_Dataset_2000__3[[#This Row],[Delivery Status]]="Pending","Follow Up","Ok")</f>
        <v>Ok</v>
      </c>
      <c r="R387" s="1" t="s">
        <v>53</v>
      </c>
      <c r="S387">
        <f>Excel_Advanced_Sales_Dataset_2000__3[[#This Row],[Quantity]]*Excel_Advanced_Sales_Dataset_2000__3[[#This Row],[Unit Price]]*Excel_Advanced_Sales_Dataset_2000__3[[#This Row],[Discount %]]/100</f>
        <v>77627.659209000005</v>
      </c>
      <c r="T387" s="4">
        <f>Excel_Advanced_Sales_Dataset_2000__3[[#This Row],[Quantity]]*Excel_Advanced_Sales_Dataset_2000__3[[#This Row],[Unit Price]]-Excel_Advanced_Sales_Dataset_2000__3[[#This Row],[Discount Amount]]</f>
        <v>1062279.2307910002</v>
      </c>
    </row>
    <row r="388" spans="1:20" x14ac:dyDescent="0.25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>
        <v>29</v>
      </c>
      <c r="J388" s="4">
        <v>16002.14</v>
      </c>
      <c r="K388" s="6">
        <v>12.71</v>
      </c>
      <c r="L388" s="4">
        <v>405079.77</v>
      </c>
      <c r="M388" s="4" t="str" cm="1">
        <f t="array" ref="M388">IF(Excel_Advanced_Sales_Dataset_2000__3[[#This Row],[Total Sales]]&gt;50000,{"Yes"},{"No"})</f>
        <v>Yes</v>
      </c>
      <c r="N388" s="5">
        <v>46096</v>
      </c>
      <c r="O388" s="1" t="s">
        <v>45</v>
      </c>
      <c r="P388" t="s">
        <v>35</v>
      </c>
      <c r="Q388" t="str">
        <f>IF(Excel_Advanced_Sales_Dataset_2000__3[[#This Row],[Delivery Status]]="Pending","Follow Up","Ok")</f>
        <v>Ok</v>
      </c>
      <c r="R388" s="1" t="s">
        <v>26</v>
      </c>
      <c r="S388">
        <f>Excel_Advanced_Sales_Dataset_2000__3[[#This Row],[Quantity]]*Excel_Advanced_Sales_Dataset_2000__3[[#This Row],[Unit Price]]*Excel_Advanced_Sales_Dataset_2000__3[[#This Row],[Discount %]]/100</f>
        <v>58982.287826000007</v>
      </c>
      <c r="T388" s="4">
        <f>Excel_Advanced_Sales_Dataset_2000__3[[#This Row],[Quantity]]*Excel_Advanced_Sales_Dataset_2000__3[[#This Row],[Unit Price]]-Excel_Advanced_Sales_Dataset_2000__3[[#This Row],[Discount Amount]]</f>
        <v>405079.77217399998</v>
      </c>
    </row>
    <row r="389" spans="1:20" x14ac:dyDescent="0.25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>
        <v>22</v>
      </c>
      <c r="J389" s="4">
        <v>11529.42</v>
      </c>
      <c r="K389" s="6">
        <v>8.1</v>
      </c>
      <c r="L389" s="4">
        <v>233101.81</v>
      </c>
      <c r="M389" s="4" t="str" cm="1">
        <f t="array" ref="M389">IF(Excel_Advanced_Sales_Dataset_2000__3[[#This Row],[Total Sales]]&gt;50000,{"Yes"},{"No"})</f>
        <v>Yes</v>
      </c>
      <c r="N389" s="5">
        <v>46231</v>
      </c>
      <c r="O389" s="1" t="s">
        <v>24</v>
      </c>
      <c r="P389" t="s">
        <v>25</v>
      </c>
      <c r="Q389" t="str">
        <f>IF(Excel_Advanced_Sales_Dataset_2000__3[[#This Row],[Delivery Status]]="Pending","Follow Up","Ok")</f>
        <v>Follow Up</v>
      </c>
      <c r="R389" s="1" t="s">
        <v>36</v>
      </c>
      <c r="S389">
        <f>Excel_Advanced_Sales_Dataset_2000__3[[#This Row],[Quantity]]*Excel_Advanced_Sales_Dataset_2000__3[[#This Row],[Unit Price]]*Excel_Advanced_Sales_Dataset_2000__3[[#This Row],[Discount %]]/100</f>
        <v>20545.426439999999</v>
      </c>
      <c r="T389" s="4">
        <f>Excel_Advanced_Sales_Dataset_2000__3[[#This Row],[Quantity]]*Excel_Advanced_Sales_Dataset_2000__3[[#This Row],[Unit Price]]-Excel_Advanced_Sales_Dataset_2000__3[[#This Row],[Discount Amount]]</f>
        <v>233101.81355999998</v>
      </c>
    </row>
    <row r="390" spans="1:20" x14ac:dyDescent="0.25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>
        <v>21</v>
      </c>
      <c r="J390" s="4">
        <v>41243.65</v>
      </c>
      <c r="K390" s="6">
        <v>5.83</v>
      </c>
      <c r="L390" s="4">
        <v>815622.05</v>
      </c>
      <c r="M390" s="4" t="str" cm="1">
        <f t="array" ref="M390">IF(Excel_Advanced_Sales_Dataset_2000__3[[#This Row],[Total Sales]]&gt;50000,{"Yes"},{"No"})</f>
        <v>Yes</v>
      </c>
      <c r="N390" s="5">
        <v>46155</v>
      </c>
      <c r="O390" s="1" t="s">
        <v>58</v>
      </c>
      <c r="P390" t="s">
        <v>35</v>
      </c>
      <c r="Q390" t="str">
        <f>IF(Excel_Advanced_Sales_Dataset_2000__3[[#This Row],[Delivery Status]]="Pending","Follow Up","Ok")</f>
        <v>Ok</v>
      </c>
      <c r="R390" s="1" t="s">
        <v>53</v>
      </c>
      <c r="S390">
        <f>Excel_Advanced_Sales_Dataset_2000__3[[#This Row],[Quantity]]*Excel_Advanced_Sales_Dataset_2000__3[[#This Row],[Unit Price]]*Excel_Advanced_Sales_Dataset_2000__3[[#This Row],[Discount %]]/100</f>
        <v>50494.600695000001</v>
      </c>
      <c r="T390" s="4">
        <f>Excel_Advanced_Sales_Dataset_2000__3[[#This Row],[Quantity]]*Excel_Advanced_Sales_Dataset_2000__3[[#This Row],[Unit Price]]-Excel_Advanced_Sales_Dataset_2000__3[[#This Row],[Discount Amount]]</f>
        <v>815622.04930499999</v>
      </c>
    </row>
    <row r="391" spans="1:20" x14ac:dyDescent="0.25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>
        <v>24</v>
      </c>
      <c r="J391" s="4">
        <v>29018.99</v>
      </c>
      <c r="K391" s="6">
        <v>4.41</v>
      </c>
      <c r="L391" s="4">
        <v>665742.06000000006</v>
      </c>
      <c r="M391" s="4" t="str" cm="1">
        <f t="array" ref="M391">IF(Excel_Advanced_Sales_Dataset_2000__3[[#This Row],[Total Sales]]&gt;50000,{"Yes"},{"No"})</f>
        <v>Yes</v>
      </c>
      <c r="N391" s="5">
        <v>46211</v>
      </c>
      <c r="O391" s="1" t="s">
        <v>24</v>
      </c>
      <c r="P391" t="s">
        <v>35</v>
      </c>
      <c r="Q391" t="str">
        <f>IF(Excel_Advanced_Sales_Dataset_2000__3[[#This Row],[Delivery Status]]="Pending","Follow Up","Ok")</f>
        <v>Ok</v>
      </c>
      <c r="R391" s="1" t="s">
        <v>26</v>
      </c>
      <c r="S391">
        <f>Excel_Advanced_Sales_Dataset_2000__3[[#This Row],[Quantity]]*Excel_Advanced_Sales_Dataset_2000__3[[#This Row],[Unit Price]]*Excel_Advanced_Sales_Dataset_2000__3[[#This Row],[Discount %]]/100</f>
        <v>30713.699015999999</v>
      </c>
      <c r="T391" s="4">
        <f>Excel_Advanced_Sales_Dataset_2000__3[[#This Row],[Quantity]]*Excel_Advanced_Sales_Dataset_2000__3[[#This Row],[Unit Price]]-Excel_Advanced_Sales_Dataset_2000__3[[#This Row],[Discount Amount]]</f>
        <v>665742.06098399998</v>
      </c>
    </row>
    <row r="392" spans="1:20" x14ac:dyDescent="0.25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>
        <v>28</v>
      </c>
      <c r="J392" s="4">
        <v>47523.46</v>
      </c>
      <c r="K392" s="6">
        <v>15.41</v>
      </c>
      <c r="L392" s="4">
        <v>1125602.6499999999</v>
      </c>
      <c r="M392" s="4" t="str" cm="1">
        <f t="array" ref="M392">IF(Excel_Advanced_Sales_Dataset_2000__3[[#This Row],[Total Sales]]&gt;50000,{"Yes"},{"No"})</f>
        <v>Yes</v>
      </c>
      <c r="N392" s="5">
        <v>46036</v>
      </c>
      <c r="O392" s="1" t="s">
        <v>68</v>
      </c>
      <c r="P392" t="s">
        <v>25</v>
      </c>
      <c r="Q392" t="str">
        <f>IF(Excel_Advanced_Sales_Dataset_2000__3[[#This Row],[Delivery Status]]="Pending","Follow Up","Ok")</f>
        <v>Follow Up</v>
      </c>
      <c r="R392" s="1" t="s">
        <v>53</v>
      </c>
      <c r="S392">
        <f>Excel_Advanced_Sales_Dataset_2000__3[[#This Row],[Quantity]]*Excel_Advanced_Sales_Dataset_2000__3[[#This Row],[Unit Price]]*Excel_Advanced_Sales_Dataset_2000__3[[#This Row],[Discount %]]/100</f>
        <v>205054.22520799999</v>
      </c>
      <c r="T392" s="4">
        <f>Excel_Advanced_Sales_Dataset_2000__3[[#This Row],[Quantity]]*Excel_Advanced_Sales_Dataset_2000__3[[#This Row],[Unit Price]]-Excel_Advanced_Sales_Dataset_2000__3[[#This Row],[Discount Amount]]</f>
        <v>1125602.6547919998</v>
      </c>
    </row>
    <row r="393" spans="1:20" x14ac:dyDescent="0.25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>
        <v>50</v>
      </c>
      <c r="J393" s="4">
        <v>8897.1</v>
      </c>
      <c r="K393" s="6">
        <v>6.37</v>
      </c>
      <c r="L393" s="4">
        <v>416517.74</v>
      </c>
      <c r="M393" s="4" t="str" cm="1">
        <f t="array" ref="M393">IF(Excel_Advanced_Sales_Dataset_2000__3[[#This Row],[Total Sales]]&gt;50000,{"Yes"},{"No"})</f>
        <v>Yes</v>
      </c>
      <c r="N393" s="5">
        <v>46146</v>
      </c>
      <c r="O393" s="1" t="s">
        <v>24</v>
      </c>
      <c r="P393" t="s">
        <v>35</v>
      </c>
      <c r="Q393" t="str">
        <f>IF(Excel_Advanced_Sales_Dataset_2000__3[[#This Row],[Delivery Status]]="Pending","Follow Up","Ok")</f>
        <v>Ok</v>
      </c>
      <c r="R393" s="1" t="s">
        <v>36</v>
      </c>
      <c r="S393">
        <f>Excel_Advanced_Sales_Dataset_2000__3[[#This Row],[Quantity]]*Excel_Advanced_Sales_Dataset_2000__3[[#This Row],[Unit Price]]*Excel_Advanced_Sales_Dataset_2000__3[[#This Row],[Discount %]]/100</f>
        <v>28337.263500000001</v>
      </c>
      <c r="T393" s="4">
        <f>Excel_Advanced_Sales_Dataset_2000__3[[#This Row],[Quantity]]*Excel_Advanced_Sales_Dataset_2000__3[[#This Row],[Unit Price]]-Excel_Advanced_Sales_Dataset_2000__3[[#This Row],[Discount Amount]]</f>
        <v>416517.7365</v>
      </c>
    </row>
    <row r="394" spans="1:20" x14ac:dyDescent="0.25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>
        <v>16</v>
      </c>
      <c r="J394" s="4">
        <v>47492.43</v>
      </c>
      <c r="K394" s="6">
        <v>4.82</v>
      </c>
      <c r="L394" s="4">
        <v>723252.72</v>
      </c>
      <c r="M394" s="4" t="str" cm="1">
        <f t="array" ref="M394">IF(Excel_Advanced_Sales_Dataset_2000__3[[#This Row],[Total Sales]]&gt;50000,{"Yes"},{"No"})</f>
        <v>Yes</v>
      </c>
      <c r="N394" s="5">
        <v>46260</v>
      </c>
      <c r="O394" s="1" t="s">
        <v>24</v>
      </c>
      <c r="P394" t="s">
        <v>25</v>
      </c>
      <c r="Q394" t="str">
        <f>IF(Excel_Advanced_Sales_Dataset_2000__3[[#This Row],[Delivery Status]]="Pending","Follow Up","Ok")</f>
        <v>Follow Up</v>
      </c>
      <c r="R394" s="1" t="s">
        <v>26</v>
      </c>
      <c r="S394">
        <f>Excel_Advanced_Sales_Dataset_2000__3[[#This Row],[Quantity]]*Excel_Advanced_Sales_Dataset_2000__3[[#This Row],[Unit Price]]*Excel_Advanced_Sales_Dataset_2000__3[[#This Row],[Discount %]]/100</f>
        <v>36626.162016000002</v>
      </c>
      <c r="T394" s="4">
        <f>Excel_Advanced_Sales_Dataset_2000__3[[#This Row],[Quantity]]*Excel_Advanced_Sales_Dataset_2000__3[[#This Row],[Unit Price]]-Excel_Advanced_Sales_Dataset_2000__3[[#This Row],[Discount Amount]]</f>
        <v>723252.71798399999</v>
      </c>
    </row>
    <row r="395" spans="1:20" x14ac:dyDescent="0.25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>
        <v>47</v>
      </c>
      <c r="J395" s="4">
        <v>6501.79</v>
      </c>
      <c r="K395" s="6">
        <v>19.38</v>
      </c>
      <c r="L395" s="4">
        <v>246361.93</v>
      </c>
      <c r="M395" s="4" t="str" cm="1">
        <f t="array" ref="M395">IF(Excel_Advanced_Sales_Dataset_2000__3[[#This Row],[Total Sales]]&gt;50000,{"Yes"},{"No"})</f>
        <v>Yes</v>
      </c>
      <c r="N395" s="5">
        <v>46241</v>
      </c>
      <c r="O395" s="1" t="s">
        <v>68</v>
      </c>
      <c r="P395" t="s">
        <v>35</v>
      </c>
      <c r="Q395" t="str">
        <f>IF(Excel_Advanced_Sales_Dataset_2000__3[[#This Row],[Delivery Status]]="Pending","Follow Up","Ok")</f>
        <v>Ok</v>
      </c>
      <c r="R395" s="1" t="s">
        <v>53</v>
      </c>
      <c r="S395">
        <f>Excel_Advanced_Sales_Dataset_2000__3[[#This Row],[Quantity]]*Excel_Advanced_Sales_Dataset_2000__3[[#This Row],[Unit Price]]*Excel_Advanced_Sales_Dataset_2000__3[[#This Row],[Discount %]]/100</f>
        <v>59222.204393999993</v>
      </c>
      <c r="T395" s="4">
        <f>Excel_Advanced_Sales_Dataset_2000__3[[#This Row],[Quantity]]*Excel_Advanced_Sales_Dataset_2000__3[[#This Row],[Unit Price]]-Excel_Advanced_Sales_Dataset_2000__3[[#This Row],[Discount Amount]]</f>
        <v>246361.925606</v>
      </c>
    </row>
    <row r="396" spans="1:20" x14ac:dyDescent="0.25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>
        <v>14</v>
      </c>
      <c r="J396" s="4">
        <v>16092.2</v>
      </c>
      <c r="K396" s="6">
        <v>18.72</v>
      </c>
      <c r="L396" s="4">
        <v>183116.36</v>
      </c>
      <c r="M396" s="4" t="str" cm="1">
        <f t="array" ref="M396">IF(Excel_Advanced_Sales_Dataset_2000__3[[#This Row],[Total Sales]]&gt;50000,{"Yes"},{"No"})</f>
        <v>Yes</v>
      </c>
      <c r="N396" s="5">
        <v>46068</v>
      </c>
      <c r="O396" s="1" t="s">
        <v>113</v>
      </c>
      <c r="P396" t="s">
        <v>35</v>
      </c>
      <c r="Q396" t="str">
        <f>IF(Excel_Advanced_Sales_Dataset_2000__3[[#This Row],[Delivery Status]]="Pending","Follow Up","Ok")</f>
        <v>Ok</v>
      </c>
      <c r="R396" s="1" t="s">
        <v>26</v>
      </c>
      <c r="S396">
        <f>Excel_Advanced_Sales_Dataset_2000__3[[#This Row],[Quantity]]*Excel_Advanced_Sales_Dataset_2000__3[[#This Row],[Unit Price]]*Excel_Advanced_Sales_Dataset_2000__3[[#This Row],[Discount %]]/100</f>
        <v>42174.437760000008</v>
      </c>
      <c r="T396" s="4">
        <f>Excel_Advanced_Sales_Dataset_2000__3[[#This Row],[Quantity]]*Excel_Advanced_Sales_Dataset_2000__3[[#This Row],[Unit Price]]-Excel_Advanced_Sales_Dataset_2000__3[[#This Row],[Discount Amount]]</f>
        <v>183116.36224000002</v>
      </c>
    </row>
    <row r="397" spans="1:20" x14ac:dyDescent="0.25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>
        <v>15</v>
      </c>
      <c r="J397" s="4">
        <v>12232.18</v>
      </c>
      <c r="K397" s="6">
        <v>8.73</v>
      </c>
      <c r="L397" s="4">
        <v>167464.66</v>
      </c>
      <c r="M397" s="4" t="str" cm="1">
        <f t="array" ref="M397">IF(Excel_Advanced_Sales_Dataset_2000__3[[#This Row],[Total Sales]]&gt;50000,{"Yes"},{"No"})</f>
        <v>Yes</v>
      </c>
      <c r="N397" s="5">
        <v>46049</v>
      </c>
      <c r="O397" s="1" t="s">
        <v>24</v>
      </c>
      <c r="P397" t="s">
        <v>35</v>
      </c>
      <c r="Q397" t="str">
        <f>IF(Excel_Advanced_Sales_Dataset_2000__3[[#This Row],[Delivery Status]]="Pending","Follow Up","Ok")</f>
        <v>Ok</v>
      </c>
      <c r="R397" s="1" t="s">
        <v>36</v>
      </c>
      <c r="S397">
        <f>Excel_Advanced_Sales_Dataset_2000__3[[#This Row],[Quantity]]*Excel_Advanced_Sales_Dataset_2000__3[[#This Row],[Unit Price]]*Excel_Advanced_Sales_Dataset_2000__3[[#This Row],[Discount %]]/100</f>
        <v>16018.039710000001</v>
      </c>
      <c r="T397" s="4">
        <f>Excel_Advanced_Sales_Dataset_2000__3[[#This Row],[Quantity]]*Excel_Advanced_Sales_Dataset_2000__3[[#This Row],[Unit Price]]-Excel_Advanced_Sales_Dataset_2000__3[[#This Row],[Discount Amount]]</f>
        <v>167464.66029</v>
      </c>
    </row>
    <row r="398" spans="1:20" x14ac:dyDescent="0.25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>
        <v>45</v>
      </c>
      <c r="J398" s="4">
        <v>46368.54</v>
      </c>
      <c r="K398" s="6">
        <v>18.97</v>
      </c>
      <c r="L398" s="4">
        <v>1690759.26</v>
      </c>
      <c r="M398" s="4" t="str" cm="1">
        <f t="array" ref="M398">IF(Excel_Advanced_Sales_Dataset_2000__3[[#This Row],[Total Sales]]&gt;50000,{"Yes"},{"No"})</f>
        <v>Yes</v>
      </c>
      <c r="N398" s="5">
        <v>46085</v>
      </c>
      <c r="O398" s="1" t="s">
        <v>68</v>
      </c>
      <c r="P398" t="s">
        <v>35</v>
      </c>
      <c r="Q398" t="str">
        <f>IF(Excel_Advanced_Sales_Dataset_2000__3[[#This Row],[Delivery Status]]="Pending","Follow Up","Ok")</f>
        <v>Ok</v>
      </c>
      <c r="R398" s="1" t="s">
        <v>36</v>
      </c>
      <c r="S398">
        <f>Excel_Advanced_Sales_Dataset_2000__3[[#This Row],[Quantity]]*Excel_Advanced_Sales_Dataset_2000__3[[#This Row],[Unit Price]]*Excel_Advanced_Sales_Dataset_2000__3[[#This Row],[Discount %]]/100</f>
        <v>395825.04170999996</v>
      </c>
      <c r="T398" s="4">
        <f>Excel_Advanced_Sales_Dataset_2000__3[[#This Row],[Quantity]]*Excel_Advanced_Sales_Dataset_2000__3[[#This Row],[Unit Price]]-Excel_Advanced_Sales_Dataset_2000__3[[#This Row],[Discount Amount]]</f>
        <v>1690759.25829</v>
      </c>
    </row>
    <row r="399" spans="1:20" x14ac:dyDescent="0.25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>
        <v>46</v>
      </c>
      <c r="J399" s="4">
        <v>17730.12</v>
      </c>
      <c r="K399" s="6">
        <v>8.7200000000000006</v>
      </c>
      <c r="L399" s="4">
        <v>744466.46</v>
      </c>
      <c r="M399" s="4" t="str" cm="1">
        <f t="array" ref="M399">IF(Excel_Advanced_Sales_Dataset_2000__3[[#This Row],[Total Sales]]&gt;50000,{"Yes"},{"No"})</f>
        <v>Yes</v>
      </c>
      <c r="N399" s="5">
        <v>46314</v>
      </c>
      <c r="O399" s="1" t="s">
        <v>58</v>
      </c>
      <c r="P399" t="s">
        <v>35</v>
      </c>
      <c r="Q399" t="str">
        <f>IF(Excel_Advanced_Sales_Dataset_2000__3[[#This Row],[Delivery Status]]="Pending","Follow Up","Ok")</f>
        <v>Ok</v>
      </c>
      <c r="R399" s="1" t="s">
        <v>26</v>
      </c>
      <c r="S399">
        <f>Excel_Advanced_Sales_Dataset_2000__3[[#This Row],[Quantity]]*Excel_Advanced_Sales_Dataset_2000__3[[#This Row],[Unit Price]]*Excel_Advanced_Sales_Dataset_2000__3[[#This Row],[Discount %]]/100</f>
        <v>71119.057344000001</v>
      </c>
      <c r="T399" s="4">
        <f>Excel_Advanced_Sales_Dataset_2000__3[[#This Row],[Quantity]]*Excel_Advanced_Sales_Dataset_2000__3[[#This Row],[Unit Price]]-Excel_Advanced_Sales_Dataset_2000__3[[#This Row],[Discount Amount]]</f>
        <v>744466.46265599993</v>
      </c>
    </row>
    <row r="400" spans="1:20" x14ac:dyDescent="0.25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>
        <v>22</v>
      </c>
      <c r="J400" s="4">
        <v>38409.730000000003</v>
      </c>
      <c r="K400" s="6">
        <v>16.100000000000001</v>
      </c>
      <c r="L400" s="4">
        <v>708966.8</v>
      </c>
      <c r="M400" s="4" t="str" cm="1">
        <f t="array" ref="M400">IF(Excel_Advanced_Sales_Dataset_2000__3[[#This Row],[Total Sales]]&gt;50000,{"Yes"},{"No"})</f>
        <v>Yes</v>
      </c>
      <c r="N400" s="5">
        <v>46282</v>
      </c>
      <c r="O400" s="1" t="s">
        <v>45</v>
      </c>
      <c r="P400" t="s">
        <v>35</v>
      </c>
      <c r="Q400" t="str">
        <f>IF(Excel_Advanced_Sales_Dataset_2000__3[[#This Row],[Delivery Status]]="Pending","Follow Up","Ok")</f>
        <v>Ok</v>
      </c>
      <c r="R400" s="1" t="s">
        <v>53</v>
      </c>
      <c r="S400">
        <f>Excel_Advanced_Sales_Dataset_2000__3[[#This Row],[Quantity]]*Excel_Advanced_Sales_Dataset_2000__3[[#This Row],[Unit Price]]*Excel_Advanced_Sales_Dataset_2000__3[[#This Row],[Discount %]]/100</f>
        <v>136047.26366000003</v>
      </c>
      <c r="T400" s="4">
        <f>Excel_Advanced_Sales_Dataset_2000__3[[#This Row],[Quantity]]*Excel_Advanced_Sales_Dataset_2000__3[[#This Row],[Unit Price]]-Excel_Advanced_Sales_Dataset_2000__3[[#This Row],[Discount Amount]]</f>
        <v>708966.79634</v>
      </c>
    </row>
    <row r="401" spans="1:20" x14ac:dyDescent="0.25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>
        <v>12</v>
      </c>
      <c r="J401" s="4">
        <v>32012.34</v>
      </c>
      <c r="K401" s="6">
        <v>17.68</v>
      </c>
      <c r="L401" s="4">
        <v>316230.7</v>
      </c>
      <c r="M401" s="4" t="str" cm="1">
        <f t="array" ref="M401">IF(Excel_Advanced_Sales_Dataset_2000__3[[#This Row],[Total Sales]]&gt;50000,{"Yes"},{"No"})</f>
        <v>Yes</v>
      </c>
      <c r="N401" s="5">
        <v>46131</v>
      </c>
      <c r="O401" s="1" t="s">
        <v>45</v>
      </c>
      <c r="P401" t="s">
        <v>35</v>
      </c>
      <c r="Q401" t="str">
        <f>IF(Excel_Advanced_Sales_Dataset_2000__3[[#This Row],[Delivery Status]]="Pending","Follow Up","Ok")</f>
        <v>Ok</v>
      </c>
      <c r="R401" s="1" t="s">
        <v>26</v>
      </c>
      <c r="S401">
        <f>Excel_Advanced_Sales_Dataset_2000__3[[#This Row],[Quantity]]*Excel_Advanced_Sales_Dataset_2000__3[[#This Row],[Unit Price]]*Excel_Advanced_Sales_Dataset_2000__3[[#This Row],[Discount %]]/100</f>
        <v>67917.380544</v>
      </c>
      <c r="T401" s="4">
        <f>Excel_Advanced_Sales_Dataset_2000__3[[#This Row],[Quantity]]*Excel_Advanced_Sales_Dataset_2000__3[[#This Row],[Unit Price]]-Excel_Advanced_Sales_Dataset_2000__3[[#This Row],[Discount Amount]]</f>
        <v>316230.699456</v>
      </c>
    </row>
    <row r="402" spans="1:20" x14ac:dyDescent="0.25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>
        <v>2</v>
      </c>
      <c r="J402" s="4">
        <v>15042.44</v>
      </c>
      <c r="K402" s="6">
        <v>2.95</v>
      </c>
      <c r="L402" s="4">
        <v>29197.38</v>
      </c>
      <c r="M402" s="4" t="str" cm="1">
        <f t="array" ref="M402">IF(Excel_Advanced_Sales_Dataset_2000__3[[#This Row],[Total Sales]]&gt;50000,{"Yes"},{"No"})</f>
        <v>No</v>
      </c>
      <c r="N402" s="5">
        <v>46251</v>
      </c>
      <c r="O402" s="1" t="s">
        <v>68</v>
      </c>
      <c r="P402" t="s">
        <v>35</v>
      </c>
      <c r="Q402" t="str">
        <f>IF(Excel_Advanced_Sales_Dataset_2000__3[[#This Row],[Delivery Status]]="Pending","Follow Up","Ok")</f>
        <v>Ok</v>
      </c>
      <c r="R402" s="1" t="s">
        <v>26</v>
      </c>
      <c r="S402">
        <f>Excel_Advanced_Sales_Dataset_2000__3[[#This Row],[Quantity]]*Excel_Advanced_Sales_Dataset_2000__3[[#This Row],[Unit Price]]*Excel_Advanced_Sales_Dataset_2000__3[[#This Row],[Discount %]]/100</f>
        <v>887.50396000000012</v>
      </c>
      <c r="T402" s="4">
        <f>Excel_Advanced_Sales_Dataset_2000__3[[#This Row],[Quantity]]*Excel_Advanced_Sales_Dataset_2000__3[[#This Row],[Unit Price]]-Excel_Advanced_Sales_Dataset_2000__3[[#This Row],[Discount Amount]]</f>
        <v>29197.376039999999</v>
      </c>
    </row>
    <row r="403" spans="1:20" x14ac:dyDescent="0.25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>
        <v>36</v>
      </c>
      <c r="J403" s="4">
        <v>6762.96</v>
      </c>
      <c r="K403" s="6">
        <v>10.48</v>
      </c>
      <c r="L403" s="4">
        <v>217951.26</v>
      </c>
      <c r="M403" s="4" t="str" cm="1">
        <f t="array" ref="M403">IF(Excel_Advanced_Sales_Dataset_2000__3[[#This Row],[Total Sales]]&gt;50000,{"Yes"},{"No"})</f>
        <v>Yes</v>
      </c>
      <c r="N403" s="5">
        <v>46112</v>
      </c>
      <c r="O403" s="1" t="s">
        <v>68</v>
      </c>
      <c r="P403" t="s">
        <v>35</v>
      </c>
      <c r="Q403" t="str">
        <f>IF(Excel_Advanced_Sales_Dataset_2000__3[[#This Row],[Delivery Status]]="Pending","Follow Up","Ok")</f>
        <v>Ok</v>
      </c>
      <c r="R403" s="1" t="s">
        <v>53</v>
      </c>
      <c r="S403">
        <f>Excel_Advanced_Sales_Dataset_2000__3[[#This Row],[Quantity]]*Excel_Advanced_Sales_Dataset_2000__3[[#This Row],[Unit Price]]*Excel_Advanced_Sales_Dataset_2000__3[[#This Row],[Discount %]]/100</f>
        <v>25515.295488</v>
      </c>
      <c r="T403" s="4">
        <f>Excel_Advanced_Sales_Dataset_2000__3[[#This Row],[Quantity]]*Excel_Advanced_Sales_Dataset_2000__3[[#This Row],[Unit Price]]-Excel_Advanced_Sales_Dataset_2000__3[[#This Row],[Discount Amount]]</f>
        <v>217951.26451199999</v>
      </c>
    </row>
    <row r="404" spans="1:20" x14ac:dyDescent="0.25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>
        <v>6</v>
      </c>
      <c r="J404" s="4">
        <v>35141.26</v>
      </c>
      <c r="K404" s="6">
        <v>15.99</v>
      </c>
      <c r="L404" s="4">
        <v>177133.04</v>
      </c>
      <c r="M404" s="4" t="str" cm="1">
        <f t="array" ref="M404">IF(Excel_Advanced_Sales_Dataset_2000__3[[#This Row],[Total Sales]]&gt;50000,{"Yes"},{"No"})</f>
        <v>Yes</v>
      </c>
      <c r="N404" s="5">
        <v>46079</v>
      </c>
      <c r="O404" s="1" t="s">
        <v>58</v>
      </c>
      <c r="P404" t="s">
        <v>35</v>
      </c>
      <c r="Q404" t="str">
        <f>IF(Excel_Advanced_Sales_Dataset_2000__3[[#This Row],[Delivery Status]]="Pending","Follow Up","Ok")</f>
        <v>Ok</v>
      </c>
      <c r="R404" s="1" t="s">
        <v>36</v>
      </c>
      <c r="S404">
        <f>Excel_Advanced_Sales_Dataset_2000__3[[#This Row],[Quantity]]*Excel_Advanced_Sales_Dataset_2000__3[[#This Row],[Unit Price]]*Excel_Advanced_Sales_Dataset_2000__3[[#This Row],[Discount %]]/100</f>
        <v>33714.524844</v>
      </c>
      <c r="T404" s="4">
        <f>Excel_Advanced_Sales_Dataset_2000__3[[#This Row],[Quantity]]*Excel_Advanced_Sales_Dataset_2000__3[[#This Row],[Unit Price]]-Excel_Advanced_Sales_Dataset_2000__3[[#This Row],[Discount Amount]]</f>
        <v>177133.035156</v>
      </c>
    </row>
    <row r="405" spans="1:20" x14ac:dyDescent="0.25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>
        <v>27</v>
      </c>
      <c r="J405" s="4">
        <v>49428.56</v>
      </c>
      <c r="K405" s="6">
        <v>11.59</v>
      </c>
      <c r="L405" s="4">
        <v>1179894.33</v>
      </c>
      <c r="M405" s="4" t="str" cm="1">
        <f t="array" ref="M405">IF(Excel_Advanced_Sales_Dataset_2000__3[[#This Row],[Total Sales]]&gt;50000,{"Yes"},{"No"})</f>
        <v>Yes</v>
      </c>
      <c r="N405" s="5">
        <v>46176</v>
      </c>
      <c r="O405" s="1" t="s">
        <v>45</v>
      </c>
      <c r="P405" t="s">
        <v>35</v>
      </c>
      <c r="Q405" t="str">
        <f>IF(Excel_Advanced_Sales_Dataset_2000__3[[#This Row],[Delivery Status]]="Pending","Follow Up","Ok")</f>
        <v>Ok</v>
      </c>
      <c r="R405" s="1" t="s">
        <v>26</v>
      </c>
      <c r="S405">
        <f>Excel_Advanced_Sales_Dataset_2000__3[[#This Row],[Quantity]]*Excel_Advanced_Sales_Dataset_2000__3[[#This Row],[Unit Price]]*Excel_Advanced_Sales_Dataset_2000__3[[#This Row],[Discount %]]/100</f>
        <v>154676.79280799997</v>
      </c>
      <c r="T405" s="4">
        <f>Excel_Advanced_Sales_Dataset_2000__3[[#This Row],[Quantity]]*Excel_Advanced_Sales_Dataset_2000__3[[#This Row],[Unit Price]]-Excel_Advanced_Sales_Dataset_2000__3[[#This Row],[Discount Amount]]</f>
        <v>1179894.3271919999</v>
      </c>
    </row>
    <row r="406" spans="1:20" x14ac:dyDescent="0.25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>
        <v>28</v>
      </c>
      <c r="J406" s="4">
        <v>11899.91</v>
      </c>
      <c r="K406" s="6">
        <v>17.559999999999999</v>
      </c>
      <c r="L406" s="4">
        <v>274688</v>
      </c>
      <c r="M406" s="4" t="str" cm="1">
        <f t="array" ref="M406">IF(Excel_Advanced_Sales_Dataset_2000__3[[#This Row],[Total Sales]]&gt;50000,{"Yes"},{"No"})</f>
        <v>Yes</v>
      </c>
      <c r="N406" s="5">
        <v>46233</v>
      </c>
      <c r="O406" s="1" t="s">
        <v>113</v>
      </c>
      <c r="P406" t="s">
        <v>35</v>
      </c>
      <c r="Q406" t="str">
        <f>IF(Excel_Advanced_Sales_Dataset_2000__3[[#This Row],[Delivery Status]]="Pending","Follow Up","Ok")</f>
        <v>Ok</v>
      </c>
      <c r="R406" s="1" t="s">
        <v>36</v>
      </c>
      <c r="S406">
        <f>Excel_Advanced_Sales_Dataset_2000__3[[#This Row],[Quantity]]*Excel_Advanced_Sales_Dataset_2000__3[[#This Row],[Unit Price]]*Excel_Advanced_Sales_Dataset_2000__3[[#This Row],[Discount %]]/100</f>
        <v>58509.47748799999</v>
      </c>
      <c r="T406" s="4">
        <f>Excel_Advanced_Sales_Dataset_2000__3[[#This Row],[Quantity]]*Excel_Advanced_Sales_Dataset_2000__3[[#This Row],[Unit Price]]-Excel_Advanced_Sales_Dataset_2000__3[[#This Row],[Discount Amount]]</f>
        <v>274688.00251199998</v>
      </c>
    </row>
    <row r="407" spans="1:20" x14ac:dyDescent="0.25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>
        <v>44</v>
      </c>
      <c r="J407" s="4">
        <v>21653.87</v>
      </c>
      <c r="K407" s="6">
        <v>14</v>
      </c>
      <c r="L407" s="4">
        <v>819382.44</v>
      </c>
      <c r="M407" s="4" t="str" cm="1">
        <f t="array" ref="M407">IF(Excel_Advanced_Sales_Dataset_2000__3[[#This Row],[Total Sales]]&gt;50000,{"Yes"},{"No"})</f>
        <v>Yes</v>
      </c>
      <c r="N407" s="5">
        <v>46271</v>
      </c>
      <c r="O407" s="1" t="s">
        <v>45</v>
      </c>
      <c r="P407" t="s">
        <v>35</v>
      </c>
      <c r="Q407" t="str">
        <f>IF(Excel_Advanced_Sales_Dataset_2000__3[[#This Row],[Delivery Status]]="Pending","Follow Up","Ok")</f>
        <v>Ok</v>
      </c>
      <c r="R407" s="1" t="s">
        <v>26</v>
      </c>
      <c r="S407">
        <f>Excel_Advanced_Sales_Dataset_2000__3[[#This Row],[Quantity]]*Excel_Advanced_Sales_Dataset_2000__3[[#This Row],[Unit Price]]*Excel_Advanced_Sales_Dataset_2000__3[[#This Row],[Discount %]]/100</f>
        <v>133387.83919999999</v>
      </c>
      <c r="T407" s="4">
        <f>Excel_Advanced_Sales_Dataset_2000__3[[#This Row],[Quantity]]*Excel_Advanced_Sales_Dataset_2000__3[[#This Row],[Unit Price]]-Excel_Advanced_Sales_Dataset_2000__3[[#This Row],[Discount Amount]]</f>
        <v>819382.44079999998</v>
      </c>
    </row>
    <row r="408" spans="1:20" x14ac:dyDescent="0.25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>
        <v>13</v>
      </c>
      <c r="J408" s="4">
        <v>7798.07</v>
      </c>
      <c r="K408" s="6">
        <v>4.54</v>
      </c>
      <c r="L408" s="4">
        <v>96772.49</v>
      </c>
      <c r="M408" s="4" t="str" cm="1">
        <f t="array" ref="M408">IF(Excel_Advanced_Sales_Dataset_2000__3[[#This Row],[Total Sales]]&gt;50000,{"Yes"},{"No"})</f>
        <v>Yes</v>
      </c>
      <c r="N408" s="5">
        <v>46322</v>
      </c>
      <c r="O408" s="1" t="s">
        <v>113</v>
      </c>
      <c r="P408" t="s">
        <v>35</v>
      </c>
      <c r="Q408" t="str">
        <f>IF(Excel_Advanced_Sales_Dataset_2000__3[[#This Row],[Delivery Status]]="Pending","Follow Up","Ok")</f>
        <v>Ok</v>
      </c>
      <c r="R408" s="1" t="s">
        <v>36</v>
      </c>
      <c r="S408">
        <f>Excel_Advanced_Sales_Dataset_2000__3[[#This Row],[Quantity]]*Excel_Advanced_Sales_Dataset_2000__3[[#This Row],[Unit Price]]*Excel_Advanced_Sales_Dataset_2000__3[[#This Row],[Discount %]]/100</f>
        <v>4602.4209140000003</v>
      </c>
      <c r="T408" s="4">
        <f>Excel_Advanced_Sales_Dataset_2000__3[[#This Row],[Quantity]]*Excel_Advanced_Sales_Dataset_2000__3[[#This Row],[Unit Price]]-Excel_Advanced_Sales_Dataset_2000__3[[#This Row],[Discount Amount]]</f>
        <v>96772.489086000001</v>
      </c>
    </row>
    <row r="409" spans="1:20" x14ac:dyDescent="0.25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>
        <v>40</v>
      </c>
      <c r="J409" s="4">
        <v>46787.199999999997</v>
      </c>
      <c r="K409" s="6">
        <v>13.21</v>
      </c>
      <c r="L409" s="4">
        <v>1624264.44</v>
      </c>
      <c r="M409" s="4" t="str" cm="1">
        <f t="array" ref="M409">IF(Excel_Advanced_Sales_Dataset_2000__3[[#This Row],[Total Sales]]&gt;50000,{"Yes"},{"No"})</f>
        <v>Yes</v>
      </c>
      <c r="N409" s="5">
        <v>46097</v>
      </c>
      <c r="O409" s="1" t="s">
        <v>68</v>
      </c>
      <c r="P409" t="s">
        <v>35</v>
      </c>
      <c r="Q409" t="str">
        <f>IF(Excel_Advanced_Sales_Dataset_2000__3[[#This Row],[Delivery Status]]="Pending","Follow Up","Ok")</f>
        <v>Ok</v>
      </c>
      <c r="R409" s="1" t="s">
        <v>53</v>
      </c>
      <c r="S409">
        <f>Excel_Advanced_Sales_Dataset_2000__3[[#This Row],[Quantity]]*Excel_Advanced_Sales_Dataset_2000__3[[#This Row],[Unit Price]]*Excel_Advanced_Sales_Dataset_2000__3[[#This Row],[Discount %]]/100</f>
        <v>247223.56479999999</v>
      </c>
      <c r="T409" s="4">
        <f>Excel_Advanced_Sales_Dataset_2000__3[[#This Row],[Quantity]]*Excel_Advanced_Sales_Dataset_2000__3[[#This Row],[Unit Price]]-Excel_Advanced_Sales_Dataset_2000__3[[#This Row],[Discount Amount]]</f>
        <v>1624264.4351999999</v>
      </c>
    </row>
    <row r="410" spans="1:20" x14ac:dyDescent="0.25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>
        <v>44</v>
      </c>
      <c r="J410" s="4">
        <v>27291.88</v>
      </c>
      <c r="K410" s="6">
        <v>14.49</v>
      </c>
      <c r="L410" s="4">
        <v>1026840.61</v>
      </c>
      <c r="M410" s="4" t="str" cm="1">
        <f t="array" ref="M410">IF(Excel_Advanced_Sales_Dataset_2000__3[[#This Row],[Total Sales]]&gt;50000,{"Yes"},{"No"})</f>
        <v>Yes</v>
      </c>
      <c r="N410" s="5">
        <v>46361</v>
      </c>
      <c r="O410" s="1" t="s">
        <v>45</v>
      </c>
      <c r="P410" t="s">
        <v>35</v>
      </c>
      <c r="Q410" t="str">
        <f>IF(Excel_Advanced_Sales_Dataset_2000__3[[#This Row],[Delivery Status]]="Pending","Follow Up","Ok")</f>
        <v>Ok</v>
      </c>
      <c r="R410" s="1" t="s">
        <v>26</v>
      </c>
      <c r="S410">
        <f>Excel_Advanced_Sales_Dataset_2000__3[[#This Row],[Quantity]]*Excel_Advanced_Sales_Dataset_2000__3[[#This Row],[Unit Price]]*Excel_Advanced_Sales_Dataset_2000__3[[#This Row],[Discount %]]/100</f>
        <v>174002.110128</v>
      </c>
      <c r="T410" s="4">
        <f>Excel_Advanced_Sales_Dataset_2000__3[[#This Row],[Quantity]]*Excel_Advanced_Sales_Dataset_2000__3[[#This Row],[Unit Price]]-Excel_Advanced_Sales_Dataset_2000__3[[#This Row],[Discount Amount]]</f>
        <v>1026840.6098719999</v>
      </c>
    </row>
    <row r="411" spans="1:20" x14ac:dyDescent="0.25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>
        <v>16</v>
      </c>
      <c r="J411" s="4">
        <v>2691.94</v>
      </c>
      <c r="K411" s="6">
        <v>11.86</v>
      </c>
      <c r="L411" s="4">
        <v>37962.81</v>
      </c>
      <c r="M411" s="4" t="str" cm="1">
        <f t="array" ref="M411">IF(Excel_Advanced_Sales_Dataset_2000__3[[#This Row],[Total Sales]]&gt;50000,{"Yes"},{"No"})</f>
        <v>No</v>
      </c>
      <c r="N411" s="5">
        <v>46287</v>
      </c>
      <c r="O411" s="1" t="s">
        <v>24</v>
      </c>
      <c r="P411" t="s">
        <v>35</v>
      </c>
      <c r="Q411" t="str">
        <f>IF(Excel_Advanced_Sales_Dataset_2000__3[[#This Row],[Delivery Status]]="Pending","Follow Up","Ok")</f>
        <v>Ok</v>
      </c>
      <c r="R411" s="1" t="s">
        <v>53</v>
      </c>
      <c r="S411">
        <f>Excel_Advanced_Sales_Dataset_2000__3[[#This Row],[Quantity]]*Excel_Advanced_Sales_Dataset_2000__3[[#This Row],[Unit Price]]*Excel_Advanced_Sales_Dataset_2000__3[[#This Row],[Discount %]]/100</f>
        <v>5108.2253440000004</v>
      </c>
      <c r="T411" s="4">
        <f>Excel_Advanced_Sales_Dataset_2000__3[[#This Row],[Quantity]]*Excel_Advanced_Sales_Dataset_2000__3[[#This Row],[Unit Price]]-Excel_Advanced_Sales_Dataset_2000__3[[#This Row],[Discount Amount]]</f>
        <v>37962.814656000002</v>
      </c>
    </row>
    <row r="412" spans="1:20" x14ac:dyDescent="0.25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>
        <v>24</v>
      </c>
      <c r="J412" s="4">
        <v>42518.2</v>
      </c>
      <c r="K412" s="6">
        <v>1.59</v>
      </c>
      <c r="L412" s="4">
        <v>1004211.85</v>
      </c>
      <c r="M412" s="4" t="str" cm="1">
        <f t="array" ref="M412">IF(Excel_Advanced_Sales_Dataset_2000__3[[#This Row],[Total Sales]]&gt;50000,{"Yes"},{"No"})</f>
        <v>Yes</v>
      </c>
      <c r="N412" s="5">
        <v>46221</v>
      </c>
      <c r="O412" s="1" t="s">
        <v>58</v>
      </c>
      <c r="P412" t="s">
        <v>35</v>
      </c>
      <c r="Q412" t="str">
        <f>IF(Excel_Advanced_Sales_Dataset_2000__3[[#This Row],[Delivery Status]]="Pending","Follow Up","Ok")</f>
        <v>Ok</v>
      </c>
      <c r="R412" s="1" t="s">
        <v>53</v>
      </c>
      <c r="S412">
        <f>Excel_Advanced_Sales_Dataset_2000__3[[#This Row],[Quantity]]*Excel_Advanced_Sales_Dataset_2000__3[[#This Row],[Unit Price]]*Excel_Advanced_Sales_Dataset_2000__3[[#This Row],[Discount %]]/100</f>
        <v>16224.945119999998</v>
      </c>
      <c r="T412" s="4">
        <f>Excel_Advanced_Sales_Dataset_2000__3[[#This Row],[Quantity]]*Excel_Advanced_Sales_Dataset_2000__3[[#This Row],[Unit Price]]-Excel_Advanced_Sales_Dataset_2000__3[[#This Row],[Discount Amount]]</f>
        <v>1004211.8548799999</v>
      </c>
    </row>
    <row r="413" spans="1:20" x14ac:dyDescent="0.25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>
        <v>19</v>
      </c>
      <c r="J413" s="4">
        <v>38310.32</v>
      </c>
      <c r="K413" s="6">
        <v>18.690000000000001</v>
      </c>
      <c r="L413" s="4">
        <v>591852.30000000005</v>
      </c>
      <c r="M413" s="4" t="str" cm="1">
        <f t="array" ref="M413">IF(Excel_Advanced_Sales_Dataset_2000__3[[#This Row],[Total Sales]]&gt;50000,{"Yes"},{"No"})</f>
        <v>Yes</v>
      </c>
      <c r="N413" s="5">
        <v>46297</v>
      </c>
      <c r="O413" s="1" t="s">
        <v>45</v>
      </c>
      <c r="P413" t="s">
        <v>35</v>
      </c>
      <c r="Q413" t="str">
        <f>IF(Excel_Advanced_Sales_Dataset_2000__3[[#This Row],[Delivery Status]]="Pending","Follow Up","Ok")</f>
        <v>Ok</v>
      </c>
      <c r="R413" s="1" t="s">
        <v>26</v>
      </c>
      <c r="S413">
        <f>Excel_Advanced_Sales_Dataset_2000__3[[#This Row],[Quantity]]*Excel_Advanced_Sales_Dataset_2000__3[[#This Row],[Unit Price]]*Excel_Advanced_Sales_Dataset_2000__3[[#This Row],[Discount %]]/100</f>
        <v>136043.777352</v>
      </c>
      <c r="T413" s="4">
        <f>Excel_Advanced_Sales_Dataset_2000__3[[#This Row],[Quantity]]*Excel_Advanced_Sales_Dataset_2000__3[[#This Row],[Unit Price]]-Excel_Advanced_Sales_Dataset_2000__3[[#This Row],[Discount Amount]]</f>
        <v>591852.30264799995</v>
      </c>
    </row>
    <row r="414" spans="1:20" x14ac:dyDescent="0.25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>
        <v>23</v>
      </c>
      <c r="J414" s="4">
        <v>38377.25</v>
      </c>
      <c r="K414" s="6">
        <v>0.82</v>
      </c>
      <c r="L414" s="4">
        <v>875438.8</v>
      </c>
      <c r="M414" s="4" t="str" cm="1">
        <f t="array" ref="M414">IF(Excel_Advanced_Sales_Dataset_2000__3[[#This Row],[Total Sales]]&gt;50000,{"Yes"},{"No"})</f>
        <v>Yes</v>
      </c>
      <c r="N414" s="5">
        <v>46086</v>
      </c>
      <c r="O414" s="1" t="s">
        <v>58</v>
      </c>
      <c r="P414" t="s">
        <v>35</v>
      </c>
      <c r="Q414" t="str">
        <f>IF(Excel_Advanced_Sales_Dataset_2000__3[[#This Row],[Delivery Status]]="Pending","Follow Up","Ok")</f>
        <v>Ok</v>
      </c>
      <c r="R414" s="1" t="s">
        <v>53</v>
      </c>
      <c r="S414">
        <f>Excel_Advanced_Sales_Dataset_2000__3[[#This Row],[Quantity]]*Excel_Advanced_Sales_Dataset_2000__3[[#This Row],[Unit Price]]*Excel_Advanced_Sales_Dataset_2000__3[[#This Row],[Discount %]]/100</f>
        <v>7237.949349999999</v>
      </c>
      <c r="T414" s="4">
        <f>Excel_Advanced_Sales_Dataset_2000__3[[#This Row],[Quantity]]*Excel_Advanced_Sales_Dataset_2000__3[[#This Row],[Unit Price]]-Excel_Advanced_Sales_Dataset_2000__3[[#This Row],[Discount Amount]]</f>
        <v>875438.80064999999</v>
      </c>
    </row>
    <row r="415" spans="1:20" x14ac:dyDescent="0.25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>
        <v>33</v>
      </c>
      <c r="J415" s="4">
        <v>8506.42</v>
      </c>
      <c r="K415" s="6">
        <v>7.23</v>
      </c>
      <c r="L415" s="4">
        <v>260416.39</v>
      </c>
      <c r="M415" s="4" t="str" cm="1">
        <f t="array" ref="M415">IF(Excel_Advanced_Sales_Dataset_2000__3[[#This Row],[Total Sales]]&gt;50000,{"Yes"},{"No"})</f>
        <v>Yes</v>
      </c>
      <c r="N415" s="5">
        <v>46167</v>
      </c>
      <c r="O415" s="1" t="s">
        <v>58</v>
      </c>
      <c r="P415" t="s">
        <v>35</v>
      </c>
      <c r="Q415" t="str">
        <f>IF(Excel_Advanced_Sales_Dataset_2000__3[[#This Row],[Delivery Status]]="Pending","Follow Up","Ok")</f>
        <v>Ok</v>
      </c>
      <c r="R415" s="1" t="s">
        <v>36</v>
      </c>
      <c r="S415">
        <f>Excel_Advanced_Sales_Dataset_2000__3[[#This Row],[Quantity]]*Excel_Advanced_Sales_Dataset_2000__3[[#This Row],[Unit Price]]*Excel_Advanced_Sales_Dataset_2000__3[[#This Row],[Discount %]]/100</f>
        <v>20295.467477999999</v>
      </c>
      <c r="T415" s="4">
        <f>Excel_Advanced_Sales_Dataset_2000__3[[#This Row],[Quantity]]*Excel_Advanced_Sales_Dataset_2000__3[[#This Row],[Unit Price]]-Excel_Advanced_Sales_Dataset_2000__3[[#This Row],[Discount Amount]]</f>
        <v>260416.39252199998</v>
      </c>
    </row>
    <row r="416" spans="1:20" x14ac:dyDescent="0.25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>
        <v>7</v>
      </c>
      <c r="J416" s="4">
        <v>31356.25</v>
      </c>
      <c r="K416" s="6">
        <v>18.420000000000002</v>
      </c>
      <c r="L416" s="4">
        <v>179063</v>
      </c>
      <c r="M416" s="4" t="str" cm="1">
        <f t="array" ref="M416">IF(Excel_Advanced_Sales_Dataset_2000__3[[#This Row],[Total Sales]]&gt;50000,{"Yes"},{"No"})</f>
        <v>Yes</v>
      </c>
      <c r="N416" s="5">
        <v>46290</v>
      </c>
      <c r="O416" s="1" t="s">
        <v>68</v>
      </c>
      <c r="P416" t="s">
        <v>35</v>
      </c>
      <c r="Q416" t="str">
        <f>IF(Excel_Advanced_Sales_Dataset_2000__3[[#This Row],[Delivery Status]]="Pending","Follow Up","Ok")</f>
        <v>Ok</v>
      </c>
      <c r="R416" s="1" t="s">
        <v>53</v>
      </c>
      <c r="S416">
        <f>Excel_Advanced_Sales_Dataset_2000__3[[#This Row],[Quantity]]*Excel_Advanced_Sales_Dataset_2000__3[[#This Row],[Unit Price]]*Excel_Advanced_Sales_Dataset_2000__3[[#This Row],[Discount %]]/100</f>
        <v>40430.748750000006</v>
      </c>
      <c r="T416" s="4">
        <f>Excel_Advanced_Sales_Dataset_2000__3[[#This Row],[Quantity]]*Excel_Advanced_Sales_Dataset_2000__3[[#This Row],[Unit Price]]-Excel_Advanced_Sales_Dataset_2000__3[[#This Row],[Discount Amount]]</f>
        <v>179063.00125</v>
      </c>
    </row>
    <row r="417" spans="1:20" x14ac:dyDescent="0.25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>
        <v>26</v>
      </c>
      <c r="J417" s="4">
        <v>47922.95</v>
      </c>
      <c r="K417" s="6">
        <v>6.9</v>
      </c>
      <c r="L417" s="4">
        <v>1160022.93</v>
      </c>
      <c r="M417" s="4" t="str" cm="1">
        <f t="array" ref="M417">IF(Excel_Advanced_Sales_Dataset_2000__3[[#This Row],[Total Sales]]&gt;50000,{"Yes"},{"No"})</f>
        <v>Yes</v>
      </c>
      <c r="N417" s="5">
        <v>46136</v>
      </c>
      <c r="O417" s="1" t="s">
        <v>24</v>
      </c>
      <c r="P417" t="s">
        <v>35</v>
      </c>
      <c r="Q417" t="str">
        <f>IF(Excel_Advanced_Sales_Dataset_2000__3[[#This Row],[Delivery Status]]="Pending","Follow Up","Ok")</f>
        <v>Ok</v>
      </c>
      <c r="R417" s="1" t="s">
        <v>26</v>
      </c>
      <c r="S417">
        <f>Excel_Advanced_Sales_Dataset_2000__3[[#This Row],[Quantity]]*Excel_Advanced_Sales_Dataset_2000__3[[#This Row],[Unit Price]]*Excel_Advanced_Sales_Dataset_2000__3[[#This Row],[Discount %]]/100</f>
        <v>85973.772300000011</v>
      </c>
      <c r="T417" s="4">
        <f>Excel_Advanced_Sales_Dataset_2000__3[[#This Row],[Quantity]]*Excel_Advanced_Sales_Dataset_2000__3[[#This Row],[Unit Price]]-Excel_Advanced_Sales_Dataset_2000__3[[#This Row],[Discount Amount]]</f>
        <v>1160022.9276999999</v>
      </c>
    </row>
    <row r="418" spans="1:20" x14ac:dyDescent="0.25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>
        <v>11</v>
      </c>
      <c r="J418" s="4">
        <v>7121.81</v>
      </c>
      <c r="K418" s="6">
        <v>12.97</v>
      </c>
      <c r="L418" s="4">
        <v>68179.22</v>
      </c>
      <c r="M418" s="4" t="str" cm="1">
        <f t="array" ref="M418">IF(Excel_Advanced_Sales_Dataset_2000__3[[#This Row],[Total Sales]]&gt;50000,{"Yes"},{"No"})</f>
        <v>Yes</v>
      </c>
      <c r="N418" s="5">
        <v>46097</v>
      </c>
      <c r="O418" s="1" t="s">
        <v>68</v>
      </c>
      <c r="P418" t="s">
        <v>25</v>
      </c>
      <c r="Q418" t="str">
        <f>IF(Excel_Advanced_Sales_Dataset_2000__3[[#This Row],[Delivery Status]]="Pending","Follow Up","Ok")</f>
        <v>Follow Up</v>
      </c>
      <c r="R418" s="1" t="s">
        <v>36</v>
      </c>
      <c r="S418">
        <f>Excel_Advanced_Sales_Dataset_2000__3[[#This Row],[Quantity]]*Excel_Advanced_Sales_Dataset_2000__3[[#This Row],[Unit Price]]*Excel_Advanced_Sales_Dataset_2000__3[[#This Row],[Discount %]]/100</f>
        <v>10160.686327000001</v>
      </c>
      <c r="T418" s="4">
        <f>Excel_Advanced_Sales_Dataset_2000__3[[#This Row],[Quantity]]*Excel_Advanced_Sales_Dataset_2000__3[[#This Row],[Unit Price]]-Excel_Advanced_Sales_Dataset_2000__3[[#This Row],[Discount Amount]]</f>
        <v>68179.223673</v>
      </c>
    </row>
    <row r="419" spans="1:20" x14ac:dyDescent="0.25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>
        <v>25</v>
      </c>
      <c r="J419" s="4">
        <v>48030.96</v>
      </c>
      <c r="K419" s="6">
        <v>13.76</v>
      </c>
      <c r="L419" s="4">
        <v>1035547.5</v>
      </c>
      <c r="M419" s="4" t="str" cm="1">
        <f t="array" ref="M419">IF(Excel_Advanced_Sales_Dataset_2000__3[[#This Row],[Total Sales]]&gt;50000,{"Yes"},{"No"})</f>
        <v>Yes</v>
      </c>
      <c r="N419" s="5">
        <v>46378</v>
      </c>
      <c r="O419" s="1" t="s">
        <v>45</v>
      </c>
      <c r="P419" t="s">
        <v>35</v>
      </c>
      <c r="Q419" t="str">
        <f>IF(Excel_Advanced_Sales_Dataset_2000__3[[#This Row],[Delivery Status]]="Pending","Follow Up","Ok")</f>
        <v>Ok</v>
      </c>
      <c r="R419" s="1" t="s">
        <v>36</v>
      </c>
      <c r="S419">
        <f>Excel_Advanced_Sales_Dataset_2000__3[[#This Row],[Quantity]]*Excel_Advanced_Sales_Dataset_2000__3[[#This Row],[Unit Price]]*Excel_Advanced_Sales_Dataset_2000__3[[#This Row],[Discount %]]/100</f>
        <v>165226.5024</v>
      </c>
      <c r="T419" s="4">
        <f>Excel_Advanced_Sales_Dataset_2000__3[[#This Row],[Quantity]]*Excel_Advanced_Sales_Dataset_2000__3[[#This Row],[Unit Price]]-Excel_Advanced_Sales_Dataset_2000__3[[#This Row],[Discount Amount]]</f>
        <v>1035547.4976</v>
      </c>
    </row>
    <row r="420" spans="1:20" x14ac:dyDescent="0.25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>
        <v>8</v>
      </c>
      <c r="J420" s="4">
        <v>24512.43</v>
      </c>
      <c r="K420" s="6">
        <v>17.3</v>
      </c>
      <c r="L420" s="4">
        <v>162174.24</v>
      </c>
      <c r="M420" s="4" t="str" cm="1">
        <f t="array" ref="M420">IF(Excel_Advanced_Sales_Dataset_2000__3[[#This Row],[Total Sales]]&gt;50000,{"Yes"},{"No"})</f>
        <v>Yes</v>
      </c>
      <c r="N420" s="5">
        <v>46107</v>
      </c>
      <c r="O420" s="1" t="s">
        <v>45</v>
      </c>
      <c r="P420" t="s">
        <v>35</v>
      </c>
      <c r="Q420" t="str">
        <f>IF(Excel_Advanced_Sales_Dataset_2000__3[[#This Row],[Delivery Status]]="Pending","Follow Up","Ok")</f>
        <v>Ok</v>
      </c>
      <c r="R420" s="1" t="s">
        <v>36</v>
      </c>
      <c r="S420">
        <f>Excel_Advanced_Sales_Dataset_2000__3[[#This Row],[Quantity]]*Excel_Advanced_Sales_Dataset_2000__3[[#This Row],[Unit Price]]*Excel_Advanced_Sales_Dataset_2000__3[[#This Row],[Discount %]]/100</f>
        <v>33925.203120000006</v>
      </c>
      <c r="T420" s="4">
        <f>Excel_Advanced_Sales_Dataset_2000__3[[#This Row],[Quantity]]*Excel_Advanced_Sales_Dataset_2000__3[[#This Row],[Unit Price]]-Excel_Advanced_Sales_Dataset_2000__3[[#This Row],[Discount Amount]]</f>
        <v>162174.23687999998</v>
      </c>
    </row>
    <row r="421" spans="1:20" x14ac:dyDescent="0.25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>
        <v>12</v>
      </c>
      <c r="J421" s="4">
        <v>29131.97</v>
      </c>
      <c r="K421" s="6">
        <v>12.57</v>
      </c>
      <c r="L421" s="4">
        <v>305640.98</v>
      </c>
      <c r="M421" s="4" t="str" cm="1">
        <f t="array" ref="M421">IF(Excel_Advanced_Sales_Dataset_2000__3[[#This Row],[Total Sales]]&gt;50000,{"Yes"},{"No"})</f>
        <v>Yes</v>
      </c>
      <c r="N421" s="5">
        <v>46192</v>
      </c>
      <c r="O421" s="1" t="s">
        <v>68</v>
      </c>
      <c r="P421" t="s">
        <v>25</v>
      </c>
      <c r="Q421" t="str">
        <f>IF(Excel_Advanced_Sales_Dataset_2000__3[[#This Row],[Delivery Status]]="Pending","Follow Up","Ok")</f>
        <v>Follow Up</v>
      </c>
      <c r="R421" s="1" t="s">
        <v>36</v>
      </c>
      <c r="S421">
        <f>Excel_Advanced_Sales_Dataset_2000__3[[#This Row],[Quantity]]*Excel_Advanced_Sales_Dataset_2000__3[[#This Row],[Unit Price]]*Excel_Advanced_Sales_Dataset_2000__3[[#This Row],[Discount %]]/100</f>
        <v>43942.663547999997</v>
      </c>
      <c r="T421" s="4">
        <f>Excel_Advanced_Sales_Dataset_2000__3[[#This Row],[Quantity]]*Excel_Advanced_Sales_Dataset_2000__3[[#This Row],[Unit Price]]-Excel_Advanced_Sales_Dataset_2000__3[[#This Row],[Discount Amount]]</f>
        <v>305640.97645200003</v>
      </c>
    </row>
    <row r="422" spans="1:20" x14ac:dyDescent="0.25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>
        <v>9</v>
      </c>
      <c r="J422" s="4">
        <v>17493.86</v>
      </c>
      <c r="K422" s="6">
        <v>10.6</v>
      </c>
      <c r="L422" s="4">
        <v>140755.6</v>
      </c>
      <c r="M422" s="4" t="str" cm="1">
        <f t="array" ref="M422">IF(Excel_Advanced_Sales_Dataset_2000__3[[#This Row],[Total Sales]]&gt;50000,{"Yes"},{"No"})</f>
        <v>Yes</v>
      </c>
      <c r="N422" s="5">
        <v>46126</v>
      </c>
      <c r="O422" s="1" t="s">
        <v>113</v>
      </c>
      <c r="P422" t="s">
        <v>35</v>
      </c>
      <c r="Q422" t="str">
        <f>IF(Excel_Advanced_Sales_Dataset_2000__3[[#This Row],[Delivery Status]]="Pending","Follow Up","Ok")</f>
        <v>Ok</v>
      </c>
      <c r="R422" s="1" t="s">
        <v>36</v>
      </c>
      <c r="S422">
        <f>Excel_Advanced_Sales_Dataset_2000__3[[#This Row],[Quantity]]*Excel_Advanced_Sales_Dataset_2000__3[[#This Row],[Unit Price]]*Excel_Advanced_Sales_Dataset_2000__3[[#This Row],[Discount %]]/100</f>
        <v>16689.14244</v>
      </c>
      <c r="T422" s="4">
        <f>Excel_Advanced_Sales_Dataset_2000__3[[#This Row],[Quantity]]*Excel_Advanced_Sales_Dataset_2000__3[[#This Row],[Unit Price]]-Excel_Advanced_Sales_Dataset_2000__3[[#This Row],[Discount Amount]]</f>
        <v>140755.59755999999</v>
      </c>
    </row>
    <row r="423" spans="1:20" x14ac:dyDescent="0.25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>
        <v>38</v>
      </c>
      <c r="J423" s="4">
        <v>40621.760000000002</v>
      </c>
      <c r="K423" s="6">
        <v>11.03</v>
      </c>
      <c r="L423" s="4">
        <v>1373364.84</v>
      </c>
      <c r="M423" s="4" t="str" cm="1">
        <f t="array" ref="M423">IF(Excel_Advanced_Sales_Dataset_2000__3[[#This Row],[Total Sales]]&gt;50000,{"Yes"},{"No"})</f>
        <v>Yes</v>
      </c>
      <c r="N423" s="5">
        <v>46194</v>
      </c>
      <c r="O423" s="1" t="s">
        <v>68</v>
      </c>
      <c r="P423" t="s">
        <v>35</v>
      </c>
      <c r="Q423" t="str">
        <f>IF(Excel_Advanced_Sales_Dataset_2000__3[[#This Row],[Delivery Status]]="Pending","Follow Up","Ok")</f>
        <v>Ok</v>
      </c>
      <c r="R423" s="1" t="s">
        <v>26</v>
      </c>
      <c r="S423">
        <f>Excel_Advanced_Sales_Dataset_2000__3[[#This Row],[Quantity]]*Excel_Advanced_Sales_Dataset_2000__3[[#This Row],[Unit Price]]*Excel_Advanced_Sales_Dataset_2000__3[[#This Row],[Discount %]]/100</f>
        <v>170262.044864</v>
      </c>
      <c r="T423" s="4">
        <f>Excel_Advanced_Sales_Dataset_2000__3[[#This Row],[Quantity]]*Excel_Advanced_Sales_Dataset_2000__3[[#This Row],[Unit Price]]-Excel_Advanced_Sales_Dataset_2000__3[[#This Row],[Discount Amount]]</f>
        <v>1373364.8351360001</v>
      </c>
    </row>
    <row r="424" spans="1:20" x14ac:dyDescent="0.25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>
        <v>12</v>
      </c>
      <c r="J424" s="4">
        <v>12956.49</v>
      </c>
      <c r="K424" s="6">
        <v>4.8099999999999996</v>
      </c>
      <c r="L424" s="4">
        <v>147999.39000000001</v>
      </c>
      <c r="M424" s="4" t="str" cm="1">
        <f t="array" ref="M424">IF(Excel_Advanced_Sales_Dataset_2000__3[[#This Row],[Total Sales]]&gt;50000,{"Yes"},{"No"})</f>
        <v>Yes</v>
      </c>
      <c r="N424" s="5">
        <v>46383</v>
      </c>
      <c r="O424" s="1" t="s">
        <v>45</v>
      </c>
      <c r="P424" t="s">
        <v>35</v>
      </c>
      <c r="Q424" t="str">
        <f>IF(Excel_Advanced_Sales_Dataset_2000__3[[#This Row],[Delivery Status]]="Pending","Follow Up","Ok")</f>
        <v>Ok</v>
      </c>
      <c r="R424" s="1" t="s">
        <v>36</v>
      </c>
      <c r="S424">
        <f>Excel_Advanced_Sales_Dataset_2000__3[[#This Row],[Quantity]]*Excel_Advanced_Sales_Dataset_2000__3[[#This Row],[Unit Price]]*Excel_Advanced_Sales_Dataset_2000__3[[#This Row],[Discount %]]/100</f>
        <v>7478.4860280000003</v>
      </c>
      <c r="T424" s="4">
        <f>Excel_Advanced_Sales_Dataset_2000__3[[#This Row],[Quantity]]*Excel_Advanced_Sales_Dataset_2000__3[[#This Row],[Unit Price]]-Excel_Advanced_Sales_Dataset_2000__3[[#This Row],[Discount Amount]]</f>
        <v>147999.39397199999</v>
      </c>
    </row>
    <row r="425" spans="1:20" x14ac:dyDescent="0.25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>
        <v>29</v>
      </c>
      <c r="J425" s="4">
        <v>36241.56</v>
      </c>
      <c r="K425" s="6">
        <v>12.37</v>
      </c>
      <c r="L425" s="4">
        <v>920995.89</v>
      </c>
      <c r="M425" s="4" t="str" cm="1">
        <f t="array" ref="M425">IF(Excel_Advanced_Sales_Dataset_2000__3[[#This Row],[Total Sales]]&gt;50000,{"Yes"},{"No"})</f>
        <v>Yes</v>
      </c>
      <c r="N425" s="5">
        <v>46148</v>
      </c>
      <c r="O425" s="1" t="s">
        <v>68</v>
      </c>
      <c r="P425" t="s">
        <v>35</v>
      </c>
      <c r="Q425" t="str">
        <f>IF(Excel_Advanced_Sales_Dataset_2000__3[[#This Row],[Delivery Status]]="Pending","Follow Up","Ok")</f>
        <v>Ok</v>
      </c>
      <c r="R425" s="1" t="s">
        <v>53</v>
      </c>
      <c r="S425">
        <f>Excel_Advanced_Sales_Dataset_2000__3[[#This Row],[Quantity]]*Excel_Advanced_Sales_Dataset_2000__3[[#This Row],[Unit Price]]*Excel_Advanced_Sales_Dataset_2000__3[[#This Row],[Discount %]]/100</f>
        <v>130009.34818799999</v>
      </c>
      <c r="T425" s="4">
        <f>Excel_Advanced_Sales_Dataset_2000__3[[#This Row],[Quantity]]*Excel_Advanced_Sales_Dataset_2000__3[[#This Row],[Unit Price]]-Excel_Advanced_Sales_Dataset_2000__3[[#This Row],[Discount Amount]]</f>
        <v>920995.89181199996</v>
      </c>
    </row>
    <row r="426" spans="1:20" x14ac:dyDescent="0.25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>
        <v>13</v>
      </c>
      <c r="J426" s="4">
        <v>40848.080000000002</v>
      </c>
      <c r="K426" s="6">
        <v>4.79</v>
      </c>
      <c r="L426" s="4">
        <v>505588.94</v>
      </c>
      <c r="M426" s="4" t="str" cm="1">
        <f t="array" ref="M426">IF(Excel_Advanced_Sales_Dataset_2000__3[[#This Row],[Total Sales]]&gt;50000,{"Yes"},{"No"})</f>
        <v>Yes</v>
      </c>
      <c r="N426" s="5">
        <v>46106</v>
      </c>
      <c r="O426" s="1" t="s">
        <v>24</v>
      </c>
      <c r="P426" t="s">
        <v>35</v>
      </c>
      <c r="Q426" t="str">
        <f>IF(Excel_Advanced_Sales_Dataset_2000__3[[#This Row],[Delivery Status]]="Pending","Follow Up","Ok")</f>
        <v>Ok</v>
      </c>
      <c r="R426" s="1" t="s">
        <v>36</v>
      </c>
      <c r="S426">
        <f>Excel_Advanced_Sales_Dataset_2000__3[[#This Row],[Quantity]]*Excel_Advanced_Sales_Dataset_2000__3[[#This Row],[Unit Price]]*Excel_Advanced_Sales_Dataset_2000__3[[#This Row],[Discount %]]/100</f>
        <v>25436.099416000001</v>
      </c>
      <c r="T426" s="4">
        <f>Excel_Advanced_Sales_Dataset_2000__3[[#This Row],[Quantity]]*Excel_Advanced_Sales_Dataset_2000__3[[#This Row],[Unit Price]]-Excel_Advanced_Sales_Dataset_2000__3[[#This Row],[Discount Amount]]</f>
        <v>505588.94058400003</v>
      </c>
    </row>
    <row r="427" spans="1:20" x14ac:dyDescent="0.25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>
        <v>4</v>
      </c>
      <c r="J427" s="4">
        <v>30654.62</v>
      </c>
      <c r="K427" s="6">
        <v>0.2</v>
      </c>
      <c r="L427" s="4">
        <v>122373.24</v>
      </c>
      <c r="M427" s="4" t="str" cm="1">
        <f t="array" ref="M427">IF(Excel_Advanced_Sales_Dataset_2000__3[[#This Row],[Total Sales]]&gt;50000,{"Yes"},{"No"})</f>
        <v>Yes</v>
      </c>
      <c r="N427" s="5">
        <v>46233</v>
      </c>
      <c r="O427" s="1" t="s">
        <v>68</v>
      </c>
      <c r="P427" t="s">
        <v>35</v>
      </c>
      <c r="Q427" t="str">
        <f>IF(Excel_Advanced_Sales_Dataset_2000__3[[#This Row],[Delivery Status]]="Pending","Follow Up","Ok")</f>
        <v>Ok</v>
      </c>
      <c r="R427" s="1" t="s">
        <v>53</v>
      </c>
      <c r="S427">
        <f>Excel_Advanced_Sales_Dataset_2000__3[[#This Row],[Quantity]]*Excel_Advanced_Sales_Dataset_2000__3[[#This Row],[Unit Price]]*Excel_Advanced_Sales_Dataset_2000__3[[#This Row],[Discount %]]/100</f>
        <v>245.23696000000001</v>
      </c>
      <c r="T427" s="4">
        <f>Excel_Advanced_Sales_Dataset_2000__3[[#This Row],[Quantity]]*Excel_Advanced_Sales_Dataset_2000__3[[#This Row],[Unit Price]]-Excel_Advanced_Sales_Dataset_2000__3[[#This Row],[Discount Amount]]</f>
        <v>122373.24304</v>
      </c>
    </row>
    <row r="428" spans="1:20" x14ac:dyDescent="0.25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>
        <v>47</v>
      </c>
      <c r="J428" s="4">
        <v>42733.83</v>
      </c>
      <c r="K428" s="6">
        <v>10.07</v>
      </c>
      <c r="L428" s="4">
        <v>1806235.07</v>
      </c>
      <c r="M428" s="4" t="str" cm="1">
        <f t="array" ref="M428">IF(Excel_Advanced_Sales_Dataset_2000__3[[#This Row],[Total Sales]]&gt;50000,{"Yes"},{"No"})</f>
        <v>Yes</v>
      </c>
      <c r="N428" s="5">
        <v>46094</v>
      </c>
      <c r="O428" s="1" t="s">
        <v>68</v>
      </c>
      <c r="P428" t="s">
        <v>35</v>
      </c>
      <c r="Q428" t="str">
        <f>IF(Excel_Advanced_Sales_Dataset_2000__3[[#This Row],[Delivery Status]]="Pending","Follow Up","Ok")</f>
        <v>Ok</v>
      </c>
      <c r="R428" s="1" t="s">
        <v>53</v>
      </c>
      <c r="S428">
        <f>Excel_Advanced_Sales_Dataset_2000__3[[#This Row],[Quantity]]*Excel_Advanced_Sales_Dataset_2000__3[[#This Row],[Unit Price]]*Excel_Advanced_Sales_Dataset_2000__3[[#This Row],[Discount %]]/100</f>
        <v>202254.94400699998</v>
      </c>
      <c r="T428" s="4">
        <f>Excel_Advanced_Sales_Dataset_2000__3[[#This Row],[Quantity]]*Excel_Advanced_Sales_Dataset_2000__3[[#This Row],[Unit Price]]-Excel_Advanced_Sales_Dataset_2000__3[[#This Row],[Discount Amount]]</f>
        <v>1806235.0659930001</v>
      </c>
    </row>
    <row r="429" spans="1:20" x14ac:dyDescent="0.25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>
        <v>40</v>
      </c>
      <c r="J429" s="4">
        <v>16260.04</v>
      </c>
      <c r="K429" s="6">
        <v>2.2599999999999998</v>
      </c>
      <c r="L429" s="4">
        <v>635702.52</v>
      </c>
      <c r="M429" s="4" t="str" cm="1">
        <f t="array" ref="M429">IF(Excel_Advanced_Sales_Dataset_2000__3[[#This Row],[Total Sales]]&gt;50000,{"Yes"},{"No"})</f>
        <v>Yes</v>
      </c>
      <c r="N429" s="5">
        <v>46104</v>
      </c>
      <c r="O429" s="1" t="s">
        <v>68</v>
      </c>
      <c r="P429" t="s">
        <v>35</v>
      </c>
      <c r="Q429" t="str">
        <f>IF(Excel_Advanced_Sales_Dataset_2000__3[[#This Row],[Delivery Status]]="Pending","Follow Up","Ok")</f>
        <v>Ok</v>
      </c>
      <c r="R429" s="1" t="s">
        <v>26</v>
      </c>
      <c r="S429">
        <f>Excel_Advanced_Sales_Dataset_2000__3[[#This Row],[Quantity]]*Excel_Advanced_Sales_Dataset_2000__3[[#This Row],[Unit Price]]*Excel_Advanced_Sales_Dataset_2000__3[[#This Row],[Discount %]]/100</f>
        <v>14699.076160000002</v>
      </c>
      <c r="T429" s="4">
        <f>Excel_Advanced_Sales_Dataset_2000__3[[#This Row],[Quantity]]*Excel_Advanced_Sales_Dataset_2000__3[[#This Row],[Unit Price]]-Excel_Advanced_Sales_Dataset_2000__3[[#This Row],[Discount Amount]]</f>
        <v>635702.52384000004</v>
      </c>
    </row>
    <row r="430" spans="1:20" x14ac:dyDescent="0.25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>
        <v>27</v>
      </c>
      <c r="J430" s="4">
        <v>16741.87</v>
      </c>
      <c r="K430" s="6">
        <v>2.1</v>
      </c>
      <c r="L430" s="4">
        <v>442537.85</v>
      </c>
      <c r="M430" s="4" t="str" cm="1">
        <f t="array" ref="M430">IF(Excel_Advanced_Sales_Dataset_2000__3[[#This Row],[Total Sales]]&gt;50000,{"Yes"},{"No"})</f>
        <v>Yes</v>
      </c>
      <c r="N430" s="5">
        <v>46214</v>
      </c>
      <c r="O430" s="1" t="s">
        <v>58</v>
      </c>
      <c r="P430" t="s">
        <v>35</v>
      </c>
      <c r="Q430" t="str">
        <f>IF(Excel_Advanced_Sales_Dataset_2000__3[[#This Row],[Delivery Status]]="Pending","Follow Up","Ok")</f>
        <v>Ok</v>
      </c>
      <c r="R430" s="1" t="s">
        <v>26</v>
      </c>
      <c r="S430">
        <f>Excel_Advanced_Sales_Dataset_2000__3[[#This Row],[Quantity]]*Excel_Advanced_Sales_Dataset_2000__3[[#This Row],[Unit Price]]*Excel_Advanced_Sales_Dataset_2000__3[[#This Row],[Discount %]]/100</f>
        <v>9492.6402899999994</v>
      </c>
      <c r="T430" s="4">
        <f>Excel_Advanced_Sales_Dataset_2000__3[[#This Row],[Quantity]]*Excel_Advanced_Sales_Dataset_2000__3[[#This Row],[Unit Price]]-Excel_Advanced_Sales_Dataset_2000__3[[#This Row],[Discount Amount]]</f>
        <v>442537.84970999998</v>
      </c>
    </row>
    <row r="431" spans="1:20" x14ac:dyDescent="0.25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>
        <v>16</v>
      </c>
      <c r="J431" s="4">
        <v>8881.57</v>
      </c>
      <c r="K431" s="6">
        <v>11.04</v>
      </c>
      <c r="L431" s="4">
        <v>126416.71</v>
      </c>
      <c r="M431" s="4" t="str" cm="1">
        <f t="array" ref="M431">IF(Excel_Advanced_Sales_Dataset_2000__3[[#This Row],[Total Sales]]&gt;50000,{"Yes"},{"No"})</f>
        <v>Yes</v>
      </c>
      <c r="N431" s="5">
        <v>46358</v>
      </c>
      <c r="O431" s="1" t="s">
        <v>58</v>
      </c>
      <c r="P431" t="s">
        <v>35</v>
      </c>
      <c r="Q431" t="str">
        <f>IF(Excel_Advanced_Sales_Dataset_2000__3[[#This Row],[Delivery Status]]="Pending","Follow Up","Ok")</f>
        <v>Ok</v>
      </c>
      <c r="R431" s="1" t="s">
        <v>53</v>
      </c>
      <c r="S431">
        <f>Excel_Advanced_Sales_Dataset_2000__3[[#This Row],[Quantity]]*Excel_Advanced_Sales_Dataset_2000__3[[#This Row],[Unit Price]]*Excel_Advanced_Sales_Dataset_2000__3[[#This Row],[Discount %]]/100</f>
        <v>15688.405247999997</v>
      </c>
      <c r="T431" s="4">
        <f>Excel_Advanced_Sales_Dataset_2000__3[[#This Row],[Quantity]]*Excel_Advanced_Sales_Dataset_2000__3[[#This Row],[Unit Price]]-Excel_Advanced_Sales_Dataset_2000__3[[#This Row],[Discount Amount]]</f>
        <v>126416.714752</v>
      </c>
    </row>
    <row r="432" spans="1:20" x14ac:dyDescent="0.25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>
        <v>31</v>
      </c>
      <c r="J432" s="4">
        <v>16608.38</v>
      </c>
      <c r="K432" s="6">
        <v>13.81</v>
      </c>
      <c r="L432" s="4">
        <v>443757.64</v>
      </c>
      <c r="M432" s="4" t="str" cm="1">
        <f t="array" ref="M432">IF(Excel_Advanced_Sales_Dataset_2000__3[[#This Row],[Total Sales]]&gt;50000,{"Yes"},{"No"})</f>
        <v>Yes</v>
      </c>
      <c r="N432" s="5">
        <v>46370</v>
      </c>
      <c r="O432" s="1" t="s">
        <v>68</v>
      </c>
      <c r="P432" t="s">
        <v>35</v>
      </c>
      <c r="Q432" t="str">
        <f>IF(Excel_Advanced_Sales_Dataset_2000__3[[#This Row],[Delivery Status]]="Pending","Follow Up","Ok")</f>
        <v>Ok</v>
      </c>
      <c r="R432" s="1" t="s">
        <v>26</v>
      </c>
      <c r="S432">
        <f>Excel_Advanced_Sales_Dataset_2000__3[[#This Row],[Quantity]]*Excel_Advanced_Sales_Dataset_2000__3[[#This Row],[Unit Price]]*Excel_Advanced_Sales_Dataset_2000__3[[#This Row],[Discount %]]/100</f>
        <v>71102.135618</v>
      </c>
      <c r="T432" s="4">
        <f>Excel_Advanced_Sales_Dataset_2000__3[[#This Row],[Quantity]]*Excel_Advanced_Sales_Dataset_2000__3[[#This Row],[Unit Price]]-Excel_Advanced_Sales_Dataset_2000__3[[#This Row],[Discount Amount]]</f>
        <v>443757.64438200003</v>
      </c>
    </row>
    <row r="433" spans="1:20" x14ac:dyDescent="0.25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>
        <v>33</v>
      </c>
      <c r="J433" s="4">
        <v>43765.72</v>
      </c>
      <c r="K433" s="6">
        <v>17.600000000000001</v>
      </c>
      <c r="L433" s="4">
        <v>1190077.46</v>
      </c>
      <c r="M433" s="4" t="str" cm="1">
        <f t="array" ref="M433">IF(Excel_Advanced_Sales_Dataset_2000__3[[#This Row],[Total Sales]]&gt;50000,{"Yes"},{"No"})</f>
        <v>Yes</v>
      </c>
      <c r="N433" s="5">
        <v>46250</v>
      </c>
      <c r="O433" s="1" t="s">
        <v>113</v>
      </c>
      <c r="P433" t="s">
        <v>35</v>
      </c>
      <c r="Q433" t="str">
        <f>IF(Excel_Advanced_Sales_Dataset_2000__3[[#This Row],[Delivery Status]]="Pending","Follow Up","Ok")</f>
        <v>Ok</v>
      </c>
      <c r="R433" s="1" t="s">
        <v>26</v>
      </c>
      <c r="S433">
        <f>Excel_Advanced_Sales_Dataset_2000__3[[#This Row],[Quantity]]*Excel_Advanced_Sales_Dataset_2000__3[[#This Row],[Unit Price]]*Excel_Advanced_Sales_Dataset_2000__3[[#This Row],[Discount %]]/100</f>
        <v>254191.30176000003</v>
      </c>
      <c r="T433" s="4">
        <f>Excel_Advanced_Sales_Dataset_2000__3[[#This Row],[Quantity]]*Excel_Advanced_Sales_Dataset_2000__3[[#This Row],[Unit Price]]-Excel_Advanced_Sales_Dataset_2000__3[[#This Row],[Discount Amount]]</f>
        <v>1190077.4582400001</v>
      </c>
    </row>
    <row r="434" spans="1:20" x14ac:dyDescent="0.25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>
        <v>47</v>
      </c>
      <c r="J434" s="4">
        <v>33328.93</v>
      </c>
      <c r="K434" s="6">
        <v>14.86</v>
      </c>
      <c r="L434" s="4">
        <v>1333683.8</v>
      </c>
      <c r="M434" s="4" t="str" cm="1">
        <f t="array" ref="M434">IF(Excel_Advanced_Sales_Dataset_2000__3[[#This Row],[Total Sales]]&gt;50000,{"Yes"},{"No"})</f>
        <v>Yes</v>
      </c>
      <c r="N434" s="5">
        <v>46315</v>
      </c>
      <c r="O434" s="1" t="s">
        <v>45</v>
      </c>
      <c r="P434" t="s">
        <v>35</v>
      </c>
      <c r="Q434" t="str">
        <f>IF(Excel_Advanced_Sales_Dataset_2000__3[[#This Row],[Delivery Status]]="Pending","Follow Up","Ok")</f>
        <v>Ok</v>
      </c>
      <c r="R434" s="1" t="s">
        <v>26</v>
      </c>
      <c r="S434">
        <f>Excel_Advanced_Sales_Dataset_2000__3[[#This Row],[Quantity]]*Excel_Advanced_Sales_Dataset_2000__3[[#This Row],[Unit Price]]*Excel_Advanced_Sales_Dataset_2000__3[[#This Row],[Discount %]]/100</f>
        <v>232775.91290599998</v>
      </c>
      <c r="T434" s="4">
        <f>Excel_Advanced_Sales_Dataset_2000__3[[#This Row],[Quantity]]*Excel_Advanced_Sales_Dataset_2000__3[[#This Row],[Unit Price]]-Excel_Advanced_Sales_Dataset_2000__3[[#This Row],[Discount Amount]]</f>
        <v>1333683.797094</v>
      </c>
    </row>
    <row r="435" spans="1:20" x14ac:dyDescent="0.25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>
        <v>16</v>
      </c>
      <c r="J435" s="4">
        <v>25635.16</v>
      </c>
      <c r="K435" s="6">
        <v>16.329999999999998</v>
      </c>
      <c r="L435" s="4">
        <v>343183.01</v>
      </c>
      <c r="M435" s="4" t="str" cm="1">
        <f t="array" ref="M435">IF(Excel_Advanced_Sales_Dataset_2000__3[[#This Row],[Total Sales]]&gt;50000,{"Yes"},{"No"})</f>
        <v>Yes</v>
      </c>
      <c r="N435" s="5">
        <v>46057</v>
      </c>
      <c r="O435" s="1" t="s">
        <v>24</v>
      </c>
      <c r="P435" t="s">
        <v>35</v>
      </c>
      <c r="Q435" t="str">
        <f>IF(Excel_Advanced_Sales_Dataset_2000__3[[#This Row],[Delivery Status]]="Pending","Follow Up","Ok")</f>
        <v>Ok</v>
      </c>
      <c r="R435" s="1" t="s">
        <v>53</v>
      </c>
      <c r="S435">
        <f>Excel_Advanced_Sales_Dataset_2000__3[[#This Row],[Quantity]]*Excel_Advanced_Sales_Dataset_2000__3[[#This Row],[Unit Price]]*Excel_Advanced_Sales_Dataset_2000__3[[#This Row],[Discount %]]/100</f>
        <v>66979.546047999989</v>
      </c>
      <c r="T435" s="4">
        <f>Excel_Advanced_Sales_Dataset_2000__3[[#This Row],[Quantity]]*Excel_Advanced_Sales_Dataset_2000__3[[#This Row],[Unit Price]]-Excel_Advanced_Sales_Dataset_2000__3[[#This Row],[Discount Amount]]</f>
        <v>343183.01395200001</v>
      </c>
    </row>
    <row r="436" spans="1:20" x14ac:dyDescent="0.25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>
        <v>15</v>
      </c>
      <c r="J436" s="4">
        <v>35948.01</v>
      </c>
      <c r="K436" s="6">
        <v>9.3699999999999992</v>
      </c>
      <c r="L436" s="4">
        <v>488695.22</v>
      </c>
      <c r="M436" s="4" t="str" cm="1">
        <f t="array" ref="M436">IF(Excel_Advanced_Sales_Dataset_2000__3[[#This Row],[Total Sales]]&gt;50000,{"Yes"},{"No"})</f>
        <v>Yes</v>
      </c>
      <c r="N436" s="5">
        <v>46166</v>
      </c>
      <c r="O436" s="1" t="s">
        <v>113</v>
      </c>
      <c r="P436" t="s">
        <v>25</v>
      </c>
      <c r="Q436" t="str">
        <f>IF(Excel_Advanced_Sales_Dataset_2000__3[[#This Row],[Delivery Status]]="Pending","Follow Up","Ok")</f>
        <v>Follow Up</v>
      </c>
      <c r="R436" s="1" t="s">
        <v>26</v>
      </c>
      <c r="S436">
        <f>Excel_Advanced_Sales_Dataset_2000__3[[#This Row],[Quantity]]*Excel_Advanced_Sales_Dataset_2000__3[[#This Row],[Unit Price]]*Excel_Advanced_Sales_Dataset_2000__3[[#This Row],[Discount %]]/100</f>
        <v>50524.928054999997</v>
      </c>
      <c r="T436" s="4">
        <f>Excel_Advanced_Sales_Dataset_2000__3[[#This Row],[Quantity]]*Excel_Advanced_Sales_Dataset_2000__3[[#This Row],[Unit Price]]-Excel_Advanced_Sales_Dataset_2000__3[[#This Row],[Discount Amount]]</f>
        <v>488695.221945</v>
      </c>
    </row>
    <row r="437" spans="1:20" x14ac:dyDescent="0.25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>
        <v>21</v>
      </c>
      <c r="J437" s="4">
        <v>48467.31</v>
      </c>
      <c r="K437" s="6">
        <v>18.309999999999999</v>
      </c>
      <c r="L437" s="4">
        <v>831451.86</v>
      </c>
      <c r="M437" s="4" t="str" cm="1">
        <f t="array" ref="M437">IF(Excel_Advanced_Sales_Dataset_2000__3[[#This Row],[Total Sales]]&gt;50000,{"Yes"},{"No"})</f>
        <v>Yes</v>
      </c>
      <c r="N437" s="5">
        <v>46257</v>
      </c>
      <c r="O437" s="1" t="s">
        <v>45</v>
      </c>
      <c r="P437" t="s">
        <v>35</v>
      </c>
      <c r="Q437" t="str">
        <f>IF(Excel_Advanced_Sales_Dataset_2000__3[[#This Row],[Delivery Status]]="Pending","Follow Up","Ok")</f>
        <v>Ok</v>
      </c>
      <c r="R437" s="1" t="s">
        <v>26</v>
      </c>
      <c r="S437">
        <f>Excel_Advanced_Sales_Dataset_2000__3[[#This Row],[Quantity]]*Excel_Advanced_Sales_Dataset_2000__3[[#This Row],[Unit Price]]*Excel_Advanced_Sales_Dataset_2000__3[[#This Row],[Discount %]]/100</f>
        <v>186361.653681</v>
      </c>
      <c r="T437" s="4">
        <f>Excel_Advanced_Sales_Dataset_2000__3[[#This Row],[Quantity]]*Excel_Advanced_Sales_Dataset_2000__3[[#This Row],[Unit Price]]-Excel_Advanced_Sales_Dataset_2000__3[[#This Row],[Discount Amount]]</f>
        <v>831451.85631900001</v>
      </c>
    </row>
    <row r="438" spans="1:20" x14ac:dyDescent="0.25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>
        <v>43</v>
      </c>
      <c r="J438" s="4">
        <v>35573.53</v>
      </c>
      <c r="K438" s="6">
        <v>3.78</v>
      </c>
      <c r="L438" s="4">
        <v>1471840.57</v>
      </c>
      <c r="M438" s="4" t="str" cm="1">
        <f t="array" ref="M438">IF(Excel_Advanced_Sales_Dataset_2000__3[[#This Row],[Total Sales]]&gt;50000,{"Yes"},{"No"})</f>
        <v>Yes</v>
      </c>
      <c r="N438" s="5">
        <v>46250</v>
      </c>
      <c r="O438" s="1" t="s">
        <v>58</v>
      </c>
      <c r="P438" t="s">
        <v>35</v>
      </c>
      <c r="Q438" t="str">
        <f>IF(Excel_Advanced_Sales_Dataset_2000__3[[#This Row],[Delivery Status]]="Pending","Follow Up","Ok")</f>
        <v>Ok</v>
      </c>
      <c r="R438" s="1" t="s">
        <v>36</v>
      </c>
      <c r="S438">
        <f>Excel_Advanced_Sales_Dataset_2000__3[[#This Row],[Quantity]]*Excel_Advanced_Sales_Dataset_2000__3[[#This Row],[Unit Price]]*Excel_Advanced_Sales_Dataset_2000__3[[#This Row],[Discount %]]/100</f>
        <v>57821.215662000002</v>
      </c>
      <c r="T438" s="4">
        <f>Excel_Advanced_Sales_Dataset_2000__3[[#This Row],[Quantity]]*Excel_Advanced_Sales_Dataset_2000__3[[#This Row],[Unit Price]]-Excel_Advanced_Sales_Dataset_2000__3[[#This Row],[Discount Amount]]</f>
        <v>1471840.574338</v>
      </c>
    </row>
    <row r="439" spans="1:20" x14ac:dyDescent="0.25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>
        <v>33</v>
      </c>
      <c r="J439" s="4">
        <v>30193.7</v>
      </c>
      <c r="K439" s="6">
        <v>2.0499999999999998</v>
      </c>
      <c r="L439" s="4">
        <v>975966.06</v>
      </c>
      <c r="M439" s="4" t="str" cm="1">
        <f t="array" ref="M439">IF(Excel_Advanced_Sales_Dataset_2000__3[[#This Row],[Total Sales]]&gt;50000,{"Yes"},{"No"})</f>
        <v>Yes</v>
      </c>
      <c r="N439" s="5">
        <v>46054</v>
      </c>
      <c r="O439" s="1" t="s">
        <v>24</v>
      </c>
      <c r="P439" t="s">
        <v>35</v>
      </c>
      <c r="Q439" t="str">
        <f>IF(Excel_Advanced_Sales_Dataset_2000__3[[#This Row],[Delivery Status]]="Pending","Follow Up","Ok")</f>
        <v>Ok</v>
      </c>
      <c r="R439" s="1" t="s">
        <v>53</v>
      </c>
      <c r="S439">
        <f>Excel_Advanced_Sales_Dataset_2000__3[[#This Row],[Quantity]]*Excel_Advanced_Sales_Dataset_2000__3[[#This Row],[Unit Price]]*Excel_Advanced_Sales_Dataset_2000__3[[#This Row],[Discount %]]/100</f>
        <v>20426.038049999996</v>
      </c>
      <c r="T439" s="4">
        <f>Excel_Advanced_Sales_Dataset_2000__3[[#This Row],[Quantity]]*Excel_Advanced_Sales_Dataset_2000__3[[#This Row],[Unit Price]]-Excel_Advanced_Sales_Dataset_2000__3[[#This Row],[Discount Amount]]</f>
        <v>975966.06195</v>
      </c>
    </row>
    <row r="440" spans="1:20" x14ac:dyDescent="0.25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>
        <v>9</v>
      </c>
      <c r="J440" s="4">
        <v>34124.53</v>
      </c>
      <c r="K440" s="6">
        <v>1.5</v>
      </c>
      <c r="L440" s="4">
        <v>302513.96000000002</v>
      </c>
      <c r="M440" s="4" t="str" cm="1">
        <f t="array" ref="M440">IF(Excel_Advanced_Sales_Dataset_2000__3[[#This Row],[Total Sales]]&gt;50000,{"Yes"},{"No"})</f>
        <v>Yes</v>
      </c>
      <c r="N440" s="5">
        <v>46109</v>
      </c>
      <c r="O440" s="1" t="s">
        <v>45</v>
      </c>
      <c r="P440" t="s">
        <v>25</v>
      </c>
      <c r="Q440" t="str">
        <f>IF(Excel_Advanced_Sales_Dataset_2000__3[[#This Row],[Delivery Status]]="Pending","Follow Up","Ok")</f>
        <v>Follow Up</v>
      </c>
      <c r="R440" s="1" t="s">
        <v>36</v>
      </c>
      <c r="S440">
        <f>Excel_Advanced_Sales_Dataset_2000__3[[#This Row],[Quantity]]*Excel_Advanced_Sales_Dataset_2000__3[[#This Row],[Unit Price]]*Excel_Advanced_Sales_Dataset_2000__3[[#This Row],[Discount %]]/100</f>
        <v>4606.8115500000004</v>
      </c>
      <c r="T440" s="4">
        <f>Excel_Advanced_Sales_Dataset_2000__3[[#This Row],[Quantity]]*Excel_Advanced_Sales_Dataset_2000__3[[#This Row],[Unit Price]]-Excel_Advanced_Sales_Dataset_2000__3[[#This Row],[Discount Amount]]</f>
        <v>302513.95845000003</v>
      </c>
    </row>
    <row r="441" spans="1:20" x14ac:dyDescent="0.25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>
        <v>27</v>
      </c>
      <c r="J441" s="4">
        <v>39031.480000000003</v>
      </c>
      <c r="K441" s="6">
        <v>6.91</v>
      </c>
      <c r="L441" s="4">
        <v>981028.93</v>
      </c>
      <c r="M441" s="4" t="str" cm="1">
        <f t="array" ref="M441">IF(Excel_Advanced_Sales_Dataset_2000__3[[#This Row],[Total Sales]]&gt;50000,{"Yes"},{"No"})</f>
        <v>Yes</v>
      </c>
      <c r="N441" s="5">
        <v>46031</v>
      </c>
      <c r="O441" s="1" t="s">
        <v>68</v>
      </c>
      <c r="P441" t="s">
        <v>35</v>
      </c>
      <c r="Q441" t="str">
        <f>IF(Excel_Advanced_Sales_Dataset_2000__3[[#This Row],[Delivery Status]]="Pending","Follow Up","Ok")</f>
        <v>Ok</v>
      </c>
      <c r="R441" s="1" t="s">
        <v>36</v>
      </c>
      <c r="S441">
        <f>Excel_Advanced_Sales_Dataset_2000__3[[#This Row],[Quantity]]*Excel_Advanced_Sales_Dataset_2000__3[[#This Row],[Unit Price]]*Excel_Advanced_Sales_Dataset_2000__3[[#This Row],[Discount %]]/100</f>
        <v>72821.032236000014</v>
      </c>
      <c r="T441" s="4">
        <f>Excel_Advanced_Sales_Dataset_2000__3[[#This Row],[Quantity]]*Excel_Advanced_Sales_Dataset_2000__3[[#This Row],[Unit Price]]-Excel_Advanced_Sales_Dataset_2000__3[[#This Row],[Discount Amount]]</f>
        <v>981028.92776400014</v>
      </c>
    </row>
    <row r="442" spans="1:20" x14ac:dyDescent="0.25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>
        <v>30</v>
      </c>
      <c r="J442" s="4">
        <v>12331.06</v>
      </c>
      <c r="K442" s="6">
        <v>0.74</v>
      </c>
      <c r="L442" s="4">
        <v>367194.3</v>
      </c>
      <c r="M442" s="4" t="str" cm="1">
        <f t="array" ref="M442">IF(Excel_Advanced_Sales_Dataset_2000__3[[#This Row],[Total Sales]]&gt;50000,{"Yes"},{"No"})</f>
        <v>Yes</v>
      </c>
      <c r="N442" s="5">
        <v>46351</v>
      </c>
      <c r="O442" s="1" t="s">
        <v>24</v>
      </c>
      <c r="P442" t="s">
        <v>35</v>
      </c>
      <c r="Q442" t="str">
        <f>IF(Excel_Advanced_Sales_Dataset_2000__3[[#This Row],[Delivery Status]]="Pending","Follow Up","Ok")</f>
        <v>Ok</v>
      </c>
      <c r="R442" s="1" t="s">
        <v>26</v>
      </c>
      <c r="S442">
        <f>Excel_Advanced_Sales_Dataset_2000__3[[#This Row],[Quantity]]*Excel_Advanced_Sales_Dataset_2000__3[[#This Row],[Unit Price]]*Excel_Advanced_Sales_Dataset_2000__3[[#This Row],[Discount %]]/100</f>
        <v>2737.49532</v>
      </c>
      <c r="T442" s="4">
        <f>Excel_Advanced_Sales_Dataset_2000__3[[#This Row],[Quantity]]*Excel_Advanced_Sales_Dataset_2000__3[[#This Row],[Unit Price]]-Excel_Advanced_Sales_Dataset_2000__3[[#This Row],[Discount Amount]]</f>
        <v>367194.30468</v>
      </c>
    </row>
    <row r="443" spans="1:20" x14ac:dyDescent="0.25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>
        <v>41</v>
      </c>
      <c r="J443" s="4">
        <v>21912.98</v>
      </c>
      <c r="K443" s="6">
        <v>13.46</v>
      </c>
      <c r="L443" s="4">
        <v>777503.21</v>
      </c>
      <c r="M443" s="4" t="str" cm="1">
        <f t="array" ref="M443">IF(Excel_Advanced_Sales_Dataset_2000__3[[#This Row],[Total Sales]]&gt;50000,{"Yes"},{"No"})</f>
        <v>Yes</v>
      </c>
      <c r="N443" s="5">
        <v>46190</v>
      </c>
      <c r="O443" s="1" t="s">
        <v>58</v>
      </c>
      <c r="P443" t="s">
        <v>25</v>
      </c>
      <c r="Q443" t="str">
        <f>IF(Excel_Advanced_Sales_Dataset_2000__3[[#This Row],[Delivery Status]]="Pending","Follow Up","Ok")</f>
        <v>Follow Up</v>
      </c>
      <c r="R443" s="1" t="s">
        <v>53</v>
      </c>
      <c r="S443">
        <f>Excel_Advanced_Sales_Dataset_2000__3[[#This Row],[Quantity]]*Excel_Advanced_Sales_Dataset_2000__3[[#This Row],[Unit Price]]*Excel_Advanced_Sales_Dataset_2000__3[[#This Row],[Discount %]]/100</f>
        <v>120928.97142799999</v>
      </c>
      <c r="T443" s="4">
        <f>Excel_Advanced_Sales_Dataset_2000__3[[#This Row],[Quantity]]*Excel_Advanced_Sales_Dataset_2000__3[[#This Row],[Unit Price]]-Excel_Advanced_Sales_Dataset_2000__3[[#This Row],[Discount Amount]]</f>
        <v>777503.20857199992</v>
      </c>
    </row>
    <row r="444" spans="1:20" x14ac:dyDescent="0.25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>
        <v>50</v>
      </c>
      <c r="J444" s="4">
        <v>23969.89</v>
      </c>
      <c r="K444" s="6">
        <v>18.09</v>
      </c>
      <c r="L444" s="4">
        <v>981686.84</v>
      </c>
      <c r="M444" s="4" t="str" cm="1">
        <f t="array" ref="M444">IF(Excel_Advanced_Sales_Dataset_2000__3[[#This Row],[Total Sales]]&gt;50000,{"Yes"},{"No"})</f>
        <v>Yes</v>
      </c>
      <c r="N444" s="5">
        <v>46069</v>
      </c>
      <c r="O444" s="1" t="s">
        <v>58</v>
      </c>
      <c r="P444" t="s">
        <v>35</v>
      </c>
      <c r="Q444" t="str">
        <f>IF(Excel_Advanced_Sales_Dataset_2000__3[[#This Row],[Delivery Status]]="Pending","Follow Up","Ok")</f>
        <v>Ok</v>
      </c>
      <c r="R444" s="1" t="s">
        <v>36</v>
      </c>
      <c r="S444">
        <f>Excel_Advanced_Sales_Dataset_2000__3[[#This Row],[Quantity]]*Excel_Advanced_Sales_Dataset_2000__3[[#This Row],[Unit Price]]*Excel_Advanced_Sales_Dataset_2000__3[[#This Row],[Discount %]]/100</f>
        <v>216807.65505</v>
      </c>
      <c r="T444" s="4">
        <f>Excel_Advanced_Sales_Dataset_2000__3[[#This Row],[Quantity]]*Excel_Advanced_Sales_Dataset_2000__3[[#This Row],[Unit Price]]-Excel_Advanced_Sales_Dataset_2000__3[[#This Row],[Discount Amount]]</f>
        <v>981686.84495000006</v>
      </c>
    </row>
    <row r="445" spans="1:20" x14ac:dyDescent="0.25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>
        <v>43</v>
      </c>
      <c r="J445" s="4">
        <v>19450.759999999998</v>
      </c>
      <c r="K445" s="6">
        <v>8.07</v>
      </c>
      <c r="L445" s="4">
        <v>768886.6</v>
      </c>
      <c r="M445" s="4" t="str" cm="1">
        <f t="array" ref="M445">IF(Excel_Advanced_Sales_Dataset_2000__3[[#This Row],[Total Sales]]&gt;50000,{"Yes"},{"No"})</f>
        <v>Yes</v>
      </c>
      <c r="N445" s="5">
        <v>46349</v>
      </c>
      <c r="O445" s="1" t="s">
        <v>58</v>
      </c>
      <c r="P445" t="s">
        <v>35</v>
      </c>
      <c r="Q445" t="str">
        <f>IF(Excel_Advanced_Sales_Dataset_2000__3[[#This Row],[Delivery Status]]="Pending","Follow Up","Ok")</f>
        <v>Ok</v>
      </c>
      <c r="R445" s="1" t="s">
        <v>53</v>
      </c>
      <c r="S445">
        <f>Excel_Advanced_Sales_Dataset_2000__3[[#This Row],[Quantity]]*Excel_Advanced_Sales_Dataset_2000__3[[#This Row],[Unit Price]]*Excel_Advanced_Sales_Dataset_2000__3[[#This Row],[Discount %]]/100</f>
        <v>67496.082276000001</v>
      </c>
      <c r="T445" s="4">
        <f>Excel_Advanced_Sales_Dataset_2000__3[[#This Row],[Quantity]]*Excel_Advanced_Sales_Dataset_2000__3[[#This Row],[Unit Price]]-Excel_Advanced_Sales_Dataset_2000__3[[#This Row],[Discount Amount]]</f>
        <v>768886.59772399999</v>
      </c>
    </row>
    <row r="446" spans="1:20" x14ac:dyDescent="0.25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>
        <v>34</v>
      </c>
      <c r="J446" s="4">
        <v>46403.519999999997</v>
      </c>
      <c r="K446" s="6">
        <v>14.38</v>
      </c>
      <c r="L446" s="4">
        <v>1350843.59</v>
      </c>
      <c r="M446" s="4" t="str" cm="1">
        <f t="array" ref="M446">IF(Excel_Advanced_Sales_Dataset_2000__3[[#This Row],[Total Sales]]&gt;50000,{"Yes"},{"No"})</f>
        <v>Yes</v>
      </c>
      <c r="N446" s="5">
        <v>46347</v>
      </c>
      <c r="O446" s="1" t="s">
        <v>58</v>
      </c>
      <c r="P446" t="s">
        <v>25</v>
      </c>
      <c r="Q446" t="str">
        <f>IF(Excel_Advanced_Sales_Dataset_2000__3[[#This Row],[Delivery Status]]="Pending","Follow Up","Ok")</f>
        <v>Follow Up</v>
      </c>
      <c r="R446" s="1" t="s">
        <v>26</v>
      </c>
      <c r="S446">
        <f>Excel_Advanced_Sales_Dataset_2000__3[[#This Row],[Quantity]]*Excel_Advanced_Sales_Dataset_2000__3[[#This Row],[Unit Price]]*Excel_Advanced_Sales_Dataset_2000__3[[#This Row],[Discount %]]/100</f>
        <v>226876.08998399999</v>
      </c>
      <c r="T446" s="4">
        <f>Excel_Advanced_Sales_Dataset_2000__3[[#This Row],[Quantity]]*Excel_Advanced_Sales_Dataset_2000__3[[#This Row],[Unit Price]]-Excel_Advanced_Sales_Dataset_2000__3[[#This Row],[Discount Amount]]</f>
        <v>1350843.590016</v>
      </c>
    </row>
    <row r="447" spans="1:20" x14ac:dyDescent="0.25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>
        <v>50</v>
      </c>
      <c r="J447" s="4">
        <v>16506.46</v>
      </c>
      <c r="K447" s="6">
        <v>1.64</v>
      </c>
      <c r="L447" s="4">
        <v>811787.7</v>
      </c>
      <c r="M447" s="4" t="str" cm="1">
        <f t="array" ref="M447">IF(Excel_Advanced_Sales_Dataset_2000__3[[#This Row],[Total Sales]]&gt;50000,{"Yes"},{"No"})</f>
        <v>Yes</v>
      </c>
      <c r="N447" s="5">
        <v>46251</v>
      </c>
      <c r="O447" s="1" t="s">
        <v>68</v>
      </c>
      <c r="P447" t="s">
        <v>35</v>
      </c>
      <c r="Q447" t="str">
        <f>IF(Excel_Advanced_Sales_Dataset_2000__3[[#This Row],[Delivery Status]]="Pending","Follow Up","Ok")</f>
        <v>Ok</v>
      </c>
      <c r="R447" s="1" t="s">
        <v>53</v>
      </c>
      <c r="S447">
        <f>Excel_Advanced_Sales_Dataset_2000__3[[#This Row],[Quantity]]*Excel_Advanced_Sales_Dataset_2000__3[[#This Row],[Unit Price]]*Excel_Advanced_Sales_Dataset_2000__3[[#This Row],[Discount %]]/100</f>
        <v>13535.297199999999</v>
      </c>
      <c r="T447" s="4">
        <f>Excel_Advanced_Sales_Dataset_2000__3[[#This Row],[Quantity]]*Excel_Advanced_Sales_Dataset_2000__3[[#This Row],[Unit Price]]-Excel_Advanced_Sales_Dataset_2000__3[[#This Row],[Discount Amount]]</f>
        <v>811787.70279999997</v>
      </c>
    </row>
    <row r="448" spans="1:20" x14ac:dyDescent="0.25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>
        <v>39</v>
      </c>
      <c r="J448" s="4">
        <v>42896.28</v>
      </c>
      <c r="K448" s="6">
        <v>2.8</v>
      </c>
      <c r="L448" s="4">
        <v>1626112.18</v>
      </c>
      <c r="M448" s="4" t="str" cm="1">
        <f t="array" ref="M448">IF(Excel_Advanced_Sales_Dataset_2000__3[[#This Row],[Total Sales]]&gt;50000,{"Yes"},{"No"})</f>
        <v>Yes</v>
      </c>
      <c r="N448" s="5">
        <v>46163</v>
      </c>
      <c r="O448" s="1" t="s">
        <v>24</v>
      </c>
      <c r="P448" t="s">
        <v>35</v>
      </c>
      <c r="Q448" t="str">
        <f>IF(Excel_Advanced_Sales_Dataset_2000__3[[#This Row],[Delivery Status]]="Pending","Follow Up","Ok")</f>
        <v>Ok</v>
      </c>
      <c r="R448" s="1" t="s">
        <v>26</v>
      </c>
      <c r="S448">
        <f>Excel_Advanced_Sales_Dataset_2000__3[[#This Row],[Quantity]]*Excel_Advanced_Sales_Dataset_2000__3[[#This Row],[Unit Price]]*Excel_Advanced_Sales_Dataset_2000__3[[#This Row],[Discount %]]/100</f>
        <v>46842.737759999996</v>
      </c>
      <c r="T448" s="4">
        <f>Excel_Advanced_Sales_Dataset_2000__3[[#This Row],[Quantity]]*Excel_Advanced_Sales_Dataset_2000__3[[#This Row],[Unit Price]]-Excel_Advanced_Sales_Dataset_2000__3[[#This Row],[Discount Amount]]</f>
        <v>1626112.18224</v>
      </c>
    </row>
    <row r="449" spans="1:20" x14ac:dyDescent="0.25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>
        <v>24</v>
      </c>
      <c r="J449" s="4">
        <v>24816.69</v>
      </c>
      <c r="K449" s="6">
        <v>3.27</v>
      </c>
      <c r="L449" s="4">
        <v>576124.42000000004</v>
      </c>
      <c r="M449" s="4" t="str" cm="1">
        <f t="array" ref="M449">IF(Excel_Advanced_Sales_Dataset_2000__3[[#This Row],[Total Sales]]&gt;50000,{"Yes"},{"No"})</f>
        <v>Yes</v>
      </c>
      <c r="N449" s="5">
        <v>46316</v>
      </c>
      <c r="O449" s="1" t="s">
        <v>45</v>
      </c>
      <c r="P449" t="s">
        <v>35</v>
      </c>
      <c r="Q449" t="str">
        <f>IF(Excel_Advanced_Sales_Dataset_2000__3[[#This Row],[Delivery Status]]="Pending","Follow Up","Ok")</f>
        <v>Ok</v>
      </c>
      <c r="R449" s="1" t="s">
        <v>53</v>
      </c>
      <c r="S449">
        <f>Excel_Advanced_Sales_Dataset_2000__3[[#This Row],[Quantity]]*Excel_Advanced_Sales_Dataset_2000__3[[#This Row],[Unit Price]]*Excel_Advanced_Sales_Dataset_2000__3[[#This Row],[Discount %]]/100</f>
        <v>19476.138311999999</v>
      </c>
      <c r="T449" s="4">
        <f>Excel_Advanced_Sales_Dataset_2000__3[[#This Row],[Quantity]]*Excel_Advanced_Sales_Dataset_2000__3[[#This Row],[Unit Price]]-Excel_Advanced_Sales_Dataset_2000__3[[#This Row],[Discount Amount]]</f>
        <v>576124.42168799997</v>
      </c>
    </row>
    <row r="450" spans="1:20" x14ac:dyDescent="0.25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>
        <v>9</v>
      </c>
      <c r="J450" s="4">
        <v>28768.02</v>
      </c>
      <c r="K450" s="6">
        <v>10.45</v>
      </c>
      <c r="L450" s="4">
        <v>231855.86</v>
      </c>
      <c r="M450" s="4" t="str" cm="1">
        <f t="array" ref="M450">IF(Excel_Advanced_Sales_Dataset_2000__3[[#This Row],[Total Sales]]&gt;50000,{"Yes"},{"No"})</f>
        <v>Yes</v>
      </c>
      <c r="N450" s="5">
        <v>46347</v>
      </c>
      <c r="O450" s="1" t="s">
        <v>58</v>
      </c>
      <c r="P450" t="s">
        <v>35</v>
      </c>
      <c r="Q450" t="str">
        <f>IF(Excel_Advanced_Sales_Dataset_2000__3[[#This Row],[Delivery Status]]="Pending","Follow Up","Ok")</f>
        <v>Ok</v>
      </c>
      <c r="R450" s="1" t="s">
        <v>36</v>
      </c>
      <c r="S450">
        <f>Excel_Advanced_Sales_Dataset_2000__3[[#This Row],[Quantity]]*Excel_Advanced_Sales_Dataset_2000__3[[#This Row],[Unit Price]]*Excel_Advanced_Sales_Dataset_2000__3[[#This Row],[Discount %]]/100</f>
        <v>27056.322809999998</v>
      </c>
      <c r="T450" s="4">
        <f>Excel_Advanced_Sales_Dataset_2000__3[[#This Row],[Quantity]]*Excel_Advanced_Sales_Dataset_2000__3[[#This Row],[Unit Price]]-Excel_Advanced_Sales_Dataset_2000__3[[#This Row],[Discount Amount]]</f>
        <v>231855.85719000001</v>
      </c>
    </row>
    <row r="451" spans="1:20" x14ac:dyDescent="0.25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>
        <v>41</v>
      </c>
      <c r="J451" s="4">
        <v>18919.310000000001</v>
      </c>
      <c r="K451" s="6">
        <v>1.08</v>
      </c>
      <c r="L451" s="4">
        <v>767314.24</v>
      </c>
      <c r="M451" s="4" t="str" cm="1">
        <f t="array" ref="M451">IF(Excel_Advanced_Sales_Dataset_2000__3[[#This Row],[Total Sales]]&gt;50000,{"Yes"},{"No"})</f>
        <v>Yes</v>
      </c>
      <c r="N451" s="5">
        <v>46351</v>
      </c>
      <c r="O451" s="1" t="s">
        <v>45</v>
      </c>
      <c r="P451" t="s">
        <v>35</v>
      </c>
      <c r="Q451" t="str">
        <f>IF(Excel_Advanced_Sales_Dataset_2000__3[[#This Row],[Delivery Status]]="Pending","Follow Up","Ok")</f>
        <v>Ok</v>
      </c>
      <c r="R451" s="1" t="s">
        <v>53</v>
      </c>
      <c r="S451">
        <f>Excel_Advanced_Sales_Dataset_2000__3[[#This Row],[Quantity]]*Excel_Advanced_Sales_Dataset_2000__3[[#This Row],[Unit Price]]*Excel_Advanced_Sales_Dataset_2000__3[[#This Row],[Discount %]]/100</f>
        <v>8377.4704680000013</v>
      </c>
      <c r="T451" s="4">
        <f>Excel_Advanced_Sales_Dataset_2000__3[[#This Row],[Quantity]]*Excel_Advanced_Sales_Dataset_2000__3[[#This Row],[Unit Price]]-Excel_Advanced_Sales_Dataset_2000__3[[#This Row],[Discount Amount]]</f>
        <v>767314.23953200004</v>
      </c>
    </row>
    <row r="452" spans="1:20" x14ac:dyDescent="0.25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>
        <v>49</v>
      </c>
      <c r="J452" s="4">
        <v>2344.5100000000002</v>
      </c>
      <c r="K452" s="6">
        <v>10.1</v>
      </c>
      <c r="L452" s="4">
        <v>103278.01</v>
      </c>
      <c r="M452" s="4" t="str" cm="1">
        <f t="array" ref="M452">IF(Excel_Advanced_Sales_Dataset_2000__3[[#This Row],[Total Sales]]&gt;50000,{"Yes"},{"No"})</f>
        <v>Yes</v>
      </c>
      <c r="N452" s="5">
        <v>46025</v>
      </c>
      <c r="O452" s="1" t="s">
        <v>113</v>
      </c>
      <c r="P452" t="s">
        <v>35</v>
      </c>
      <c r="Q452" t="str">
        <f>IF(Excel_Advanced_Sales_Dataset_2000__3[[#This Row],[Delivery Status]]="Pending","Follow Up","Ok")</f>
        <v>Ok</v>
      </c>
      <c r="R452" s="1" t="s">
        <v>53</v>
      </c>
      <c r="S452">
        <f>Excel_Advanced_Sales_Dataset_2000__3[[#This Row],[Quantity]]*Excel_Advanced_Sales_Dataset_2000__3[[#This Row],[Unit Price]]*Excel_Advanced_Sales_Dataset_2000__3[[#This Row],[Discount %]]/100</f>
        <v>11602.97999</v>
      </c>
      <c r="T452" s="4">
        <f>Excel_Advanced_Sales_Dataset_2000__3[[#This Row],[Quantity]]*Excel_Advanced_Sales_Dataset_2000__3[[#This Row],[Unit Price]]-Excel_Advanced_Sales_Dataset_2000__3[[#This Row],[Discount Amount]]</f>
        <v>103278.01001</v>
      </c>
    </row>
    <row r="453" spans="1:20" x14ac:dyDescent="0.25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>
        <v>14</v>
      </c>
      <c r="J453" s="4">
        <v>20574.150000000001</v>
      </c>
      <c r="K453" s="6">
        <v>6.11</v>
      </c>
      <c r="L453" s="4">
        <v>270438.96999999997</v>
      </c>
      <c r="M453" s="4" t="str" cm="1">
        <f t="array" ref="M453">IF(Excel_Advanced_Sales_Dataset_2000__3[[#This Row],[Total Sales]]&gt;50000,{"Yes"},{"No"})</f>
        <v>Yes</v>
      </c>
      <c r="N453" s="5">
        <v>46239</v>
      </c>
      <c r="O453" s="1" t="s">
        <v>24</v>
      </c>
      <c r="P453" t="s">
        <v>35</v>
      </c>
      <c r="Q453" t="str">
        <f>IF(Excel_Advanced_Sales_Dataset_2000__3[[#This Row],[Delivery Status]]="Pending","Follow Up","Ok")</f>
        <v>Ok</v>
      </c>
      <c r="R453" s="1" t="s">
        <v>26</v>
      </c>
      <c r="S453">
        <f>Excel_Advanced_Sales_Dataset_2000__3[[#This Row],[Quantity]]*Excel_Advanced_Sales_Dataset_2000__3[[#This Row],[Unit Price]]*Excel_Advanced_Sales_Dataset_2000__3[[#This Row],[Discount %]]/100</f>
        <v>17599.127910000003</v>
      </c>
      <c r="T453" s="4">
        <f>Excel_Advanced_Sales_Dataset_2000__3[[#This Row],[Quantity]]*Excel_Advanced_Sales_Dataset_2000__3[[#This Row],[Unit Price]]-Excel_Advanced_Sales_Dataset_2000__3[[#This Row],[Discount Amount]]</f>
        <v>270438.97209000005</v>
      </c>
    </row>
    <row r="454" spans="1:20" x14ac:dyDescent="0.25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>
        <v>38</v>
      </c>
      <c r="J454" s="4">
        <v>49066.25</v>
      </c>
      <c r="K454" s="6">
        <v>18.88</v>
      </c>
      <c r="L454" s="4">
        <v>1512496.6</v>
      </c>
      <c r="M454" s="4" t="str" cm="1">
        <f t="array" ref="M454">IF(Excel_Advanced_Sales_Dataset_2000__3[[#This Row],[Total Sales]]&gt;50000,{"Yes"},{"No"})</f>
        <v>Yes</v>
      </c>
      <c r="N454" s="5">
        <v>46100</v>
      </c>
      <c r="O454" s="1" t="s">
        <v>68</v>
      </c>
      <c r="P454" t="s">
        <v>35</v>
      </c>
      <c r="Q454" t="str">
        <f>IF(Excel_Advanced_Sales_Dataset_2000__3[[#This Row],[Delivery Status]]="Pending","Follow Up","Ok")</f>
        <v>Ok</v>
      </c>
      <c r="R454" s="1" t="s">
        <v>53</v>
      </c>
      <c r="S454">
        <f>Excel_Advanced_Sales_Dataset_2000__3[[#This Row],[Quantity]]*Excel_Advanced_Sales_Dataset_2000__3[[#This Row],[Unit Price]]*Excel_Advanced_Sales_Dataset_2000__3[[#This Row],[Discount %]]/100</f>
        <v>352020.90399999998</v>
      </c>
      <c r="T454" s="4">
        <f>Excel_Advanced_Sales_Dataset_2000__3[[#This Row],[Quantity]]*Excel_Advanced_Sales_Dataset_2000__3[[#This Row],[Unit Price]]-Excel_Advanced_Sales_Dataset_2000__3[[#This Row],[Discount Amount]]</f>
        <v>1512496.5959999999</v>
      </c>
    </row>
    <row r="455" spans="1:20" x14ac:dyDescent="0.25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>
        <v>30</v>
      </c>
      <c r="J455" s="4">
        <v>15808.64</v>
      </c>
      <c r="K455" s="6">
        <v>12.76</v>
      </c>
      <c r="L455" s="4">
        <v>413743.73</v>
      </c>
      <c r="M455" s="4" t="str" cm="1">
        <f t="array" ref="M455">IF(Excel_Advanced_Sales_Dataset_2000__3[[#This Row],[Total Sales]]&gt;50000,{"Yes"},{"No"})</f>
        <v>Yes</v>
      </c>
      <c r="N455" s="5">
        <v>46256</v>
      </c>
      <c r="O455" s="1" t="s">
        <v>58</v>
      </c>
      <c r="P455" t="s">
        <v>25</v>
      </c>
      <c r="Q455" t="str">
        <f>IF(Excel_Advanced_Sales_Dataset_2000__3[[#This Row],[Delivery Status]]="Pending","Follow Up","Ok")</f>
        <v>Follow Up</v>
      </c>
      <c r="R455" s="1" t="s">
        <v>26</v>
      </c>
      <c r="S455">
        <f>Excel_Advanced_Sales_Dataset_2000__3[[#This Row],[Quantity]]*Excel_Advanced_Sales_Dataset_2000__3[[#This Row],[Unit Price]]*Excel_Advanced_Sales_Dataset_2000__3[[#This Row],[Discount %]]/100</f>
        <v>60515.473919999989</v>
      </c>
      <c r="T455" s="4">
        <f>Excel_Advanced_Sales_Dataset_2000__3[[#This Row],[Quantity]]*Excel_Advanced_Sales_Dataset_2000__3[[#This Row],[Unit Price]]-Excel_Advanced_Sales_Dataset_2000__3[[#This Row],[Discount Amount]]</f>
        <v>413743.72607999993</v>
      </c>
    </row>
    <row r="456" spans="1:20" x14ac:dyDescent="0.25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>
        <v>5</v>
      </c>
      <c r="J456" s="4">
        <v>11371.35</v>
      </c>
      <c r="K456" s="6">
        <v>19.13</v>
      </c>
      <c r="L456" s="4">
        <v>45980.05</v>
      </c>
      <c r="M456" s="4" t="str" cm="1">
        <f t="array" ref="M456">IF(Excel_Advanced_Sales_Dataset_2000__3[[#This Row],[Total Sales]]&gt;50000,{"Yes"},{"No"})</f>
        <v>No</v>
      </c>
      <c r="N456" s="5">
        <v>46301</v>
      </c>
      <c r="O456" s="1" t="s">
        <v>113</v>
      </c>
      <c r="P456" t="s">
        <v>35</v>
      </c>
      <c r="Q456" t="str">
        <f>IF(Excel_Advanced_Sales_Dataset_2000__3[[#This Row],[Delivery Status]]="Pending","Follow Up","Ok")</f>
        <v>Ok</v>
      </c>
      <c r="R456" s="1" t="s">
        <v>53</v>
      </c>
      <c r="S456">
        <f>Excel_Advanced_Sales_Dataset_2000__3[[#This Row],[Quantity]]*Excel_Advanced_Sales_Dataset_2000__3[[#This Row],[Unit Price]]*Excel_Advanced_Sales_Dataset_2000__3[[#This Row],[Discount %]]/100</f>
        <v>10876.696275</v>
      </c>
      <c r="T456" s="4">
        <f>Excel_Advanced_Sales_Dataset_2000__3[[#This Row],[Quantity]]*Excel_Advanced_Sales_Dataset_2000__3[[#This Row],[Unit Price]]-Excel_Advanced_Sales_Dataset_2000__3[[#This Row],[Discount Amount]]</f>
        <v>45980.053724999998</v>
      </c>
    </row>
    <row r="457" spans="1:20" x14ac:dyDescent="0.25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>
        <v>33</v>
      </c>
      <c r="J457" s="4">
        <v>41271.760000000002</v>
      </c>
      <c r="K457" s="6">
        <v>11.91</v>
      </c>
      <c r="L457" s="4">
        <v>1199757.68</v>
      </c>
      <c r="M457" s="4" t="str" cm="1">
        <f t="array" ref="M457">IF(Excel_Advanced_Sales_Dataset_2000__3[[#This Row],[Total Sales]]&gt;50000,{"Yes"},{"No"})</f>
        <v>Yes</v>
      </c>
      <c r="N457" s="5">
        <v>46349</v>
      </c>
      <c r="O457" s="1" t="s">
        <v>68</v>
      </c>
      <c r="P457" t="s">
        <v>35</v>
      </c>
      <c r="Q457" t="str">
        <f>IF(Excel_Advanced_Sales_Dataset_2000__3[[#This Row],[Delivery Status]]="Pending","Follow Up","Ok")</f>
        <v>Ok</v>
      </c>
      <c r="R457" s="1" t="s">
        <v>53</v>
      </c>
      <c r="S457">
        <f>Excel_Advanced_Sales_Dataset_2000__3[[#This Row],[Quantity]]*Excel_Advanced_Sales_Dataset_2000__3[[#This Row],[Unit Price]]*Excel_Advanced_Sales_Dataset_2000__3[[#This Row],[Discount %]]/100</f>
        <v>162210.39832800001</v>
      </c>
      <c r="T457" s="4">
        <f>Excel_Advanced_Sales_Dataset_2000__3[[#This Row],[Quantity]]*Excel_Advanced_Sales_Dataset_2000__3[[#This Row],[Unit Price]]-Excel_Advanced_Sales_Dataset_2000__3[[#This Row],[Discount Amount]]</f>
        <v>1199757.6816720001</v>
      </c>
    </row>
    <row r="458" spans="1:20" x14ac:dyDescent="0.25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>
        <v>10</v>
      </c>
      <c r="J458" s="4">
        <v>26606.67</v>
      </c>
      <c r="K458" s="6">
        <v>10.47</v>
      </c>
      <c r="L458" s="4">
        <v>238209.52</v>
      </c>
      <c r="M458" s="4" t="str" cm="1">
        <f t="array" ref="M458">IF(Excel_Advanced_Sales_Dataset_2000__3[[#This Row],[Total Sales]]&gt;50000,{"Yes"},{"No"})</f>
        <v>Yes</v>
      </c>
      <c r="N458" s="5">
        <v>46276</v>
      </c>
      <c r="O458" s="1" t="s">
        <v>68</v>
      </c>
      <c r="P458" t="s">
        <v>35</v>
      </c>
      <c r="Q458" t="str">
        <f>IF(Excel_Advanced_Sales_Dataset_2000__3[[#This Row],[Delivery Status]]="Pending","Follow Up","Ok")</f>
        <v>Ok</v>
      </c>
      <c r="R458" s="1" t="s">
        <v>36</v>
      </c>
      <c r="S458">
        <f>Excel_Advanced_Sales_Dataset_2000__3[[#This Row],[Quantity]]*Excel_Advanced_Sales_Dataset_2000__3[[#This Row],[Unit Price]]*Excel_Advanced_Sales_Dataset_2000__3[[#This Row],[Discount %]]/100</f>
        <v>27857.183489999996</v>
      </c>
      <c r="T458" s="4">
        <f>Excel_Advanced_Sales_Dataset_2000__3[[#This Row],[Quantity]]*Excel_Advanced_Sales_Dataset_2000__3[[#This Row],[Unit Price]]-Excel_Advanced_Sales_Dataset_2000__3[[#This Row],[Discount Amount]]</f>
        <v>238209.51650999996</v>
      </c>
    </row>
    <row r="459" spans="1:20" x14ac:dyDescent="0.25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>
        <v>43</v>
      </c>
      <c r="J459" s="4">
        <v>22613.11</v>
      </c>
      <c r="K459" s="6">
        <v>3.83</v>
      </c>
      <c r="L459" s="4">
        <v>935122.2</v>
      </c>
      <c r="M459" s="4" t="str" cm="1">
        <f t="array" ref="M459">IF(Excel_Advanced_Sales_Dataset_2000__3[[#This Row],[Total Sales]]&gt;50000,{"Yes"},{"No"})</f>
        <v>Yes</v>
      </c>
      <c r="N459" s="5">
        <v>46326</v>
      </c>
      <c r="O459" s="1" t="s">
        <v>58</v>
      </c>
      <c r="P459" t="s">
        <v>35</v>
      </c>
      <c r="Q459" t="str">
        <f>IF(Excel_Advanced_Sales_Dataset_2000__3[[#This Row],[Delivery Status]]="Pending","Follow Up","Ok")</f>
        <v>Ok</v>
      </c>
      <c r="R459" s="1" t="s">
        <v>53</v>
      </c>
      <c r="S459">
        <f>Excel_Advanced_Sales_Dataset_2000__3[[#This Row],[Quantity]]*Excel_Advanced_Sales_Dataset_2000__3[[#This Row],[Unit Price]]*Excel_Advanced_Sales_Dataset_2000__3[[#This Row],[Discount %]]/100</f>
        <v>37241.530858999999</v>
      </c>
      <c r="T459" s="4">
        <f>Excel_Advanced_Sales_Dataset_2000__3[[#This Row],[Quantity]]*Excel_Advanced_Sales_Dataset_2000__3[[#This Row],[Unit Price]]-Excel_Advanced_Sales_Dataset_2000__3[[#This Row],[Discount Amount]]</f>
        <v>935122.19914099993</v>
      </c>
    </row>
    <row r="460" spans="1:20" x14ac:dyDescent="0.25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>
        <v>13</v>
      </c>
      <c r="J460" s="4">
        <v>43609.25</v>
      </c>
      <c r="K460" s="6">
        <v>2.76</v>
      </c>
      <c r="L460" s="4">
        <v>551273.25</v>
      </c>
      <c r="M460" s="4" t="str" cm="1">
        <f t="array" ref="M460">IF(Excel_Advanced_Sales_Dataset_2000__3[[#This Row],[Total Sales]]&gt;50000,{"Yes"},{"No"})</f>
        <v>Yes</v>
      </c>
      <c r="N460" s="5">
        <v>46169</v>
      </c>
      <c r="O460" s="1" t="s">
        <v>24</v>
      </c>
      <c r="P460" t="s">
        <v>35</v>
      </c>
      <c r="Q460" t="str">
        <f>IF(Excel_Advanced_Sales_Dataset_2000__3[[#This Row],[Delivery Status]]="Pending","Follow Up","Ok")</f>
        <v>Ok</v>
      </c>
      <c r="R460" s="1" t="s">
        <v>26</v>
      </c>
      <c r="S460">
        <f>Excel_Advanced_Sales_Dataset_2000__3[[#This Row],[Quantity]]*Excel_Advanced_Sales_Dataset_2000__3[[#This Row],[Unit Price]]*Excel_Advanced_Sales_Dataset_2000__3[[#This Row],[Discount %]]/100</f>
        <v>15646.998899999999</v>
      </c>
      <c r="T460" s="4">
        <f>Excel_Advanced_Sales_Dataset_2000__3[[#This Row],[Quantity]]*Excel_Advanced_Sales_Dataset_2000__3[[#This Row],[Unit Price]]-Excel_Advanced_Sales_Dataset_2000__3[[#This Row],[Discount Amount]]</f>
        <v>551273.25109999999</v>
      </c>
    </row>
    <row r="461" spans="1:20" x14ac:dyDescent="0.25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>
        <v>8</v>
      </c>
      <c r="J461" s="4">
        <v>41252.68</v>
      </c>
      <c r="K461" s="6">
        <v>18.989999999999998</v>
      </c>
      <c r="L461" s="4">
        <v>267350.37</v>
      </c>
      <c r="M461" s="4" t="str" cm="1">
        <f t="array" ref="M461">IF(Excel_Advanced_Sales_Dataset_2000__3[[#This Row],[Total Sales]]&gt;50000,{"Yes"},{"No"})</f>
        <v>Yes</v>
      </c>
      <c r="N461" s="5">
        <v>46173</v>
      </c>
      <c r="O461" s="1" t="s">
        <v>58</v>
      </c>
      <c r="P461" t="s">
        <v>35</v>
      </c>
      <c r="Q461" t="str">
        <f>IF(Excel_Advanced_Sales_Dataset_2000__3[[#This Row],[Delivery Status]]="Pending","Follow Up","Ok")</f>
        <v>Ok</v>
      </c>
      <c r="R461" s="1" t="s">
        <v>53</v>
      </c>
      <c r="S461">
        <f>Excel_Advanced_Sales_Dataset_2000__3[[#This Row],[Quantity]]*Excel_Advanced_Sales_Dataset_2000__3[[#This Row],[Unit Price]]*Excel_Advanced_Sales_Dataset_2000__3[[#This Row],[Discount %]]/100</f>
        <v>62671.071455999998</v>
      </c>
      <c r="T461" s="4">
        <f>Excel_Advanced_Sales_Dataset_2000__3[[#This Row],[Quantity]]*Excel_Advanced_Sales_Dataset_2000__3[[#This Row],[Unit Price]]-Excel_Advanced_Sales_Dataset_2000__3[[#This Row],[Discount Amount]]</f>
        <v>267350.36854400003</v>
      </c>
    </row>
    <row r="462" spans="1:20" x14ac:dyDescent="0.25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>
        <v>49</v>
      </c>
      <c r="J462" s="4">
        <v>18293.04</v>
      </c>
      <c r="K462" s="6">
        <v>2.63</v>
      </c>
      <c r="L462" s="4">
        <v>872784.72</v>
      </c>
      <c r="M462" s="4" t="str" cm="1">
        <f t="array" ref="M462">IF(Excel_Advanced_Sales_Dataset_2000__3[[#This Row],[Total Sales]]&gt;50000,{"Yes"},{"No"})</f>
        <v>Yes</v>
      </c>
      <c r="N462" s="5">
        <v>46169</v>
      </c>
      <c r="O462" s="1" t="s">
        <v>58</v>
      </c>
      <c r="P462" t="s">
        <v>35</v>
      </c>
      <c r="Q462" t="str">
        <f>IF(Excel_Advanced_Sales_Dataset_2000__3[[#This Row],[Delivery Status]]="Pending","Follow Up","Ok")</f>
        <v>Ok</v>
      </c>
      <c r="R462" s="1" t="s">
        <v>26</v>
      </c>
      <c r="S462">
        <f>Excel_Advanced_Sales_Dataset_2000__3[[#This Row],[Quantity]]*Excel_Advanced_Sales_Dataset_2000__3[[#This Row],[Unit Price]]*Excel_Advanced_Sales_Dataset_2000__3[[#This Row],[Discount %]]/100</f>
        <v>23574.240648000003</v>
      </c>
      <c r="T462" s="4">
        <f>Excel_Advanced_Sales_Dataset_2000__3[[#This Row],[Quantity]]*Excel_Advanced_Sales_Dataset_2000__3[[#This Row],[Unit Price]]-Excel_Advanced_Sales_Dataset_2000__3[[#This Row],[Discount Amount]]</f>
        <v>872784.71935200004</v>
      </c>
    </row>
    <row r="463" spans="1:20" x14ac:dyDescent="0.25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>
        <v>33</v>
      </c>
      <c r="J463" s="4">
        <v>18054.169999999998</v>
      </c>
      <c r="K463" s="6">
        <v>16.91</v>
      </c>
      <c r="L463" s="4">
        <v>495039.93</v>
      </c>
      <c r="M463" s="4" t="str" cm="1">
        <f t="array" ref="M463">IF(Excel_Advanced_Sales_Dataset_2000__3[[#This Row],[Total Sales]]&gt;50000,{"Yes"},{"No"})</f>
        <v>Yes</v>
      </c>
      <c r="N463" s="5">
        <v>46368</v>
      </c>
      <c r="O463" s="1" t="s">
        <v>113</v>
      </c>
      <c r="P463" t="s">
        <v>25</v>
      </c>
      <c r="Q463" t="str">
        <f>IF(Excel_Advanced_Sales_Dataset_2000__3[[#This Row],[Delivery Status]]="Pending","Follow Up","Ok")</f>
        <v>Follow Up</v>
      </c>
      <c r="R463" s="1" t="s">
        <v>53</v>
      </c>
      <c r="S463">
        <f>Excel_Advanced_Sales_Dataset_2000__3[[#This Row],[Quantity]]*Excel_Advanced_Sales_Dataset_2000__3[[#This Row],[Unit Price]]*Excel_Advanced_Sales_Dataset_2000__3[[#This Row],[Discount %]]/100</f>
        <v>100747.684851</v>
      </c>
      <c r="T463" s="4">
        <f>Excel_Advanced_Sales_Dataset_2000__3[[#This Row],[Quantity]]*Excel_Advanced_Sales_Dataset_2000__3[[#This Row],[Unit Price]]-Excel_Advanced_Sales_Dataset_2000__3[[#This Row],[Discount Amount]]</f>
        <v>495039.92514900002</v>
      </c>
    </row>
    <row r="464" spans="1:20" x14ac:dyDescent="0.25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>
        <v>14</v>
      </c>
      <c r="J464" s="4">
        <v>932.45</v>
      </c>
      <c r="K464" s="6">
        <v>2.54</v>
      </c>
      <c r="L464" s="4">
        <v>12722.72</v>
      </c>
      <c r="M464" s="4" t="str" cm="1">
        <f t="array" ref="M464">IF(Excel_Advanced_Sales_Dataset_2000__3[[#This Row],[Total Sales]]&gt;50000,{"Yes"},{"No"})</f>
        <v>No</v>
      </c>
      <c r="N464" s="5">
        <v>46371</v>
      </c>
      <c r="O464" s="1" t="s">
        <v>113</v>
      </c>
      <c r="P464" t="s">
        <v>35</v>
      </c>
      <c r="Q464" t="str">
        <f>IF(Excel_Advanced_Sales_Dataset_2000__3[[#This Row],[Delivery Status]]="Pending","Follow Up","Ok")</f>
        <v>Ok</v>
      </c>
      <c r="R464" s="1" t="s">
        <v>26</v>
      </c>
      <c r="S464">
        <f>Excel_Advanced_Sales_Dataset_2000__3[[#This Row],[Quantity]]*Excel_Advanced_Sales_Dataset_2000__3[[#This Row],[Unit Price]]*Excel_Advanced_Sales_Dataset_2000__3[[#This Row],[Discount %]]/100</f>
        <v>331.57922000000008</v>
      </c>
      <c r="T464" s="4">
        <f>Excel_Advanced_Sales_Dataset_2000__3[[#This Row],[Quantity]]*Excel_Advanced_Sales_Dataset_2000__3[[#This Row],[Unit Price]]-Excel_Advanced_Sales_Dataset_2000__3[[#This Row],[Discount Amount]]</f>
        <v>12722.720780000001</v>
      </c>
    </row>
    <row r="465" spans="1:20" x14ac:dyDescent="0.25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>
        <v>25</v>
      </c>
      <c r="J465" s="4">
        <v>36487.39</v>
      </c>
      <c r="K465" s="6">
        <v>7.22</v>
      </c>
      <c r="L465" s="4">
        <v>846325.01</v>
      </c>
      <c r="M465" s="4" t="str" cm="1">
        <f t="array" ref="M465">IF(Excel_Advanced_Sales_Dataset_2000__3[[#This Row],[Total Sales]]&gt;50000,{"Yes"},{"No"})</f>
        <v>Yes</v>
      </c>
      <c r="N465" s="5">
        <v>46223</v>
      </c>
      <c r="O465" s="1" t="s">
        <v>58</v>
      </c>
      <c r="P465" t="s">
        <v>35</v>
      </c>
      <c r="Q465" t="str">
        <f>IF(Excel_Advanced_Sales_Dataset_2000__3[[#This Row],[Delivery Status]]="Pending","Follow Up","Ok")</f>
        <v>Ok</v>
      </c>
      <c r="R465" s="1" t="s">
        <v>26</v>
      </c>
      <c r="S465">
        <f>Excel_Advanced_Sales_Dataset_2000__3[[#This Row],[Quantity]]*Excel_Advanced_Sales_Dataset_2000__3[[#This Row],[Unit Price]]*Excel_Advanced_Sales_Dataset_2000__3[[#This Row],[Discount %]]/100</f>
        <v>65859.738949999999</v>
      </c>
      <c r="T465" s="4">
        <f>Excel_Advanced_Sales_Dataset_2000__3[[#This Row],[Quantity]]*Excel_Advanced_Sales_Dataset_2000__3[[#This Row],[Unit Price]]-Excel_Advanced_Sales_Dataset_2000__3[[#This Row],[Discount Amount]]</f>
        <v>846325.01104999997</v>
      </c>
    </row>
    <row r="466" spans="1:20" x14ac:dyDescent="0.25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>
        <v>15</v>
      </c>
      <c r="J466" s="4">
        <v>40698.019999999997</v>
      </c>
      <c r="K466" s="6">
        <v>0.1</v>
      </c>
      <c r="L466" s="4">
        <v>609859.82999999996</v>
      </c>
      <c r="M466" s="4" t="str" cm="1">
        <f t="array" ref="M466">IF(Excel_Advanced_Sales_Dataset_2000__3[[#This Row],[Total Sales]]&gt;50000,{"Yes"},{"No"})</f>
        <v>Yes</v>
      </c>
      <c r="N466" s="5">
        <v>46368</v>
      </c>
      <c r="O466" s="1" t="s">
        <v>58</v>
      </c>
      <c r="P466" t="s">
        <v>35</v>
      </c>
      <c r="Q466" t="str">
        <f>IF(Excel_Advanced_Sales_Dataset_2000__3[[#This Row],[Delivery Status]]="Pending","Follow Up","Ok")</f>
        <v>Ok</v>
      </c>
      <c r="R466" s="1" t="s">
        <v>36</v>
      </c>
      <c r="S466">
        <f>Excel_Advanced_Sales_Dataset_2000__3[[#This Row],[Quantity]]*Excel_Advanced_Sales_Dataset_2000__3[[#This Row],[Unit Price]]*Excel_Advanced_Sales_Dataset_2000__3[[#This Row],[Discount %]]/100</f>
        <v>610.47029999999995</v>
      </c>
      <c r="T466" s="4">
        <f>Excel_Advanced_Sales_Dataset_2000__3[[#This Row],[Quantity]]*Excel_Advanced_Sales_Dataset_2000__3[[#This Row],[Unit Price]]-Excel_Advanced_Sales_Dataset_2000__3[[#This Row],[Discount Amount]]</f>
        <v>609859.82969999989</v>
      </c>
    </row>
    <row r="467" spans="1:20" x14ac:dyDescent="0.25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>
        <v>5</v>
      </c>
      <c r="J467" s="4">
        <v>47477.71</v>
      </c>
      <c r="K467" s="6">
        <v>0.6</v>
      </c>
      <c r="L467" s="4">
        <v>235964.22</v>
      </c>
      <c r="M467" s="4" t="str" cm="1">
        <f t="array" ref="M467">IF(Excel_Advanced_Sales_Dataset_2000__3[[#This Row],[Total Sales]]&gt;50000,{"Yes"},{"No"})</f>
        <v>Yes</v>
      </c>
      <c r="N467" s="5">
        <v>46267</v>
      </c>
      <c r="O467" s="1" t="s">
        <v>24</v>
      </c>
      <c r="P467" t="s">
        <v>35</v>
      </c>
      <c r="Q467" t="str">
        <f>IF(Excel_Advanced_Sales_Dataset_2000__3[[#This Row],[Delivery Status]]="Pending","Follow Up","Ok")</f>
        <v>Ok</v>
      </c>
      <c r="R467" s="1" t="s">
        <v>53</v>
      </c>
      <c r="S467">
        <f>Excel_Advanced_Sales_Dataset_2000__3[[#This Row],[Quantity]]*Excel_Advanced_Sales_Dataset_2000__3[[#This Row],[Unit Price]]*Excel_Advanced_Sales_Dataset_2000__3[[#This Row],[Discount %]]/100</f>
        <v>1424.3312999999998</v>
      </c>
      <c r="T467" s="4">
        <f>Excel_Advanced_Sales_Dataset_2000__3[[#This Row],[Quantity]]*Excel_Advanced_Sales_Dataset_2000__3[[#This Row],[Unit Price]]-Excel_Advanced_Sales_Dataset_2000__3[[#This Row],[Discount Amount]]</f>
        <v>235964.2187</v>
      </c>
    </row>
    <row r="468" spans="1:20" x14ac:dyDescent="0.25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>
        <v>26</v>
      </c>
      <c r="J468" s="4">
        <v>5176.6099999999997</v>
      </c>
      <c r="K468" s="6">
        <v>3.67</v>
      </c>
      <c r="L468" s="4">
        <v>129652.34</v>
      </c>
      <c r="M468" s="4" t="str" cm="1">
        <f t="array" ref="M468">IF(Excel_Advanced_Sales_Dataset_2000__3[[#This Row],[Total Sales]]&gt;50000,{"Yes"},{"No"})</f>
        <v>Yes</v>
      </c>
      <c r="N468" s="5">
        <v>46216</v>
      </c>
      <c r="O468" s="1" t="s">
        <v>113</v>
      </c>
      <c r="P468" t="s">
        <v>35</v>
      </c>
      <c r="Q468" t="str">
        <f>IF(Excel_Advanced_Sales_Dataset_2000__3[[#This Row],[Delivery Status]]="Pending","Follow Up","Ok")</f>
        <v>Ok</v>
      </c>
      <c r="R468" s="1" t="s">
        <v>36</v>
      </c>
      <c r="S468">
        <f>Excel_Advanced_Sales_Dataset_2000__3[[#This Row],[Quantity]]*Excel_Advanced_Sales_Dataset_2000__3[[#This Row],[Unit Price]]*Excel_Advanced_Sales_Dataset_2000__3[[#This Row],[Discount %]]/100</f>
        <v>4939.5212619999993</v>
      </c>
      <c r="T468" s="4">
        <f>Excel_Advanced_Sales_Dataset_2000__3[[#This Row],[Quantity]]*Excel_Advanced_Sales_Dataset_2000__3[[#This Row],[Unit Price]]-Excel_Advanced_Sales_Dataset_2000__3[[#This Row],[Discount Amount]]</f>
        <v>129652.33873799999</v>
      </c>
    </row>
    <row r="469" spans="1:20" x14ac:dyDescent="0.25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>
        <v>50</v>
      </c>
      <c r="J469" s="4">
        <v>14703.83</v>
      </c>
      <c r="K469" s="6">
        <v>17.78</v>
      </c>
      <c r="L469" s="4">
        <v>604474.44999999995</v>
      </c>
      <c r="M469" s="4" t="str" cm="1">
        <f t="array" ref="M469">IF(Excel_Advanced_Sales_Dataset_2000__3[[#This Row],[Total Sales]]&gt;50000,{"Yes"},{"No"})</f>
        <v>Yes</v>
      </c>
      <c r="N469" s="5">
        <v>46052</v>
      </c>
      <c r="O469" s="1" t="s">
        <v>45</v>
      </c>
      <c r="P469" t="s">
        <v>59</v>
      </c>
      <c r="Q469" t="str">
        <f>IF(Excel_Advanced_Sales_Dataset_2000__3[[#This Row],[Delivery Status]]="Pending","Follow Up","Ok")</f>
        <v>Ok</v>
      </c>
      <c r="R469" s="1" t="s">
        <v>53</v>
      </c>
      <c r="S469">
        <f>Excel_Advanced_Sales_Dataset_2000__3[[#This Row],[Quantity]]*Excel_Advanced_Sales_Dataset_2000__3[[#This Row],[Unit Price]]*Excel_Advanced_Sales_Dataset_2000__3[[#This Row],[Discount %]]/100</f>
        <v>130717.04870000001</v>
      </c>
      <c r="T469" s="4">
        <f>Excel_Advanced_Sales_Dataset_2000__3[[#This Row],[Quantity]]*Excel_Advanced_Sales_Dataset_2000__3[[#This Row],[Unit Price]]-Excel_Advanced_Sales_Dataset_2000__3[[#This Row],[Discount Amount]]</f>
        <v>604474.45129999996</v>
      </c>
    </row>
    <row r="470" spans="1:20" x14ac:dyDescent="0.25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>
        <v>32</v>
      </c>
      <c r="J470" s="4">
        <v>49678.99</v>
      </c>
      <c r="K470" s="6">
        <v>5.34</v>
      </c>
      <c r="L470" s="4">
        <v>1504836.22</v>
      </c>
      <c r="M470" s="4" t="str" cm="1">
        <f t="array" ref="M470">IF(Excel_Advanced_Sales_Dataset_2000__3[[#This Row],[Total Sales]]&gt;50000,{"Yes"},{"No"})</f>
        <v>Yes</v>
      </c>
      <c r="N470" s="5">
        <v>46295</v>
      </c>
      <c r="O470" s="1" t="s">
        <v>24</v>
      </c>
      <c r="P470" t="s">
        <v>35</v>
      </c>
      <c r="Q470" t="str">
        <f>IF(Excel_Advanced_Sales_Dataset_2000__3[[#This Row],[Delivery Status]]="Pending","Follow Up","Ok")</f>
        <v>Ok</v>
      </c>
      <c r="R470" s="1" t="s">
        <v>53</v>
      </c>
      <c r="S470">
        <f>Excel_Advanced_Sales_Dataset_2000__3[[#This Row],[Quantity]]*Excel_Advanced_Sales_Dataset_2000__3[[#This Row],[Unit Price]]*Excel_Advanced_Sales_Dataset_2000__3[[#This Row],[Discount %]]/100</f>
        <v>84891.458112000008</v>
      </c>
      <c r="T470" s="4">
        <f>Excel_Advanced_Sales_Dataset_2000__3[[#This Row],[Quantity]]*Excel_Advanced_Sales_Dataset_2000__3[[#This Row],[Unit Price]]-Excel_Advanced_Sales_Dataset_2000__3[[#This Row],[Discount Amount]]</f>
        <v>1504836.2218879999</v>
      </c>
    </row>
    <row r="471" spans="1:20" x14ac:dyDescent="0.25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>
        <v>40</v>
      </c>
      <c r="J471" s="4">
        <v>28757.1</v>
      </c>
      <c r="K471" s="6">
        <v>3.91</v>
      </c>
      <c r="L471" s="4">
        <v>1105307.8999999999</v>
      </c>
      <c r="M471" s="4" t="str" cm="1">
        <f t="array" ref="M471">IF(Excel_Advanced_Sales_Dataset_2000__3[[#This Row],[Total Sales]]&gt;50000,{"Yes"},{"No"})</f>
        <v>Yes</v>
      </c>
      <c r="N471" s="5">
        <v>46375</v>
      </c>
      <c r="O471" s="1" t="s">
        <v>113</v>
      </c>
      <c r="P471" t="s">
        <v>35</v>
      </c>
      <c r="Q471" t="str">
        <f>IF(Excel_Advanced_Sales_Dataset_2000__3[[#This Row],[Delivery Status]]="Pending","Follow Up","Ok")</f>
        <v>Ok</v>
      </c>
      <c r="R471" s="1" t="s">
        <v>26</v>
      </c>
      <c r="S471">
        <f>Excel_Advanced_Sales_Dataset_2000__3[[#This Row],[Quantity]]*Excel_Advanced_Sales_Dataset_2000__3[[#This Row],[Unit Price]]*Excel_Advanced_Sales_Dataset_2000__3[[#This Row],[Discount %]]/100</f>
        <v>44976.104400000004</v>
      </c>
      <c r="T471" s="4">
        <f>Excel_Advanced_Sales_Dataset_2000__3[[#This Row],[Quantity]]*Excel_Advanced_Sales_Dataset_2000__3[[#This Row],[Unit Price]]-Excel_Advanced_Sales_Dataset_2000__3[[#This Row],[Discount Amount]]</f>
        <v>1105307.8955999999</v>
      </c>
    </row>
    <row r="472" spans="1:20" x14ac:dyDescent="0.25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>
        <v>2</v>
      </c>
      <c r="J472" s="4">
        <v>35444.43</v>
      </c>
      <c r="K472" s="6">
        <v>16.8</v>
      </c>
      <c r="L472" s="4">
        <v>58979.53</v>
      </c>
      <c r="M472" s="4" t="str" cm="1">
        <f t="array" ref="M472">IF(Excel_Advanced_Sales_Dataset_2000__3[[#This Row],[Total Sales]]&gt;50000,{"Yes"},{"No"})</f>
        <v>Yes</v>
      </c>
      <c r="N472" s="5">
        <v>46136</v>
      </c>
      <c r="O472" s="1" t="s">
        <v>24</v>
      </c>
      <c r="P472" t="s">
        <v>35</v>
      </c>
      <c r="Q472" t="str">
        <f>IF(Excel_Advanced_Sales_Dataset_2000__3[[#This Row],[Delivery Status]]="Pending","Follow Up","Ok")</f>
        <v>Ok</v>
      </c>
      <c r="R472" s="1" t="s">
        <v>26</v>
      </c>
      <c r="S472">
        <f>Excel_Advanced_Sales_Dataset_2000__3[[#This Row],[Quantity]]*Excel_Advanced_Sales_Dataset_2000__3[[#This Row],[Unit Price]]*Excel_Advanced_Sales_Dataset_2000__3[[#This Row],[Discount %]]/100</f>
        <v>11909.32848</v>
      </c>
      <c r="T472" s="4">
        <f>Excel_Advanced_Sales_Dataset_2000__3[[#This Row],[Quantity]]*Excel_Advanced_Sales_Dataset_2000__3[[#This Row],[Unit Price]]-Excel_Advanced_Sales_Dataset_2000__3[[#This Row],[Discount Amount]]</f>
        <v>58979.531520000004</v>
      </c>
    </row>
    <row r="473" spans="1:20" x14ac:dyDescent="0.25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>
        <v>5</v>
      </c>
      <c r="J473" s="4">
        <v>18898.419999999998</v>
      </c>
      <c r="K473" s="6">
        <v>12.06</v>
      </c>
      <c r="L473" s="4">
        <v>83096.350000000006</v>
      </c>
      <c r="M473" s="4" t="str" cm="1">
        <f t="array" ref="M473">IF(Excel_Advanced_Sales_Dataset_2000__3[[#This Row],[Total Sales]]&gt;50000,{"Yes"},{"No"})</f>
        <v>Yes</v>
      </c>
      <c r="N473" s="5">
        <v>46296</v>
      </c>
      <c r="O473" s="1" t="s">
        <v>45</v>
      </c>
      <c r="P473" t="s">
        <v>59</v>
      </c>
      <c r="Q473" t="str">
        <f>IF(Excel_Advanced_Sales_Dataset_2000__3[[#This Row],[Delivery Status]]="Pending","Follow Up","Ok")</f>
        <v>Ok</v>
      </c>
      <c r="R473" s="1" t="s">
        <v>36</v>
      </c>
      <c r="S473">
        <f>Excel_Advanced_Sales_Dataset_2000__3[[#This Row],[Quantity]]*Excel_Advanced_Sales_Dataset_2000__3[[#This Row],[Unit Price]]*Excel_Advanced_Sales_Dataset_2000__3[[#This Row],[Discount %]]/100</f>
        <v>11395.74726</v>
      </c>
      <c r="T473" s="4">
        <f>Excel_Advanced_Sales_Dataset_2000__3[[#This Row],[Quantity]]*Excel_Advanced_Sales_Dataset_2000__3[[#This Row],[Unit Price]]-Excel_Advanced_Sales_Dataset_2000__3[[#This Row],[Discount Amount]]</f>
        <v>83096.352739999988</v>
      </c>
    </row>
    <row r="474" spans="1:20" x14ac:dyDescent="0.25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>
        <v>7</v>
      </c>
      <c r="J474" s="4">
        <v>30979.83</v>
      </c>
      <c r="K474" s="6">
        <v>10.24</v>
      </c>
      <c r="L474" s="4">
        <v>194652.47</v>
      </c>
      <c r="M474" s="4" t="str" cm="1">
        <f t="array" ref="M474">IF(Excel_Advanced_Sales_Dataset_2000__3[[#This Row],[Total Sales]]&gt;50000,{"Yes"},{"No"})</f>
        <v>Yes</v>
      </c>
      <c r="N474" s="5">
        <v>46249</v>
      </c>
      <c r="O474" s="1" t="s">
        <v>24</v>
      </c>
      <c r="P474" t="s">
        <v>35</v>
      </c>
      <c r="Q474" t="str">
        <f>IF(Excel_Advanced_Sales_Dataset_2000__3[[#This Row],[Delivery Status]]="Pending","Follow Up","Ok")</f>
        <v>Ok</v>
      </c>
      <c r="R474" s="1" t="s">
        <v>53</v>
      </c>
      <c r="S474">
        <f>Excel_Advanced_Sales_Dataset_2000__3[[#This Row],[Quantity]]*Excel_Advanced_Sales_Dataset_2000__3[[#This Row],[Unit Price]]*Excel_Advanced_Sales_Dataset_2000__3[[#This Row],[Discount %]]/100</f>
        <v>22206.342143999998</v>
      </c>
      <c r="T474" s="4">
        <f>Excel_Advanced_Sales_Dataset_2000__3[[#This Row],[Quantity]]*Excel_Advanced_Sales_Dataset_2000__3[[#This Row],[Unit Price]]-Excel_Advanced_Sales_Dataset_2000__3[[#This Row],[Discount Amount]]</f>
        <v>194652.467856</v>
      </c>
    </row>
    <row r="475" spans="1:20" x14ac:dyDescent="0.25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>
        <v>1</v>
      </c>
      <c r="J475" s="4">
        <v>44965.3</v>
      </c>
      <c r="K475" s="6">
        <v>19.8</v>
      </c>
      <c r="L475" s="4">
        <v>36062.17</v>
      </c>
      <c r="M475" s="4" t="str" cm="1">
        <f t="array" ref="M475">IF(Excel_Advanced_Sales_Dataset_2000__3[[#This Row],[Total Sales]]&gt;50000,{"Yes"},{"No"})</f>
        <v>No</v>
      </c>
      <c r="N475" s="5">
        <v>46083</v>
      </c>
      <c r="O475" s="1" t="s">
        <v>24</v>
      </c>
      <c r="P475" t="s">
        <v>35</v>
      </c>
      <c r="Q475" t="str">
        <f>IF(Excel_Advanced_Sales_Dataset_2000__3[[#This Row],[Delivery Status]]="Pending","Follow Up","Ok")</f>
        <v>Ok</v>
      </c>
      <c r="R475" s="1" t="s">
        <v>26</v>
      </c>
      <c r="S475">
        <f>Excel_Advanced_Sales_Dataset_2000__3[[#This Row],[Quantity]]*Excel_Advanced_Sales_Dataset_2000__3[[#This Row],[Unit Price]]*Excel_Advanced_Sales_Dataset_2000__3[[#This Row],[Discount %]]/100</f>
        <v>8903.1293999999998</v>
      </c>
      <c r="T475" s="4">
        <f>Excel_Advanced_Sales_Dataset_2000__3[[#This Row],[Quantity]]*Excel_Advanced_Sales_Dataset_2000__3[[#This Row],[Unit Price]]-Excel_Advanced_Sales_Dataset_2000__3[[#This Row],[Discount Amount]]</f>
        <v>36062.170600000005</v>
      </c>
    </row>
    <row r="476" spans="1:20" x14ac:dyDescent="0.25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>
        <v>12</v>
      </c>
      <c r="J476" s="4">
        <v>1254.52</v>
      </c>
      <c r="K476" s="6">
        <v>17.02</v>
      </c>
      <c r="L476" s="4">
        <v>12492.01</v>
      </c>
      <c r="M476" s="4" t="str" cm="1">
        <f t="array" ref="M476">IF(Excel_Advanced_Sales_Dataset_2000__3[[#This Row],[Total Sales]]&gt;50000,{"Yes"},{"No"})</f>
        <v>No</v>
      </c>
      <c r="N476" s="5">
        <v>46142</v>
      </c>
      <c r="O476" s="1" t="s">
        <v>113</v>
      </c>
      <c r="P476" t="s">
        <v>35</v>
      </c>
      <c r="Q476" t="str">
        <f>IF(Excel_Advanced_Sales_Dataset_2000__3[[#This Row],[Delivery Status]]="Pending","Follow Up","Ok")</f>
        <v>Ok</v>
      </c>
      <c r="R476" s="1" t="s">
        <v>26</v>
      </c>
      <c r="S476">
        <f>Excel_Advanced_Sales_Dataset_2000__3[[#This Row],[Quantity]]*Excel_Advanced_Sales_Dataset_2000__3[[#This Row],[Unit Price]]*Excel_Advanced_Sales_Dataset_2000__3[[#This Row],[Discount %]]/100</f>
        <v>2562.231648</v>
      </c>
      <c r="T476" s="4">
        <f>Excel_Advanced_Sales_Dataset_2000__3[[#This Row],[Quantity]]*Excel_Advanced_Sales_Dataset_2000__3[[#This Row],[Unit Price]]-Excel_Advanced_Sales_Dataset_2000__3[[#This Row],[Discount Amount]]</f>
        <v>12492.008352000001</v>
      </c>
    </row>
    <row r="477" spans="1:20" x14ac:dyDescent="0.25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>
        <v>26</v>
      </c>
      <c r="J477" s="4">
        <v>35021.1</v>
      </c>
      <c r="K477" s="6">
        <v>8.4</v>
      </c>
      <c r="L477" s="4">
        <v>834062.52</v>
      </c>
      <c r="M477" s="4" t="str" cm="1">
        <f t="array" ref="M477">IF(Excel_Advanced_Sales_Dataset_2000__3[[#This Row],[Total Sales]]&gt;50000,{"Yes"},{"No"})</f>
        <v>Yes</v>
      </c>
      <c r="N477" s="5">
        <v>46062</v>
      </c>
      <c r="O477" s="1" t="s">
        <v>68</v>
      </c>
      <c r="P477" t="s">
        <v>35</v>
      </c>
      <c r="Q477" t="str">
        <f>IF(Excel_Advanced_Sales_Dataset_2000__3[[#This Row],[Delivery Status]]="Pending","Follow Up","Ok")</f>
        <v>Ok</v>
      </c>
      <c r="R477" s="1" t="s">
        <v>53</v>
      </c>
      <c r="S477">
        <f>Excel_Advanced_Sales_Dataset_2000__3[[#This Row],[Quantity]]*Excel_Advanced_Sales_Dataset_2000__3[[#This Row],[Unit Price]]*Excel_Advanced_Sales_Dataset_2000__3[[#This Row],[Discount %]]/100</f>
        <v>76486.082399999999</v>
      </c>
      <c r="T477" s="4">
        <f>Excel_Advanced_Sales_Dataset_2000__3[[#This Row],[Quantity]]*Excel_Advanced_Sales_Dataset_2000__3[[#This Row],[Unit Price]]-Excel_Advanced_Sales_Dataset_2000__3[[#This Row],[Discount Amount]]</f>
        <v>834062.51760000002</v>
      </c>
    </row>
    <row r="478" spans="1:20" x14ac:dyDescent="0.25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>
        <v>15</v>
      </c>
      <c r="J478" s="4">
        <v>48107.01</v>
      </c>
      <c r="K478" s="6">
        <v>11.96</v>
      </c>
      <c r="L478" s="4">
        <v>635301.17000000004</v>
      </c>
      <c r="M478" s="4" t="str" cm="1">
        <f t="array" ref="M478">IF(Excel_Advanced_Sales_Dataset_2000__3[[#This Row],[Total Sales]]&gt;50000,{"Yes"},{"No"})</f>
        <v>Yes</v>
      </c>
      <c r="N478" s="5">
        <v>46154</v>
      </c>
      <c r="O478" s="1" t="s">
        <v>24</v>
      </c>
      <c r="P478" t="s">
        <v>35</v>
      </c>
      <c r="Q478" t="str">
        <f>IF(Excel_Advanced_Sales_Dataset_2000__3[[#This Row],[Delivery Status]]="Pending","Follow Up","Ok")</f>
        <v>Ok</v>
      </c>
      <c r="R478" s="1" t="s">
        <v>53</v>
      </c>
      <c r="S478">
        <f>Excel_Advanced_Sales_Dataset_2000__3[[#This Row],[Quantity]]*Excel_Advanced_Sales_Dataset_2000__3[[#This Row],[Unit Price]]*Excel_Advanced_Sales_Dataset_2000__3[[#This Row],[Discount %]]/100</f>
        <v>86303.975940000004</v>
      </c>
      <c r="T478" s="4">
        <f>Excel_Advanced_Sales_Dataset_2000__3[[#This Row],[Quantity]]*Excel_Advanced_Sales_Dataset_2000__3[[#This Row],[Unit Price]]-Excel_Advanced_Sales_Dataset_2000__3[[#This Row],[Discount Amount]]</f>
        <v>635301.17405999999</v>
      </c>
    </row>
    <row r="479" spans="1:20" x14ac:dyDescent="0.25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>
        <v>49</v>
      </c>
      <c r="J479" s="4">
        <v>39027.32</v>
      </c>
      <c r="K479" s="6">
        <v>10.36</v>
      </c>
      <c r="L479" s="4">
        <v>1714220.39</v>
      </c>
      <c r="M479" s="4" t="str" cm="1">
        <f t="array" ref="M479">IF(Excel_Advanced_Sales_Dataset_2000__3[[#This Row],[Total Sales]]&gt;50000,{"Yes"},{"No"})</f>
        <v>Yes</v>
      </c>
      <c r="N479" s="5">
        <v>46080</v>
      </c>
      <c r="O479" s="1" t="s">
        <v>58</v>
      </c>
      <c r="P479" t="s">
        <v>35</v>
      </c>
      <c r="Q479" t="str">
        <f>IF(Excel_Advanced_Sales_Dataset_2000__3[[#This Row],[Delivery Status]]="Pending","Follow Up","Ok")</f>
        <v>Ok</v>
      </c>
      <c r="R479" s="1" t="s">
        <v>53</v>
      </c>
      <c r="S479">
        <f>Excel_Advanced_Sales_Dataset_2000__3[[#This Row],[Quantity]]*Excel_Advanced_Sales_Dataset_2000__3[[#This Row],[Unit Price]]*Excel_Advanced_Sales_Dataset_2000__3[[#This Row],[Discount %]]/100</f>
        <v>198118.28724799998</v>
      </c>
      <c r="T479" s="4">
        <f>Excel_Advanced_Sales_Dataset_2000__3[[#This Row],[Quantity]]*Excel_Advanced_Sales_Dataset_2000__3[[#This Row],[Unit Price]]-Excel_Advanced_Sales_Dataset_2000__3[[#This Row],[Discount Amount]]</f>
        <v>1714220.3927519999</v>
      </c>
    </row>
    <row r="480" spans="1:20" x14ac:dyDescent="0.25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>
        <v>4</v>
      </c>
      <c r="J480" s="4">
        <v>47325.919999999998</v>
      </c>
      <c r="K480" s="6">
        <v>18.36</v>
      </c>
      <c r="L480" s="4">
        <v>154547.51999999999</v>
      </c>
      <c r="M480" s="4" t="str" cm="1">
        <f t="array" ref="M480">IF(Excel_Advanced_Sales_Dataset_2000__3[[#This Row],[Total Sales]]&gt;50000,{"Yes"},{"No"})</f>
        <v>Yes</v>
      </c>
      <c r="N480" s="5">
        <v>46326</v>
      </c>
      <c r="O480" s="1" t="s">
        <v>24</v>
      </c>
      <c r="P480" t="s">
        <v>35</v>
      </c>
      <c r="Q480" t="str">
        <f>IF(Excel_Advanced_Sales_Dataset_2000__3[[#This Row],[Delivery Status]]="Pending","Follow Up","Ok")</f>
        <v>Ok</v>
      </c>
      <c r="R480" s="1" t="s">
        <v>36</v>
      </c>
      <c r="S480">
        <f>Excel_Advanced_Sales_Dataset_2000__3[[#This Row],[Quantity]]*Excel_Advanced_Sales_Dataset_2000__3[[#This Row],[Unit Price]]*Excel_Advanced_Sales_Dataset_2000__3[[#This Row],[Discount %]]/100</f>
        <v>34756.155648</v>
      </c>
      <c r="T480" s="4">
        <f>Excel_Advanced_Sales_Dataset_2000__3[[#This Row],[Quantity]]*Excel_Advanced_Sales_Dataset_2000__3[[#This Row],[Unit Price]]-Excel_Advanced_Sales_Dataset_2000__3[[#This Row],[Discount Amount]]</f>
        <v>154547.52435199998</v>
      </c>
    </row>
    <row r="481" spans="1:20" x14ac:dyDescent="0.25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>
        <v>12</v>
      </c>
      <c r="J481" s="4">
        <v>22904.69</v>
      </c>
      <c r="K481" s="6">
        <v>0.71</v>
      </c>
      <c r="L481" s="4">
        <v>272904.8</v>
      </c>
      <c r="M481" s="4" t="str" cm="1">
        <f t="array" ref="M481">IF(Excel_Advanced_Sales_Dataset_2000__3[[#This Row],[Total Sales]]&gt;50000,{"Yes"},{"No"})</f>
        <v>Yes</v>
      </c>
      <c r="N481" s="5">
        <v>46102</v>
      </c>
      <c r="O481" s="1" t="s">
        <v>24</v>
      </c>
      <c r="P481" t="s">
        <v>35</v>
      </c>
      <c r="Q481" t="str">
        <f>IF(Excel_Advanced_Sales_Dataset_2000__3[[#This Row],[Delivery Status]]="Pending","Follow Up","Ok")</f>
        <v>Ok</v>
      </c>
      <c r="R481" s="1" t="s">
        <v>26</v>
      </c>
      <c r="S481">
        <f>Excel_Advanced_Sales_Dataset_2000__3[[#This Row],[Quantity]]*Excel_Advanced_Sales_Dataset_2000__3[[#This Row],[Unit Price]]*Excel_Advanced_Sales_Dataset_2000__3[[#This Row],[Discount %]]/100</f>
        <v>1951.4795879999997</v>
      </c>
      <c r="T481" s="4">
        <f>Excel_Advanced_Sales_Dataset_2000__3[[#This Row],[Quantity]]*Excel_Advanced_Sales_Dataset_2000__3[[#This Row],[Unit Price]]-Excel_Advanced_Sales_Dataset_2000__3[[#This Row],[Discount Amount]]</f>
        <v>272904.80041199998</v>
      </c>
    </row>
    <row r="482" spans="1:20" x14ac:dyDescent="0.25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>
        <v>36</v>
      </c>
      <c r="J482" s="4">
        <v>28359.11</v>
      </c>
      <c r="K482" s="6">
        <v>17.82</v>
      </c>
      <c r="L482" s="4">
        <v>838998.6</v>
      </c>
      <c r="M482" s="4" t="str" cm="1">
        <f t="array" ref="M482">IF(Excel_Advanced_Sales_Dataset_2000__3[[#This Row],[Total Sales]]&gt;50000,{"Yes"},{"No"})</f>
        <v>Yes</v>
      </c>
      <c r="N482" s="5">
        <v>46299</v>
      </c>
      <c r="O482" s="1" t="s">
        <v>24</v>
      </c>
      <c r="P482" t="s">
        <v>35</v>
      </c>
      <c r="Q482" t="str">
        <f>IF(Excel_Advanced_Sales_Dataset_2000__3[[#This Row],[Delivery Status]]="Pending","Follow Up","Ok")</f>
        <v>Ok</v>
      </c>
      <c r="R482" s="1" t="s">
        <v>26</v>
      </c>
      <c r="S482">
        <f>Excel_Advanced_Sales_Dataset_2000__3[[#This Row],[Quantity]]*Excel_Advanced_Sales_Dataset_2000__3[[#This Row],[Unit Price]]*Excel_Advanced_Sales_Dataset_2000__3[[#This Row],[Discount %]]/100</f>
        <v>181929.36247200001</v>
      </c>
      <c r="T482" s="4">
        <f>Excel_Advanced_Sales_Dataset_2000__3[[#This Row],[Quantity]]*Excel_Advanced_Sales_Dataset_2000__3[[#This Row],[Unit Price]]-Excel_Advanced_Sales_Dataset_2000__3[[#This Row],[Discount Amount]]</f>
        <v>838998.5975279999</v>
      </c>
    </row>
    <row r="483" spans="1:20" x14ac:dyDescent="0.25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>
        <v>40</v>
      </c>
      <c r="J483" s="4">
        <v>18761.04</v>
      </c>
      <c r="K483" s="6">
        <v>5.09</v>
      </c>
      <c r="L483" s="4">
        <v>712244.12</v>
      </c>
      <c r="M483" s="4" t="str" cm="1">
        <f t="array" ref="M483">IF(Excel_Advanced_Sales_Dataset_2000__3[[#This Row],[Total Sales]]&gt;50000,{"Yes"},{"No"})</f>
        <v>Yes</v>
      </c>
      <c r="N483" s="5">
        <v>46046</v>
      </c>
      <c r="O483" s="1" t="s">
        <v>113</v>
      </c>
      <c r="P483" t="s">
        <v>35</v>
      </c>
      <c r="Q483" t="str">
        <f>IF(Excel_Advanced_Sales_Dataset_2000__3[[#This Row],[Delivery Status]]="Pending","Follow Up","Ok")</f>
        <v>Ok</v>
      </c>
      <c r="R483" s="1" t="s">
        <v>36</v>
      </c>
      <c r="S483">
        <f>Excel_Advanced_Sales_Dataset_2000__3[[#This Row],[Quantity]]*Excel_Advanced_Sales_Dataset_2000__3[[#This Row],[Unit Price]]*Excel_Advanced_Sales_Dataset_2000__3[[#This Row],[Discount %]]/100</f>
        <v>38197.477440000002</v>
      </c>
      <c r="T483" s="4">
        <f>Excel_Advanced_Sales_Dataset_2000__3[[#This Row],[Quantity]]*Excel_Advanced_Sales_Dataset_2000__3[[#This Row],[Unit Price]]-Excel_Advanced_Sales_Dataset_2000__3[[#This Row],[Discount Amount]]</f>
        <v>712244.12256000005</v>
      </c>
    </row>
    <row r="484" spans="1:20" x14ac:dyDescent="0.25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>
        <v>45</v>
      </c>
      <c r="J484" s="4">
        <v>18152.849999999999</v>
      </c>
      <c r="K484" s="6">
        <v>17.8</v>
      </c>
      <c r="L484" s="4">
        <v>671473.92</v>
      </c>
      <c r="M484" s="4" t="str" cm="1">
        <f t="array" ref="M484">IF(Excel_Advanced_Sales_Dataset_2000__3[[#This Row],[Total Sales]]&gt;50000,{"Yes"},{"No"})</f>
        <v>Yes</v>
      </c>
      <c r="N484" s="5">
        <v>46243</v>
      </c>
      <c r="O484" s="1" t="s">
        <v>24</v>
      </c>
      <c r="P484" t="s">
        <v>35</v>
      </c>
      <c r="Q484" t="str">
        <f>IF(Excel_Advanced_Sales_Dataset_2000__3[[#This Row],[Delivery Status]]="Pending","Follow Up","Ok")</f>
        <v>Ok</v>
      </c>
      <c r="R484" s="1" t="s">
        <v>36</v>
      </c>
      <c r="S484">
        <f>Excel_Advanced_Sales_Dataset_2000__3[[#This Row],[Quantity]]*Excel_Advanced_Sales_Dataset_2000__3[[#This Row],[Unit Price]]*Excel_Advanced_Sales_Dataset_2000__3[[#This Row],[Discount %]]/100</f>
        <v>145404.32849999997</v>
      </c>
      <c r="T484" s="4">
        <f>Excel_Advanced_Sales_Dataset_2000__3[[#This Row],[Quantity]]*Excel_Advanced_Sales_Dataset_2000__3[[#This Row],[Unit Price]]-Excel_Advanced_Sales_Dataset_2000__3[[#This Row],[Discount Amount]]</f>
        <v>671473.92149999994</v>
      </c>
    </row>
    <row r="485" spans="1:20" x14ac:dyDescent="0.25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>
        <v>33</v>
      </c>
      <c r="J485" s="4">
        <v>40138.74</v>
      </c>
      <c r="K485" s="6">
        <v>14.68</v>
      </c>
      <c r="L485" s="4">
        <v>1130130.31</v>
      </c>
      <c r="M485" s="4" t="str" cm="1">
        <f t="array" ref="M485">IF(Excel_Advanced_Sales_Dataset_2000__3[[#This Row],[Total Sales]]&gt;50000,{"Yes"},{"No"})</f>
        <v>Yes</v>
      </c>
      <c r="N485" s="5">
        <v>46024</v>
      </c>
      <c r="O485" s="1" t="s">
        <v>58</v>
      </c>
      <c r="P485" t="s">
        <v>35</v>
      </c>
      <c r="Q485" t="str">
        <f>IF(Excel_Advanced_Sales_Dataset_2000__3[[#This Row],[Delivery Status]]="Pending","Follow Up","Ok")</f>
        <v>Ok</v>
      </c>
      <c r="R485" s="1" t="s">
        <v>36</v>
      </c>
      <c r="S485">
        <f>Excel_Advanced_Sales_Dataset_2000__3[[#This Row],[Quantity]]*Excel_Advanced_Sales_Dataset_2000__3[[#This Row],[Unit Price]]*Excel_Advanced_Sales_Dataset_2000__3[[#This Row],[Discount %]]/100</f>
        <v>194448.11205599998</v>
      </c>
      <c r="T485" s="4">
        <f>Excel_Advanced_Sales_Dataset_2000__3[[#This Row],[Quantity]]*Excel_Advanced_Sales_Dataset_2000__3[[#This Row],[Unit Price]]-Excel_Advanced_Sales_Dataset_2000__3[[#This Row],[Discount Amount]]</f>
        <v>1130130.307944</v>
      </c>
    </row>
    <row r="486" spans="1:20" x14ac:dyDescent="0.25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>
        <v>3</v>
      </c>
      <c r="J486" s="4">
        <v>3486.13</v>
      </c>
      <c r="K486" s="6">
        <v>13.62</v>
      </c>
      <c r="L486" s="4">
        <v>9033.9599999999991</v>
      </c>
      <c r="M486" s="4" t="str" cm="1">
        <f t="array" ref="M486">IF(Excel_Advanced_Sales_Dataset_2000__3[[#This Row],[Total Sales]]&gt;50000,{"Yes"},{"No"})</f>
        <v>No</v>
      </c>
      <c r="N486" s="5">
        <v>46104</v>
      </c>
      <c r="O486" s="1" t="s">
        <v>24</v>
      </c>
      <c r="P486" t="s">
        <v>35</v>
      </c>
      <c r="Q486" t="str">
        <f>IF(Excel_Advanced_Sales_Dataset_2000__3[[#This Row],[Delivery Status]]="Pending","Follow Up","Ok")</f>
        <v>Ok</v>
      </c>
      <c r="R486" s="1" t="s">
        <v>53</v>
      </c>
      <c r="S486">
        <f>Excel_Advanced_Sales_Dataset_2000__3[[#This Row],[Quantity]]*Excel_Advanced_Sales_Dataset_2000__3[[#This Row],[Unit Price]]*Excel_Advanced_Sales_Dataset_2000__3[[#This Row],[Discount %]]/100</f>
        <v>1424.4327179999998</v>
      </c>
      <c r="T486" s="4">
        <f>Excel_Advanced_Sales_Dataset_2000__3[[#This Row],[Quantity]]*Excel_Advanced_Sales_Dataset_2000__3[[#This Row],[Unit Price]]-Excel_Advanced_Sales_Dataset_2000__3[[#This Row],[Discount Amount]]</f>
        <v>9033.9572819999994</v>
      </c>
    </row>
    <row r="487" spans="1:20" x14ac:dyDescent="0.25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>
        <v>31</v>
      </c>
      <c r="J487" s="4">
        <v>14977.84</v>
      </c>
      <c r="K487" s="6">
        <v>5.3</v>
      </c>
      <c r="L487" s="4">
        <v>439704.45</v>
      </c>
      <c r="M487" s="4" t="str" cm="1">
        <f t="array" ref="M487">IF(Excel_Advanced_Sales_Dataset_2000__3[[#This Row],[Total Sales]]&gt;50000,{"Yes"},{"No"})</f>
        <v>Yes</v>
      </c>
      <c r="N487" s="5">
        <v>46171</v>
      </c>
      <c r="O487" s="1" t="s">
        <v>58</v>
      </c>
      <c r="P487" t="s">
        <v>59</v>
      </c>
      <c r="Q487" t="str">
        <f>IF(Excel_Advanced_Sales_Dataset_2000__3[[#This Row],[Delivery Status]]="Pending","Follow Up","Ok")</f>
        <v>Ok</v>
      </c>
      <c r="R487" s="1" t="s">
        <v>36</v>
      </c>
      <c r="S487">
        <f>Excel_Advanced_Sales_Dataset_2000__3[[#This Row],[Quantity]]*Excel_Advanced_Sales_Dataset_2000__3[[#This Row],[Unit Price]]*Excel_Advanced_Sales_Dataset_2000__3[[#This Row],[Discount %]]/100</f>
        <v>24608.591119999997</v>
      </c>
      <c r="T487" s="4">
        <f>Excel_Advanced_Sales_Dataset_2000__3[[#This Row],[Quantity]]*Excel_Advanced_Sales_Dataset_2000__3[[#This Row],[Unit Price]]-Excel_Advanced_Sales_Dataset_2000__3[[#This Row],[Discount Amount]]</f>
        <v>439704.44887999998</v>
      </c>
    </row>
    <row r="488" spans="1:20" x14ac:dyDescent="0.25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>
        <v>18</v>
      </c>
      <c r="J488" s="4">
        <v>48678.62</v>
      </c>
      <c r="K488" s="6">
        <v>7.09</v>
      </c>
      <c r="L488" s="4">
        <v>814091.51</v>
      </c>
      <c r="M488" s="4" t="str" cm="1">
        <f t="array" ref="M488">IF(Excel_Advanced_Sales_Dataset_2000__3[[#This Row],[Total Sales]]&gt;50000,{"Yes"},{"No"})</f>
        <v>Yes</v>
      </c>
      <c r="N488" s="5">
        <v>46271</v>
      </c>
      <c r="O488" s="1" t="s">
        <v>45</v>
      </c>
      <c r="P488" t="s">
        <v>35</v>
      </c>
      <c r="Q488" t="str">
        <f>IF(Excel_Advanced_Sales_Dataset_2000__3[[#This Row],[Delivery Status]]="Pending","Follow Up","Ok")</f>
        <v>Ok</v>
      </c>
      <c r="R488" s="1" t="s">
        <v>53</v>
      </c>
      <c r="S488">
        <f>Excel_Advanced_Sales_Dataset_2000__3[[#This Row],[Quantity]]*Excel_Advanced_Sales_Dataset_2000__3[[#This Row],[Unit Price]]*Excel_Advanced_Sales_Dataset_2000__3[[#This Row],[Discount %]]/100</f>
        <v>62123.654844000004</v>
      </c>
      <c r="T488" s="4">
        <f>Excel_Advanced_Sales_Dataset_2000__3[[#This Row],[Quantity]]*Excel_Advanced_Sales_Dataset_2000__3[[#This Row],[Unit Price]]-Excel_Advanced_Sales_Dataset_2000__3[[#This Row],[Discount Amount]]</f>
        <v>814091.50515600003</v>
      </c>
    </row>
    <row r="489" spans="1:20" x14ac:dyDescent="0.25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>
        <v>40</v>
      </c>
      <c r="J489" s="4">
        <v>8790.0499999999993</v>
      </c>
      <c r="K489" s="6">
        <v>4.32</v>
      </c>
      <c r="L489" s="4">
        <v>336412.79</v>
      </c>
      <c r="M489" s="4" t="str" cm="1">
        <f t="array" ref="M489">IF(Excel_Advanced_Sales_Dataset_2000__3[[#This Row],[Total Sales]]&gt;50000,{"Yes"},{"No"})</f>
        <v>Yes</v>
      </c>
      <c r="N489" s="5">
        <v>46075</v>
      </c>
      <c r="O489" s="1" t="s">
        <v>58</v>
      </c>
      <c r="P489" t="s">
        <v>35</v>
      </c>
      <c r="Q489" t="str">
        <f>IF(Excel_Advanced_Sales_Dataset_2000__3[[#This Row],[Delivery Status]]="Pending","Follow Up","Ok")</f>
        <v>Ok</v>
      </c>
      <c r="R489" s="1" t="s">
        <v>53</v>
      </c>
      <c r="S489">
        <f>Excel_Advanced_Sales_Dataset_2000__3[[#This Row],[Quantity]]*Excel_Advanced_Sales_Dataset_2000__3[[#This Row],[Unit Price]]*Excel_Advanced_Sales_Dataset_2000__3[[#This Row],[Discount %]]/100</f>
        <v>15189.206400000001</v>
      </c>
      <c r="T489" s="4">
        <f>Excel_Advanced_Sales_Dataset_2000__3[[#This Row],[Quantity]]*Excel_Advanced_Sales_Dataset_2000__3[[#This Row],[Unit Price]]-Excel_Advanced_Sales_Dataset_2000__3[[#This Row],[Discount Amount]]</f>
        <v>336412.79359999998</v>
      </c>
    </row>
    <row r="490" spans="1:20" x14ac:dyDescent="0.25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>
        <v>27</v>
      </c>
      <c r="J490" s="4">
        <v>31876.87</v>
      </c>
      <c r="K490" s="6">
        <v>2.3199999999999998</v>
      </c>
      <c r="L490" s="4">
        <v>840707.82</v>
      </c>
      <c r="M490" s="4" t="str" cm="1">
        <f t="array" ref="M490">IF(Excel_Advanced_Sales_Dataset_2000__3[[#This Row],[Total Sales]]&gt;50000,{"Yes"},{"No"})</f>
        <v>Yes</v>
      </c>
      <c r="N490" s="5">
        <v>46367</v>
      </c>
      <c r="O490" s="1" t="s">
        <v>113</v>
      </c>
      <c r="P490" t="s">
        <v>35</v>
      </c>
      <c r="Q490" t="str">
        <f>IF(Excel_Advanced_Sales_Dataset_2000__3[[#This Row],[Delivery Status]]="Pending","Follow Up","Ok")</f>
        <v>Ok</v>
      </c>
      <c r="R490" s="1" t="s">
        <v>26</v>
      </c>
      <c r="S490">
        <f>Excel_Advanced_Sales_Dataset_2000__3[[#This Row],[Quantity]]*Excel_Advanced_Sales_Dataset_2000__3[[#This Row],[Unit Price]]*Excel_Advanced_Sales_Dataset_2000__3[[#This Row],[Discount %]]/100</f>
        <v>19967.671367999996</v>
      </c>
      <c r="T490" s="4">
        <f>Excel_Advanced_Sales_Dataset_2000__3[[#This Row],[Quantity]]*Excel_Advanced_Sales_Dataset_2000__3[[#This Row],[Unit Price]]-Excel_Advanced_Sales_Dataset_2000__3[[#This Row],[Discount Amount]]</f>
        <v>840707.81863200001</v>
      </c>
    </row>
    <row r="491" spans="1:20" x14ac:dyDescent="0.25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>
        <v>9</v>
      </c>
      <c r="J491" s="4">
        <v>24499.93</v>
      </c>
      <c r="K491" s="6">
        <v>19.21</v>
      </c>
      <c r="L491" s="4">
        <v>178141.44</v>
      </c>
      <c r="M491" s="4" t="str" cm="1">
        <f t="array" ref="M491">IF(Excel_Advanced_Sales_Dataset_2000__3[[#This Row],[Total Sales]]&gt;50000,{"Yes"},{"No"})</f>
        <v>Yes</v>
      </c>
      <c r="N491" s="5">
        <v>46147</v>
      </c>
      <c r="O491" s="1" t="s">
        <v>24</v>
      </c>
      <c r="P491" t="s">
        <v>35</v>
      </c>
      <c r="Q491" t="str">
        <f>IF(Excel_Advanced_Sales_Dataset_2000__3[[#This Row],[Delivery Status]]="Pending","Follow Up","Ok")</f>
        <v>Ok</v>
      </c>
      <c r="R491" s="1" t="s">
        <v>36</v>
      </c>
      <c r="S491">
        <f>Excel_Advanced_Sales_Dataset_2000__3[[#This Row],[Quantity]]*Excel_Advanced_Sales_Dataset_2000__3[[#This Row],[Unit Price]]*Excel_Advanced_Sales_Dataset_2000__3[[#This Row],[Discount %]]/100</f>
        <v>42357.928977000003</v>
      </c>
      <c r="T491" s="4">
        <f>Excel_Advanced_Sales_Dataset_2000__3[[#This Row],[Quantity]]*Excel_Advanced_Sales_Dataset_2000__3[[#This Row],[Unit Price]]-Excel_Advanced_Sales_Dataset_2000__3[[#This Row],[Discount Amount]]</f>
        <v>178141.44102299999</v>
      </c>
    </row>
    <row r="492" spans="1:20" x14ac:dyDescent="0.25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>
        <v>26</v>
      </c>
      <c r="J492" s="4">
        <v>15697.55</v>
      </c>
      <c r="K492" s="6">
        <v>14.94</v>
      </c>
      <c r="L492" s="4">
        <v>347160.74</v>
      </c>
      <c r="M492" s="4" t="str" cm="1">
        <f t="array" ref="M492">IF(Excel_Advanced_Sales_Dataset_2000__3[[#This Row],[Total Sales]]&gt;50000,{"Yes"},{"No"})</f>
        <v>Yes</v>
      </c>
      <c r="N492" s="5">
        <v>46314</v>
      </c>
      <c r="O492" s="1" t="s">
        <v>68</v>
      </c>
      <c r="P492" t="s">
        <v>35</v>
      </c>
      <c r="Q492" t="str">
        <f>IF(Excel_Advanced_Sales_Dataset_2000__3[[#This Row],[Delivery Status]]="Pending","Follow Up","Ok")</f>
        <v>Ok</v>
      </c>
      <c r="R492" s="1" t="s">
        <v>36</v>
      </c>
      <c r="S492">
        <f>Excel_Advanced_Sales_Dataset_2000__3[[#This Row],[Quantity]]*Excel_Advanced_Sales_Dataset_2000__3[[#This Row],[Unit Price]]*Excel_Advanced_Sales_Dataset_2000__3[[#This Row],[Discount %]]/100</f>
        <v>60975.563219999996</v>
      </c>
      <c r="T492" s="4">
        <f>Excel_Advanced_Sales_Dataset_2000__3[[#This Row],[Quantity]]*Excel_Advanced_Sales_Dataset_2000__3[[#This Row],[Unit Price]]-Excel_Advanced_Sales_Dataset_2000__3[[#This Row],[Discount Amount]]</f>
        <v>347160.73677999998</v>
      </c>
    </row>
    <row r="493" spans="1:20" x14ac:dyDescent="0.25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>
        <v>29</v>
      </c>
      <c r="J493" s="4">
        <v>19958.009999999998</v>
      </c>
      <c r="K493" s="6">
        <v>1.79</v>
      </c>
      <c r="L493" s="4">
        <v>568422.09</v>
      </c>
      <c r="M493" s="4" t="str" cm="1">
        <f t="array" ref="M493">IF(Excel_Advanced_Sales_Dataset_2000__3[[#This Row],[Total Sales]]&gt;50000,{"Yes"},{"No"})</f>
        <v>Yes</v>
      </c>
      <c r="N493" s="5">
        <v>46289</v>
      </c>
      <c r="O493" s="1" t="s">
        <v>68</v>
      </c>
      <c r="P493" t="s">
        <v>35</v>
      </c>
      <c r="Q493" t="str">
        <f>IF(Excel_Advanced_Sales_Dataset_2000__3[[#This Row],[Delivery Status]]="Pending","Follow Up","Ok")</f>
        <v>Ok</v>
      </c>
      <c r="R493" s="1" t="s">
        <v>53</v>
      </c>
      <c r="S493">
        <f>Excel_Advanced_Sales_Dataset_2000__3[[#This Row],[Quantity]]*Excel_Advanced_Sales_Dataset_2000__3[[#This Row],[Unit Price]]*Excel_Advanced_Sales_Dataset_2000__3[[#This Row],[Discount %]]/100</f>
        <v>10360.202990999998</v>
      </c>
      <c r="T493" s="4">
        <f>Excel_Advanced_Sales_Dataset_2000__3[[#This Row],[Quantity]]*Excel_Advanced_Sales_Dataset_2000__3[[#This Row],[Unit Price]]-Excel_Advanced_Sales_Dataset_2000__3[[#This Row],[Discount Amount]]</f>
        <v>568422.08700899989</v>
      </c>
    </row>
    <row r="494" spans="1:20" x14ac:dyDescent="0.25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>
        <v>32</v>
      </c>
      <c r="J494" s="4">
        <v>6693.7</v>
      </c>
      <c r="K494" s="6">
        <v>18.309999999999999</v>
      </c>
      <c r="L494" s="4">
        <v>174978.67</v>
      </c>
      <c r="M494" s="4" t="str" cm="1">
        <f t="array" ref="M494">IF(Excel_Advanced_Sales_Dataset_2000__3[[#This Row],[Total Sales]]&gt;50000,{"Yes"},{"No"})</f>
        <v>Yes</v>
      </c>
      <c r="N494" s="5">
        <v>46331</v>
      </c>
      <c r="O494" s="1" t="s">
        <v>113</v>
      </c>
      <c r="P494" t="s">
        <v>35</v>
      </c>
      <c r="Q494" t="str">
        <f>IF(Excel_Advanced_Sales_Dataset_2000__3[[#This Row],[Delivery Status]]="Pending","Follow Up","Ok")</f>
        <v>Ok</v>
      </c>
      <c r="R494" s="1" t="s">
        <v>26</v>
      </c>
      <c r="S494">
        <f>Excel_Advanced_Sales_Dataset_2000__3[[#This Row],[Quantity]]*Excel_Advanced_Sales_Dataset_2000__3[[#This Row],[Unit Price]]*Excel_Advanced_Sales_Dataset_2000__3[[#This Row],[Discount %]]/100</f>
        <v>39219.727039999998</v>
      </c>
      <c r="T494" s="4">
        <f>Excel_Advanced_Sales_Dataset_2000__3[[#This Row],[Quantity]]*Excel_Advanced_Sales_Dataset_2000__3[[#This Row],[Unit Price]]-Excel_Advanced_Sales_Dataset_2000__3[[#This Row],[Discount Amount]]</f>
        <v>174978.67296</v>
      </c>
    </row>
    <row r="495" spans="1:20" x14ac:dyDescent="0.25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>
        <v>33</v>
      </c>
      <c r="J495" s="4">
        <v>36090.86</v>
      </c>
      <c r="K495" s="6">
        <v>14.31</v>
      </c>
      <c r="L495" s="4">
        <v>1020566.51</v>
      </c>
      <c r="M495" s="4" t="str" cm="1">
        <f t="array" ref="M495">IF(Excel_Advanced_Sales_Dataset_2000__3[[#This Row],[Total Sales]]&gt;50000,{"Yes"},{"No"})</f>
        <v>Yes</v>
      </c>
      <c r="N495" s="5">
        <v>46212</v>
      </c>
      <c r="O495" s="1" t="s">
        <v>68</v>
      </c>
      <c r="P495" t="s">
        <v>59</v>
      </c>
      <c r="Q495" t="str">
        <f>IF(Excel_Advanced_Sales_Dataset_2000__3[[#This Row],[Delivery Status]]="Pending","Follow Up","Ok")</f>
        <v>Ok</v>
      </c>
      <c r="R495" s="1" t="s">
        <v>53</v>
      </c>
      <c r="S495">
        <f>Excel_Advanced_Sales_Dataset_2000__3[[#This Row],[Quantity]]*Excel_Advanced_Sales_Dataset_2000__3[[#This Row],[Unit Price]]*Excel_Advanced_Sales_Dataset_2000__3[[#This Row],[Discount %]]/100</f>
        <v>170431.86817800003</v>
      </c>
      <c r="T495" s="4">
        <f>Excel_Advanced_Sales_Dataset_2000__3[[#This Row],[Quantity]]*Excel_Advanced_Sales_Dataset_2000__3[[#This Row],[Unit Price]]-Excel_Advanced_Sales_Dataset_2000__3[[#This Row],[Discount Amount]]</f>
        <v>1020566.5118220001</v>
      </c>
    </row>
    <row r="496" spans="1:20" x14ac:dyDescent="0.25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>
        <v>19</v>
      </c>
      <c r="J496" s="4">
        <v>9911.01</v>
      </c>
      <c r="K496" s="6">
        <v>9.66</v>
      </c>
      <c r="L496" s="4">
        <v>170118.52</v>
      </c>
      <c r="M496" s="4" t="str" cm="1">
        <f t="array" ref="M496">IF(Excel_Advanced_Sales_Dataset_2000__3[[#This Row],[Total Sales]]&gt;50000,{"Yes"},{"No"})</f>
        <v>Yes</v>
      </c>
      <c r="N496" s="5">
        <v>46130</v>
      </c>
      <c r="O496" s="1" t="s">
        <v>58</v>
      </c>
      <c r="P496" t="s">
        <v>35</v>
      </c>
      <c r="Q496" t="str">
        <f>IF(Excel_Advanced_Sales_Dataset_2000__3[[#This Row],[Delivery Status]]="Pending","Follow Up","Ok")</f>
        <v>Ok</v>
      </c>
      <c r="R496" s="1" t="s">
        <v>53</v>
      </c>
      <c r="S496">
        <f>Excel_Advanced_Sales_Dataset_2000__3[[#This Row],[Quantity]]*Excel_Advanced_Sales_Dataset_2000__3[[#This Row],[Unit Price]]*Excel_Advanced_Sales_Dataset_2000__3[[#This Row],[Discount %]]/100</f>
        <v>18190.667754000002</v>
      </c>
      <c r="T496" s="4">
        <f>Excel_Advanced_Sales_Dataset_2000__3[[#This Row],[Quantity]]*Excel_Advanced_Sales_Dataset_2000__3[[#This Row],[Unit Price]]-Excel_Advanced_Sales_Dataset_2000__3[[#This Row],[Discount Amount]]</f>
        <v>170118.52224600001</v>
      </c>
    </row>
    <row r="497" spans="1:20" x14ac:dyDescent="0.25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>
        <v>39</v>
      </c>
      <c r="J497" s="4">
        <v>42321.51</v>
      </c>
      <c r="K497" s="6">
        <v>13.65</v>
      </c>
      <c r="L497" s="4">
        <v>1425240.33</v>
      </c>
      <c r="M497" s="4" t="str" cm="1">
        <f t="array" ref="M497">IF(Excel_Advanced_Sales_Dataset_2000__3[[#This Row],[Total Sales]]&gt;50000,{"Yes"},{"No"})</f>
        <v>Yes</v>
      </c>
      <c r="N497" s="5">
        <v>46263</v>
      </c>
      <c r="O497" s="1" t="s">
        <v>45</v>
      </c>
      <c r="P497" t="s">
        <v>25</v>
      </c>
      <c r="Q497" t="str">
        <f>IF(Excel_Advanced_Sales_Dataset_2000__3[[#This Row],[Delivery Status]]="Pending","Follow Up","Ok")</f>
        <v>Follow Up</v>
      </c>
      <c r="R497" s="1" t="s">
        <v>26</v>
      </c>
      <c r="S497">
        <f>Excel_Advanced_Sales_Dataset_2000__3[[#This Row],[Quantity]]*Excel_Advanced_Sales_Dataset_2000__3[[#This Row],[Unit Price]]*Excel_Advanced_Sales_Dataset_2000__3[[#This Row],[Discount %]]/100</f>
        <v>225298.55848500002</v>
      </c>
      <c r="T497" s="4">
        <f>Excel_Advanced_Sales_Dataset_2000__3[[#This Row],[Quantity]]*Excel_Advanced_Sales_Dataset_2000__3[[#This Row],[Unit Price]]-Excel_Advanced_Sales_Dataset_2000__3[[#This Row],[Discount Amount]]</f>
        <v>1425240.3315150002</v>
      </c>
    </row>
    <row r="498" spans="1:20" x14ac:dyDescent="0.25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>
        <v>32</v>
      </c>
      <c r="J498" s="4">
        <v>49102.75</v>
      </c>
      <c r="K498" s="6">
        <v>5.89</v>
      </c>
      <c r="L498" s="4">
        <v>1478739.14</v>
      </c>
      <c r="M498" s="4" t="str" cm="1">
        <f t="array" ref="M498">IF(Excel_Advanced_Sales_Dataset_2000__3[[#This Row],[Total Sales]]&gt;50000,{"Yes"},{"No"})</f>
        <v>Yes</v>
      </c>
      <c r="N498" s="5">
        <v>46358</v>
      </c>
      <c r="O498" s="1" t="s">
        <v>45</v>
      </c>
      <c r="P498" t="s">
        <v>25</v>
      </c>
      <c r="Q498" t="str">
        <f>IF(Excel_Advanced_Sales_Dataset_2000__3[[#This Row],[Delivery Status]]="Pending","Follow Up","Ok")</f>
        <v>Follow Up</v>
      </c>
      <c r="R498" s="1" t="s">
        <v>36</v>
      </c>
      <c r="S498">
        <f>Excel_Advanced_Sales_Dataset_2000__3[[#This Row],[Quantity]]*Excel_Advanced_Sales_Dataset_2000__3[[#This Row],[Unit Price]]*Excel_Advanced_Sales_Dataset_2000__3[[#This Row],[Discount %]]/100</f>
        <v>92548.863200000007</v>
      </c>
      <c r="T498" s="4">
        <f>Excel_Advanced_Sales_Dataset_2000__3[[#This Row],[Quantity]]*Excel_Advanced_Sales_Dataset_2000__3[[#This Row],[Unit Price]]-Excel_Advanced_Sales_Dataset_2000__3[[#This Row],[Discount Amount]]</f>
        <v>1478739.1368</v>
      </c>
    </row>
    <row r="499" spans="1:20" x14ac:dyDescent="0.25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>
        <v>1</v>
      </c>
      <c r="J499" s="4">
        <v>10340.83</v>
      </c>
      <c r="K499" s="6">
        <v>4.49</v>
      </c>
      <c r="L499" s="4">
        <v>9876.5300000000007</v>
      </c>
      <c r="M499" s="4" t="str" cm="1">
        <f t="array" ref="M499">IF(Excel_Advanced_Sales_Dataset_2000__3[[#This Row],[Total Sales]]&gt;50000,{"Yes"},{"No"})</f>
        <v>No</v>
      </c>
      <c r="N499" s="5">
        <v>46363</v>
      </c>
      <c r="O499" s="1" t="s">
        <v>45</v>
      </c>
      <c r="P499" t="s">
        <v>35</v>
      </c>
      <c r="Q499" t="str">
        <f>IF(Excel_Advanced_Sales_Dataset_2000__3[[#This Row],[Delivery Status]]="Pending","Follow Up","Ok")</f>
        <v>Ok</v>
      </c>
      <c r="R499" s="1" t="s">
        <v>53</v>
      </c>
      <c r="S499">
        <f>Excel_Advanced_Sales_Dataset_2000__3[[#This Row],[Quantity]]*Excel_Advanced_Sales_Dataset_2000__3[[#This Row],[Unit Price]]*Excel_Advanced_Sales_Dataset_2000__3[[#This Row],[Discount %]]/100</f>
        <v>464.30326700000006</v>
      </c>
      <c r="T499" s="4">
        <f>Excel_Advanced_Sales_Dataset_2000__3[[#This Row],[Quantity]]*Excel_Advanced_Sales_Dataset_2000__3[[#This Row],[Unit Price]]-Excel_Advanced_Sales_Dataset_2000__3[[#This Row],[Discount Amount]]</f>
        <v>9876.5267330000006</v>
      </c>
    </row>
    <row r="500" spans="1:20" x14ac:dyDescent="0.25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>
        <v>40</v>
      </c>
      <c r="J500" s="4">
        <v>22449.93</v>
      </c>
      <c r="K500" s="6">
        <v>18.190000000000001</v>
      </c>
      <c r="L500" s="4">
        <v>734651.51</v>
      </c>
      <c r="M500" s="4" t="str" cm="1">
        <f t="array" ref="M500">IF(Excel_Advanced_Sales_Dataset_2000__3[[#This Row],[Total Sales]]&gt;50000,{"Yes"},{"No"})</f>
        <v>Yes</v>
      </c>
      <c r="N500" s="5">
        <v>46313</v>
      </c>
      <c r="O500" s="1" t="s">
        <v>113</v>
      </c>
      <c r="P500" t="s">
        <v>35</v>
      </c>
      <c r="Q500" t="str">
        <f>IF(Excel_Advanced_Sales_Dataset_2000__3[[#This Row],[Delivery Status]]="Pending","Follow Up","Ok")</f>
        <v>Ok</v>
      </c>
      <c r="R500" s="1" t="s">
        <v>53</v>
      </c>
      <c r="S500">
        <f>Excel_Advanced_Sales_Dataset_2000__3[[#This Row],[Quantity]]*Excel_Advanced_Sales_Dataset_2000__3[[#This Row],[Unit Price]]*Excel_Advanced_Sales_Dataset_2000__3[[#This Row],[Discount %]]/100</f>
        <v>163345.69068</v>
      </c>
      <c r="T500" s="4">
        <f>Excel_Advanced_Sales_Dataset_2000__3[[#This Row],[Quantity]]*Excel_Advanced_Sales_Dataset_2000__3[[#This Row],[Unit Price]]-Excel_Advanced_Sales_Dataset_2000__3[[#This Row],[Discount Amount]]</f>
        <v>734651.50931999995</v>
      </c>
    </row>
    <row r="501" spans="1:20" x14ac:dyDescent="0.25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>
        <v>4</v>
      </c>
      <c r="J501" s="4">
        <v>47027.45</v>
      </c>
      <c r="K501" s="6">
        <v>7.07</v>
      </c>
      <c r="L501" s="4">
        <v>174810.44</v>
      </c>
      <c r="M501" s="4" t="str" cm="1">
        <f t="array" ref="M501">IF(Excel_Advanced_Sales_Dataset_2000__3[[#This Row],[Total Sales]]&gt;50000,{"Yes"},{"No"})</f>
        <v>Yes</v>
      </c>
      <c r="N501" s="5">
        <v>46120</v>
      </c>
      <c r="O501" s="1" t="s">
        <v>58</v>
      </c>
      <c r="P501" t="s">
        <v>35</v>
      </c>
      <c r="Q501" t="str">
        <f>IF(Excel_Advanced_Sales_Dataset_2000__3[[#This Row],[Delivery Status]]="Pending","Follow Up","Ok")</f>
        <v>Ok</v>
      </c>
      <c r="R501" s="1" t="s">
        <v>36</v>
      </c>
      <c r="S501">
        <f>Excel_Advanced_Sales_Dataset_2000__3[[#This Row],[Quantity]]*Excel_Advanced_Sales_Dataset_2000__3[[#This Row],[Unit Price]]*Excel_Advanced_Sales_Dataset_2000__3[[#This Row],[Discount %]]/100</f>
        <v>13299.362860000001</v>
      </c>
      <c r="T501" s="4">
        <f>Excel_Advanced_Sales_Dataset_2000__3[[#This Row],[Quantity]]*Excel_Advanced_Sales_Dataset_2000__3[[#This Row],[Unit Price]]-Excel_Advanced_Sales_Dataset_2000__3[[#This Row],[Discount Amount]]</f>
        <v>174810.43713999999</v>
      </c>
    </row>
    <row r="502" spans="1:20" x14ac:dyDescent="0.25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>
        <v>43</v>
      </c>
      <c r="J502" s="4">
        <v>46606.85</v>
      </c>
      <c r="K502" s="6">
        <v>12.69</v>
      </c>
      <c r="L502" s="4">
        <v>1749774.95</v>
      </c>
      <c r="M502" s="4" t="str" cm="1">
        <f t="array" ref="M502">IF(Excel_Advanced_Sales_Dataset_2000__3[[#This Row],[Total Sales]]&gt;50000,{"Yes"},{"No"})</f>
        <v>Yes</v>
      </c>
      <c r="N502" s="5">
        <v>46235</v>
      </c>
      <c r="O502" s="1" t="s">
        <v>113</v>
      </c>
      <c r="P502" t="s">
        <v>35</v>
      </c>
      <c r="Q502" t="str">
        <f>IF(Excel_Advanced_Sales_Dataset_2000__3[[#This Row],[Delivery Status]]="Pending","Follow Up","Ok")</f>
        <v>Ok</v>
      </c>
      <c r="R502" s="1" t="s">
        <v>53</v>
      </c>
      <c r="S502">
        <f>Excel_Advanced_Sales_Dataset_2000__3[[#This Row],[Quantity]]*Excel_Advanced_Sales_Dataset_2000__3[[#This Row],[Unit Price]]*Excel_Advanced_Sales_Dataset_2000__3[[#This Row],[Discount %]]/100</f>
        <v>254319.59839499998</v>
      </c>
      <c r="T502" s="4">
        <f>Excel_Advanced_Sales_Dataset_2000__3[[#This Row],[Quantity]]*Excel_Advanced_Sales_Dataset_2000__3[[#This Row],[Unit Price]]-Excel_Advanced_Sales_Dataset_2000__3[[#This Row],[Discount Amount]]</f>
        <v>1749774.9516050001</v>
      </c>
    </row>
    <row r="503" spans="1:20" x14ac:dyDescent="0.25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>
        <v>26</v>
      </c>
      <c r="J503" s="4">
        <v>43139.79</v>
      </c>
      <c r="K503" s="6">
        <v>1.35</v>
      </c>
      <c r="L503" s="4">
        <v>1106492.47</v>
      </c>
      <c r="M503" s="4" t="str" cm="1">
        <f t="array" ref="M503">IF(Excel_Advanced_Sales_Dataset_2000__3[[#This Row],[Total Sales]]&gt;50000,{"Yes"},{"No"})</f>
        <v>Yes</v>
      </c>
      <c r="N503" s="5">
        <v>46222</v>
      </c>
      <c r="O503" s="1" t="s">
        <v>45</v>
      </c>
      <c r="P503" t="s">
        <v>35</v>
      </c>
      <c r="Q503" t="str">
        <f>IF(Excel_Advanced_Sales_Dataset_2000__3[[#This Row],[Delivery Status]]="Pending","Follow Up","Ok")</f>
        <v>Ok</v>
      </c>
      <c r="R503" s="1" t="s">
        <v>53</v>
      </c>
      <c r="S503">
        <f>Excel_Advanced_Sales_Dataset_2000__3[[#This Row],[Quantity]]*Excel_Advanced_Sales_Dataset_2000__3[[#This Row],[Unit Price]]*Excel_Advanced_Sales_Dataset_2000__3[[#This Row],[Discount %]]/100</f>
        <v>15142.066290000002</v>
      </c>
      <c r="T503" s="4">
        <f>Excel_Advanced_Sales_Dataset_2000__3[[#This Row],[Quantity]]*Excel_Advanced_Sales_Dataset_2000__3[[#This Row],[Unit Price]]-Excel_Advanced_Sales_Dataset_2000__3[[#This Row],[Discount Amount]]</f>
        <v>1106492.47371</v>
      </c>
    </row>
    <row r="504" spans="1:20" x14ac:dyDescent="0.25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>
        <v>24</v>
      </c>
      <c r="J504" s="4">
        <v>11615.47</v>
      </c>
      <c r="K504" s="6">
        <v>12.83</v>
      </c>
      <c r="L504" s="4">
        <v>243004.92</v>
      </c>
      <c r="M504" s="4" t="str" cm="1">
        <f t="array" ref="M504">IF(Excel_Advanced_Sales_Dataset_2000__3[[#This Row],[Total Sales]]&gt;50000,{"Yes"},{"No"})</f>
        <v>Yes</v>
      </c>
      <c r="N504" s="5">
        <v>46387</v>
      </c>
      <c r="O504" s="1" t="s">
        <v>45</v>
      </c>
      <c r="P504" t="s">
        <v>35</v>
      </c>
      <c r="Q504" t="str">
        <f>IF(Excel_Advanced_Sales_Dataset_2000__3[[#This Row],[Delivery Status]]="Pending","Follow Up","Ok")</f>
        <v>Ok</v>
      </c>
      <c r="R504" s="1" t="s">
        <v>53</v>
      </c>
      <c r="S504">
        <f>Excel_Advanced_Sales_Dataset_2000__3[[#This Row],[Quantity]]*Excel_Advanced_Sales_Dataset_2000__3[[#This Row],[Unit Price]]*Excel_Advanced_Sales_Dataset_2000__3[[#This Row],[Discount %]]/100</f>
        <v>35766.355223999999</v>
      </c>
      <c r="T504" s="4">
        <f>Excel_Advanced_Sales_Dataset_2000__3[[#This Row],[Quantity]]*Excel_Advanced_Sales_Dataset_2000__3[[#This Row],[Unit Price]]-Excel_Advanced_Sales_Dataset_2000__3[[#This Row],[Discount Amount]]</f>
        <v>243004.92477599997</v>
      </c>
    </row>
    <row r="505" spans="1:20" x14ac:dyDescent="0.25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>
        <v>40</v>
      </c>
      <c r="J505" s="4">
        <v>34111.620000000003</v>
      </c>
      <c r="K505" s="6">
        <v>17.66</v>
      </c>
      <c r="L505" s="4">
        <v>1123500.32</v>
      </c>
      <c r="M505" s="4" t="str" cm="1">
        <f t="array" ref="M505">IF(Excel_Advanced_Sales_Dataset_2000__3[[#This Row],[Total Sales]]&gt;50000,{"Yes"},{"No"})</f>
        <v>Yes</v>
      </c>
      <c r="N505" s="5">
        <v>46365</v>
      </c>
      <c r="O505" s="1" t="s">
        <v>45</v>
      </c>
      <c r="P505" t="s">
        <v>35</v>
      </c>
      <c r="Q505" t="str">
        <f>IF(Excel_Advanced_Sales_Dataset_2000__3[[#This Row],[Delivery Status]]="Pending","Follow Up","Ok")</f>
        <v>Ok</v>
      </c>
      <c r="R505" s="1" t="s">
        <v>53</v>
      </c>
      <c r="S505">
        <f>Excel_Advanced_Sales_Dataset_2000__3[[#This Row],[Quantity]]*Excel_Advanced_Sales_Dataset_2000__3[[#This Row],[Unit Price]]*Excel_Advanced_Sales_Dataset_2000__3[[#This Row],[Discount %]]/100</f>
        <v>240964.48368</v>
      </c>
      <c r="T505" s="4">
        <f>Excel_Advanced_Sales_Dataset_2000__3[[#This Row],[Quantity]]*Excel_Advanced_Sales_Dataset_2000__3[[#This Row],[Unit Price]]-Excel_Advanced_Sales_Dataset_2000__3[[#This Row],[Discount Amount]]</f>
        <v>1123500.31632</v>
      </c>
    </row>
    <row r="506" spans="1:20" x14ac:dyDescent="0.25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>
        <v>30</v>
      </c>
      <c r="J506" s="4">
        <v>12847.56</v>
      </c>
      <c r="K506" s="6">
        <v>13.22</v>
      </c>
      <c r="L506" s="4">
        <v>334473.38</v>
      </c>
      <c r="M506" s="4" t="str" cm="1">
        <f t="array" ref="M506">IF(Excel_Advanced_Sales_Dataset_2000__3[[#This Row],[Total Sales]]&gt;50000,{"Yes"},{"No"})</f>
        <v>Yes</v>
      </c>
      <c r="N506" s="5">
        <v>46321</v>
      </c>
      <c r="O506" s="1" t="s">
        <v>24</v>
      </c>
      <c r="P506" t="s">
        <v>25</v>
      </c>
      <c r="Q506" t="str">
        <f>IF(Excel_Advanced_Sales_Dataset_2000__3[[#This Row],[Delivery Status]]="Pending","Follow Up","Ok")</f>
        <v>Follow Up</v>
      </c>
      <c r="R506" s="1" t="s">
        <v>53</v>
      </c>
      <c r="S506">
        <f>Excel_Advanced_Sales_Dataset_2000__3[[#This Row],[Quantity]]*Excel_Advanced_Sales_Dataset_2000__3[[#This Row],[Unit Price]]*Excel_Advanced_Sales_Dataset_2000__3[[#This Row],[Discount %]]/100</f>
        <v>50953.422960000004</v>
      </c>
      <c r="T506" s="4">
        <f>Excel_Advanced_Sales_Dataset_2000__3[[#This Row],[Quantity]]*Excel_Advanced_Sales_Dataset_2000__3[[#This Row],[Unit Price]]-Excel_Advanced_Sales_Dataset_2000__3[[#This Row],[Discount Amount]]</f>
        <v>334473.37703999999</v>
      </c>
    </row>
    <row r="507" spans="1:20" x14ac:dyDescent="0.25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>
        <v>1</v>
      </c>
      <c r="J507" s="4">
        <v>9019.43</v>
      </c>
      <c r="K507" s="6">
        <v>17.829999999999998</v>
      </c>
      <c r="L507" s="4">
        <v>7411.27</v>
      </c>
      <c r="M507" s="4" t="str" cm="1">
        <f t="array" ref="M507">IF(Excel_Advanced_Sales_Dataset_2000__3[[#This Row],[Total Sales]]&gt;50000,{"Yes"},{"No"})</f>
        <v>No</v>
      </c>
      <c r="N507" s="5">
        <v>46133</v>
      </c>
      <c r="O507" s="1" t="s">
        <v>113</v>
      </c>
      <c r="P507" t="s">
        <v>35</v>
      </c>
      <c r="Q507" t="str">
        <f>IF(Excel_Advanced_Sales_Dataset_2000__3[[#This Row],[Delivery Status]]="Pending","Follow Up","Ok")</f>
        <v>Ok</v>
      </c>
      <c r="R507" s="1" t="s">
        <v>36</v>
      </c>
      <c r="S507">
        <f>Excel_Advanced_Sales_Dataset_2000__3[[#This Row],[Quantity]]*Excel_Advanced_Sales_Dataset_2000__3[[#This Row],[Unit Price]]*Excel_Advanced_Sales_Dataset_2000__3[[#This Row],[Discount %]]/100</f>
        <v>1608.1643690000001</v>
      </c>
      <c r="T507" s="4">
        <f>Excel_Advanced_Sales_Dataset_2000__3[[#This Row],[Quantity]]*Excel_Advanced_Sales_Dataset_2000__3[[#This Row],[Unit Price]]-Excel_Advanced_Sales_Dataset_2000__3[[#This Row],[Discount Amount]]</f>
        <v>7411.2656310000002</v>
      </c>
    </row>
    <row r="508" spans="1:20" x14ac:dyDescent="0.25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>
        <v>50</v>
      </c>
      <c r="J508" s="4">
        <v>18807.21</v>
      </c>
      <c r="K508" s="6">
        <v>12.05</v>
      </c>
      <c r="L508" s="4">
        <v>827047.06</v>
      </c>
      <c r="M508" s="4" t="str" cm="1">
        <f t="array" ref="M508">IF(Excel_Advanced_Sales_Dataset_2000__3[[#This Row],[Total Sales]]&gt;50000,{"Yes"},{"No"})</f>
        <v>Yes</v>
      </c>
      <c r="N508" s="5">
        <v>46272</v>
      </c>
      <c r="O508" s="1" t="s">
        <v>58</v>
      </c>
      <c r="P508" t="s">
        <v>35</v>
      </c>
      <c r="Q508" t="str">
        <f>IF(Excel_Advanced_Sales_Dataset_2000__3[[#This Row],[Delivery Status]]="Pending","Follow Up","Ok")</f>
        <v>Ok</v>
      </c>
      <c r="R508" s="1" t="s">
        <v>26</v>
      </c>
      <c r="S508">
        <f>Excel_Advanced_Sales_Dataset_2000__3[[#This Row],[Quantity]]*Excel_Advanced_Sales_Dataset_2000__3[[#This Row],[Unit Price]]*Excel_Advanced_Sales_Dataset_2000__3[[#This Row],[Discount %]]/100</f>
        <v>113313.44025</v>
      </c>
      <c r="T508" s="4">
        <f>Excel_Advanced_Sales_Dataset_2000__3[[#This Row],[Quantity]]*Excel_Advanced_Sales_Dataset_2000__3[[#This Row],[Unit Price]]-Excel_Advanced_Sales_Dataset_2000__3[[#This Row],[Discount Amount]]</f>
        <v>827047.05975000001</v>
      </c>
    </row>
    <row r="509" spans="1:20" x14ac:dyDescent="0.25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>
        <v>1</v>
      </c>
      <c r="J509" s="4">
        <v>1260.8699999999999</v>
      </c>
      <c r="K509" s="6">
        <v>11.26</v>
      </c>
      <c r="L509" s="4">
        <v>1118.9000000000001</v>
      </c>
      <c r="M509" s="4" t="str" cm="1">
        <f t="array" ref="M509">IF(Excel_Advanced_Sales_Dataset_2000__3[[#This Row],[Total Sales]]&gt;50000,{"Yes"},{"No"})</f>
        <v>No</v>
      </c>
      <c r="N509" s="5">
        <v>46304</v>
      </c>
      <c r="O509" s="1" t="s">
        <v>24</v>
      </c>
      <c r="P509" t="s">
        <v>59</v>
      </c>
      <c r="Q509" t="str">
        <f>IF(Excel_Advanced_Sales_Dataset_2000__3[[#This Row],[Delivery Status]]="Pending","Follow Up","Ok")</f>
        <v>Ok</v>
      </c>
      <c r="R509" s="1" t="s">
        <v>53</v>
      </c>
      <c r="S509">
        <f>Excel_Advanced_Sales_Dataset_2000__3[[#This Row],[Quantity]]*Excel_Advanced_Sales_Dataset_2000__3[[#This Row],[Unit Price]]*Excel_Advanced_Sales_Dataset_2000__3[[#This Row],[Discount %]]/100</f>
        <v>141.973962</v>
      </c>
      <c r="T509" s="4">
        <f>Excel_Advanced_Sales_Dataset_2000__3[[#This Row],[Quantity]]*Excel_Advanced_Sales_Dataset_2000__3[[#This Row],[Unit Price]]-Excel_Advanced_Sales_Dataset_2000__3[[#This Row],[Discount Amount]]</f>
        <v>1118.8960379999999</v>
      </c>
    </row>
    <row r="510" spans="1:20" x14ac:dyDescent="0.25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>
        <v>44</v>
      </c>
      <c r="J510" s="4">
        <v>8240.68</v>
      </c>
      <c r="K510" s="6">
        <v>5.93</v>
      </c>
      <c r="L510" s="4">
        <v>341088.34</v>
      </c>
      <c r="M510" s="4" t="str" cm="1">
        <f t="array" ref="M510">IF(Excel_Advanced_Sales_Dataset_2000__3[[#This Row],[Total Sales]]&gt;50000,{"Yes"},{"No"})</f>
        <v>Yes</v>
      </c>
      <c r="N510" s="5">
        <v>46296</v>
      </c>
      <c r="O510" s="1" t="s">
        <v>68</v>
      </c>
      <c r="P510" t="s">
        <v>25</v>
      </c>
      <c r="Q510" t="str">
        <f>IF(Excel_Advanced_Sales_Dataset_2000__3[[#This Row],[Delivery Status]]="Pending","Follow Up","Ok")</f>
        <v>Follow Up</v>
      </c>
      <c r="R510" s="1" t="s">
        <v>26</v>
      </c>
      <c r="S510">
        <f>Excel_Advanced_Sales_Dataset_2000__3[[#This Row],[Quantity]]*Excel_Advanced_Sales_Dataset_2000__3[[#This Row],[Unit Price]]*Excel_Advanced_Sales_Dataset_2000__3[[#This Row],[Discount %]]/100</f>
        <v>21501.582256000002</v>
      </c>
      <c r="T510" s="4">
        <f>Excel_Advanced_Sales_Dataset_2000__3[[#This Row],[Quantity]]*Excel_Advanced_Sales_Dataset_2000__3[[#This Row],[Unit Price]]-Excel_Advanced_Sales_Dataset_2000__3[[#This Row],[Discount Amount]]</f>
        <v>341088.33774400002</v>
      </c>
    </row>
    <row r="511" spans="1:20" x14ac:dyDescent="0.25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>
        <v>4</v>
      </c>
      <c r="J511" s="4">
        <v>15757.37</v>
      </c>
      <c r="K511" s="6">
        <v>1.45</v>
      </c>
      <c r="L511" s="4">
        <v>62115.55</v>
      </c>
      <c r="M511" s="4" t="str" cm="1">
        <f t="array" ref="M511">IF(Excel_Advanced_Sales_Dataset_2000__3[[#This Row],[Total Sales]]&gt;50000,{"Yes"},{"No"})</f>
        <v>Yes</v>
      </c>
      <c r="N511" s="5">
        <v>46096</v>
      </c>
      <c r="O511" s="1" t="s">
        <v>58</v>
      </c>
      <c r="P511" t="s">
        <v>35</v>
      </c>
      <c r="Q511" t="str">
        <f>IF(Excel_Advanced_Sales_Dataset_2000__3[[#This Row],[Delivery Status]]="Pending","Follow Up","Ok")</f>
        <v>Ok</v>
      </c>
      <c r="R511" s="1" t="s">
        <v>53</v>
      </c>
      <c r="S511">
        <f>Excel_Advanced_Sales_Dataset_2000__3[[#This Row],[Quantity]]*Excel_Advanced_Sales_Dataset_2000__3[[#This Row],[Unit Price]]*Excel_Advanced_Sales_Dataset_2000__3[[#This Row],[Discount %]]/100</f>
        <v>913.92746</v>
      </c>
      <c r="T511" s="4">
        <f>Excel_Advanced_Sales_Dataset_2000__3[[#This Row],[Quantity]]*Excel_Advanced_Sales_Dataset_2000__3[[#This Row],[Unit Price]]-Excel_Advanced_Sales_Dataset_2000__3[[#This Row],[Discount Amount]]</f>
        <v>62115.552540000004</v>
      </c>
    </row>
    <row r="512" spans="1:20" x14ac:dyDescent="0.25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>
        <v>4</v>
      </c>
      <c r="J512" s="4">
        <v>43203.46</v>
      </c>
      <c r="K512" s="6">
        <v>13.21</v>
      </c>
      <c r="L512" s="4">
        <v>149985.13</v>
      </c>
      <c r="M512" s="4" t="str" cm="1">
        <f t="array" ref="M512">IF(Excel_Advanced_Sales_Dataset_2000__3[[#This Row],[Total Sales]]&gt;50000,{"Yes"},{"No"})</f>
        <v>Yes</v>
      </c>
      <c r="N512" s="5">
        <v>46381</v>
      </c>
      <c r="O512" s="1" t="s">
        <v>24</v>
      </c>
      <c r="P512" t="s">
        <v>25</v>
      </c>
      <c r="Q512" t="str">
        <f>IF(Excel_Advanced_Sales_Dataset_2000__3[[#This Row],[Delivery Status]]="Pending","Follow Up","Ok")</f>
        <v>Follow Up</v>
      </c>
      <c r="R512" s="1" t="s">
        <v>26</v>
      </c>
      <c r="S512">
        <f>Excel_Advanced_Sales_Dataset_2000__3[[#This Row],[Quantity]]*Excel_Advanced_Sales_Dataset_2000__3[[#This Row],[Unit Price]]*Excel_Advanced_Sales_Dataset_2000__3[[#This Row],[Discount %]]/100</f>
        <v>22828.708264000001</v>
      </c>
      <c r="T512" s="4">
        <f>Excel_Advanced_Sales_Dataset_2000__3[[#This Row],[Quantity]]*Excel_Advanced_Sales_Dataset_2000__3[[#This Row],[Unit Price]]-Excel_Advanced_Sales_Dataset_2000__3[[#This Row],[Discount Amount]]</f>
        <v>149985.13173600001</v>
      </c>
    </row>
    <row r="513" spans="1:20" x14ac:dyDescent="0.25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>
        <v>36</v>
      </c>
      <c r="J513" s="4">
        <v>14123.42</v>
      </c>
      <c r="K513" s="6">
        <v>2.0299999999999998</v>
      </c>
      <c r="L513" s="4">
        <v>498121.72</v>
      </c>
      <c r="M513" s="4" t="str" cm="1">
        <f t="array" ref="M513">IF(Excel_Advanced_Sales_Dataset_2000__3[[#This Row],[Total Sales]]&gt;50000,{"Yes"},{"No"})</f>
        <v>Yes</v>
      </c>
      <c r="N513" s="5">
        <v>46044</v>
      </c>
      <c r="O513" s="1" t="s">
        <v>113</v>
      </c>
      <c r="P513" t="s">
        <v>25</v>
      </c>
      <c r="Q513" t="str">
        <f>IF(Excel_Advanced_Sales_Dataset_2000__3[[#This Row],[Delivery Status]]="Pending","Follow Up","Ok")</f>
        <v>Follow Up</v>
      </c>
      <c r="R513" s="1" t="s">
        <v>53</v>
      </c>
      <c r="S513">
        <f>Excel_Advanced_Sales_Dataset_2000__3[[#This Row],[Quantity]]*Excel_Advanced_Sales_Dataset_2000__3[[#This Row],[Unit Price]]*Excel_Advanced_Sales_Dataset_2000__3[[#This Row],[Discount %]]/100</f>
        <v>10321.395335999998</v>
      </c>
      <c r="T513" s="4">
        <f>Excel_Advanced_Sales_Dataset_2000__3[[#This Row],[Quantity]]*Excel_Advanced_Sales_Dataset_2000__3[[#This Row],[Unit Price]]-Excel_Advanced_Sales_Dataset_2000__3[[#This Row],[Discount Amount]]</f>
        <v>498121.72466399998</v>
      </c>
    </row>
    <row r="514" spans="1:20" x14ac:dyDescent="0.25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>
        <v>27</v>
      </c>
      <c r="J514" s="4">
        <v>49917.03</v>
      </c>
      <c r="K514" s="6">
        <v>11.58</v>
      </c>
      <c r="L514" s="4">
        <v>1191689.22</v>
      </c>
      <c r="M514" s="4" t="str" cm="1">
        <f t="array" ref="M514">IF(Excel_Advanced_Sales_Dataset_2000__3[[#This Row],[Total Sales]]&gt;50000,{"Yes"},{"No"})</f>
        <v>Yes</v>
      </c>
      <c r="N514" s="5">
        <v>46033</v>
      </c>
      <c r="O514" s="1" t="s">
        <v>58</v>
      </c>
      <c r="P514" t="s">
        <v>35</v>
      </c>
      <c r="Q514" t="str">
        <f>IF(Excel_Advanced_Sales_Dataset_2000__3[[#This Row],[Delivery Status]]="Pending","Follow Up","Ok")</f>
        <v>Ok</v>
      </c>
      <c r="R514" s="1" t="s">
        <v>26</v>
      </c>
      <c r="S514">
        <f>Excel_Advanced_Sales_Dataset_2000__3[[#This Row],[Quantity]]*Excel_Advanced_Sales_Dataset_2000__3[[#This Row],[Unit Price]]*Excel_Advanced_Sales_Dataset_2000__3[[#This Row],[Discount %]]/100</f>
        <v>156070.585998</v>
      </c>
      <c r="T514" s="4">
        <f>Excel_Advanced_Sales_Dataset_2000__3[[#This Row],[Quantity]]*Excel_Advanced_Sales_Dataset_2000__3[[#This Row],[Unit Price]]-Excel_Advanced_Sales_Dataset_2000__3[[#This Row],[Discount Amount]]</f>
        <v>1191689.2240019999</v>
      </c>
    </row>
    <row r="515" spans="1:20" x14ac:dyDescent="0.25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>
        <v>13</v>
      </c>
      <c r="J515" s="4">
        <v>32962.94</v>
      </c>
      <c r="K515" s="6">
        <v>18.940000000000001</v>
      </c>
      <c r="L515" s="4">
        <v>347356.87</v>
      </c>
      <c r="M515" s="4" t="str" cm="1">
        <f t="array" ref="M515">IF(Excel_Advanced_Sales_Dataset_2000__3[[#This Row],[Total Sales]]&gt;50000,{"Yes"},{"No"})</f>
        <v>Yes</v>
      </c>
      <c r="N515" s="5">
        <v>46332</v>
      </c>
      <c r="O515" s="1" t="s">
        <v>24</v>
      </c>
      <c r="P515" t="s">
        <v>35</v>
      </c>
      <c r="Q515" t="str">
        <f>IF(Excel_Advanced_Sales_Dataset_2000__3[[#This Row],[Delivery Status]]="Pending","Follow Up","Ok")</f>
        <v>Ok</v>
      </c>
      <c r="R515" s="1" t="s">
        <v>53</v>
      </c>
      <c r="S515">
        <f>Excel_Advanced_Sales_Dataset_2000__3[[#This Row],[Quantity]]*Excel_Advanced_Sales_Dataset_2000__3[[#This Row],[Unit Price]]*Excel_Advanced_Sales_Dataset_2000__3[[#This Row],[Discount %]]/100</f>
        <v>81161.350868000009</v>
      </c>
      <c r="T515" s="4">
        <f>Excel_Advanced_Sales_Dataset_2000__3[[#This Row],[Quantity]]*Excel_Advanced_Sales_Dataset_2000__3[[#This Row],[Unit Price]]-Excel_Advanced_Sales_Dataset_2000__3[[#This Row],[Discount Amount]]</f>
        <v>347356.86913200002</v>
      </c>
    </row>
    <row r="516" spans="1:20" x14ac:dyDescent="0.25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>
        <v>49</v>
      </c>
      <c r="J516" s="4">
        <v>31702.99</v>
      </c>
      <c r="K516" s="6">
        <v>15.51</v>
      </c>
      <c r="L516" s="4">
        <v>1312506.96</v>
      </c>
      <c r="M516" s="4" t="str" cm="1">
        <f t="array" ref="M516">IF(Excel_Advanced_Sales_Dataset_2000__3[[#This Row],[Total Sales]]&gt;50000,{"Yes"},{"No"})</f>
        <v>Yes</v>
      </c>
      <c r="N516" s="5">
        <v>46278</v>
      </c>
      <c r="O516" s="1" t="s">
        <v>68</v>
      </c>
      <c r="P516" t="s">
        <v>35</v>
      </c>
      <c r="Q516" t="str">
        <f>IF(Excel_Advanced_Sales_Dataset_2000__3[[#This Row],[Delivery Status]]="Pending","Follow Up","Ok")</f>
        <v>Ok</v>
      </c>
      <c r="R516" s="1" t="s">
        <v>26</v>
      </c>
      <c r="S516">
        <f>Excel_Advanced_Sales_Dataset_2000__3[[#This Row],[Quantity]]*Excel_Advanced_Sales_Dataset_2000__3[[#This Row],[Unit Price]]*Excel_Advanced_Sales_Dataset_2000__3[[#This Row],[Discount %]]/100</f>
        <v>240939.553701</v>
      </c>
      <c r="T516" s="4">
        <f>Excel_Advanced_Sales_Dataset_2000__3[[#This Row],[Quantity]]*Excel_Advanced_Sales_Dataset_2000__3[[#This Row],[Unit Price]]-Excel_Advanced_Sales_Dataset_2000__3[[#This Row],[Discount Amount]]</f>
        <v>1312506.956299</v>
      </c>
    </row>
    <row r="517" spans="1:20" x14ac:dyDescent="0.25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>
        <v>31</v>
      </c>
      <c r="J517" s="4">
        <v>27154.67</v>
      </c>
      <c r="K517" s="6">
        <v>13.72</v>
      </c>
      <c r="L517" s="4">
        <v>726300.53</v>
      </c>
      <c r="M517" s="4" t="str" cm="1">
        <f t="array" ref="M517">IF(Excel_Advanced_Sales_Dataset_2000__3[[#This Row],[Total Sales]]&gt;50000,{"Yes"},{"No"})</f>
        <v>Yes</v>
      </c>
      <c r="N517" s="5">
        <v>46082</v>
      </c>
      <c r="O517" s="1" t="s">
        <v>58</v>
      </c>
      <c r="P517" t="s">
        <v>35</v>
      </c>
      <c r="Q517" t="str">
        <f>IF(Excel_Advanced_Sales_Dataset_2000__3[[#This Row],[Delivery Status]]="Pending","Follow Up","Ok")</f>
        <v>Ok</v>
      </c>
      <c r="R517" s="1" t="s">
        <v>36</v>
      </c>
      <c r="S517">
        <f>Excel_Advanced_Sales_Dataset_2000__3[[#This Row],[Quantity]]*Excel_Advanced_Sales_Dataset_2000__3[[#This Row],[Unit Price]]*Excel_Advanced_Sales_Dataset_2000__3[[#This Row],[Discount %]]/100</f>
        <v>115494.24244399999</v>
      </c>
      <c r="T517" s="4">
        <f>Excel_Advanced_Sales_Dataset_2000__3[[#This Row],[Quantity]]*Excel_Advanced_Sales_Dataset_2000__3[[#This Row],[Unit Price]]-Excel_Advanced_Sales_Dataset_2000__3[[#This Row],[Discount Amount]]</f>
        <v>726300.52755599993</v>
      </c>
    </row>
    <row r="518" spans="1:20" x14ac:dyDescent="0.25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>
        <v>8</v>
      </c>
      <c r="J518" s="4">
        <v>13266.81</v>
      </c>
      <c r="K518" s="6">
        <v>8.82</v>
      </c>
      <c r="L518" s="4">
        <v>96773.42</v>
      </c>
      <c r="M518" s="4" t="str" cm="1">
        <f t="array" ref="M518">IF(Excel_Advanced_Sales_Dataset_2000__3[[#This Row],[Total Sales]]&gt;50000,{"Yes"},{"No"})</f>
        <v>Yes</v>
      </c>
      <c r="N518" s="5">
        <v>46028</v>
      </c>
      <c r="O518" s="1" t="s">
        <v>68</v>
      </c>
      <c r="P518" t="s">
        <v>35</v>
      </c>
      <c r="Q518" t="str">
        <f>IF(Excel_Advanced_Sales_Dataset_2000__3[[#This Row],[Delivery Status]]="Pending","Follow Up","Ok")</f>
        <v>Ok</v>
      </c>
      <c r="R518" s="1" t="s">
        <v>53</v>
      </c>
      <c r="S518">
        <f>Excel_Advanced_Sales_Dataset_2000__3[[#This Row],[Quantity]]*Excel_Advanced_Sales_Dataset_2000__3[[#This Row],[Unit Price]]*Excel_Advanced_Sales_Dataset_2000__3[[#This Row],[Discount %]]/100</f>
        <v>9361.0611360000003</v>
      </c>
      <c r="T518" s="4">
        <f>Excel_Advanced_Sales_Dataset_2000__3[[#This Row],[Quantity]]*Excel_Advanced_Sales_Dataset_2000__3[[#This Row],[Unit Price]]-Excel_Advanced_Sales_Dataset_2000__3[[#This Row],[Discount Amount]]</f>
        <v>96773.418863999992</v>
      </c>
    </row>
    <row r="519" spans="1:20" x14ac:dyDescent="0.25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>
        <v>30</v>
      </c>
      <c r="J519" s="4">
        <v>43948.3</v>
      </c>
      <c r="K519" s="6">
        <v>8.8800000000000008</v>
      </c>
      <c r="L519" s="4">
        <v>1201370.73</v>
      </c>
      <c r="M519" s="4" t="str" cm="1">
        <f t="array" ref="M519">IF(Excel_Advanced_Sales_Dataset_2000__3[[#This Row],[Total Sales]]&gt;50000,{"Yes"},{"No"})</f>
        <v>Yes</v>
      </c>
      <c r="N519" s="5">
        <v>46256</v>
      </c>
      <c r="O519" s="1" t="s">
        <v>68</v>
      </c>
      <c r="P519" t="s">
        <v>35</v>
      </c>
      <c r="Q519" t="str">
        <f>IF(Excel_Advanced_Sales_Dataset_2000__3[[#This Row],[Delivery Status]]="Pending","Follow Up","Ok")</f>
        <v>Ok</v>
      </c>
      <c r="R519" s="1" t="s">
        <v>36</v>
      </c>
      <c r="S519">
        <f>Excel_Advanced_Sales_Dataset_2000__3[[#This Row],[Quantity]]*Excel_Advanced_Sales_Dataset_2000__3[[#This Row],[Unit Price]]*Excel_Advanced_Sales_Dataset_2000__3[[#This Row],[Discount %]]/100</f>
        <v>117078.27120000002</v>
      </c>
      <c r="T519" s="4">
        <f>Excel_Advanced_Sales_Dataset_2000__3[[#This Row],[Quantity]]*Excel_Advanced_Sales_Dataset_2000__3[[#This Row],[Unit Price]]-Excel_Advanced_Sales_Dataset_2000__3[[#This Row],[Discount Amount]]</f>
        <v>1201370.7287999999</v>
      </c>
    </row>
    <row r="520" spans="1:20" x14ac:dyDescent="0.25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>
        <v>37</v>
      </c>
      <c r="J520" s="4">
        <v>17603.740000000002</v>
      </c>
      <c r="K520" s="6">
        <v>9.9700000000000006</v>
      </c>
      <c r="L520" s="4">
        <v>586399.93999999994</v>
      </c>
      <c r="M520" s="4" t="str" cm="1">
        <f t="array" ref="M520">IF(Excel_Advanced_Sales_Dataset_2000__3[[#This Row],[Total Sales]]&gt;50000,{"Yes"},{"No"})</f>
        <v>Yes</v>
      </c>
      <c r="N520" s="5">
        <v>46095</v>
      </c>
      <c r="O520" s="1" t="s">
        <v>24</v>
      </c>
      <c r="P520" t="s">
        <v>25</v>
      </c>
      <c r="Q520" t="str">
        <f>IF(Excel_Advanced_Sales_Dataset_2000__3[[#This Row],[Delivery Status]]="Pending","Follow Up","Ok")</f>
        <v>Follow Up</v>
      </c>
      <c r="R520" s="1" t="s">
        <v>53</v>
      </c>
      <c r="S520">
        <f>Excel_Advanced_Sales_Dataset_2000__3[[#This Row],[Quantity]]*Excel_Advanced_Sales_Dataset_2000__3[[#This Row],[Unit Price]]*Excel_Advanced_Sales_Dataset_2000__3[[#This Row],[Discount %]]/100</f>
        <v>64938.436486000006</v>
      </c>
      <c r="T520" s="4">
        <f>Excel_Advanced_Sales_Dataset_2000__3[[#This Row],[Quantity]]*Excel_Advanced_Sales_Dataset_2000__3[[#This Row],[Unit Price]]-Excel_Advanced_Sales_Dataset_2000__3[[#This Row],[Discount Amount]]</f>
        <v>586399.94351400004</v>
      </c>
    </row>
    <row r="521" spans="1:20" x14ac:dyDescent="0.25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>
        <v>14</v>
      </c>
      <c r="J521" s="4">
        <v>46745.84</v>
      </c>
      <c r="K521" s="6">
        <v>4.0599999999999996</v>
      </c>
      <c r="L521" s="4">
        <v>627871.42000000004</v>
      </c>
      <c r="M521" s="4" t="str" cm="1">
        <f t="array" ref="M521">IF(Excel_Advanced_Sales_Dataset_2000__3[[#This Row],[Total Sales]]&gt;50000,{"Yes"},{"No"})</f>
        <v>Yes</v>
      </c>
      <c r="N521" s="5">
        <v>46212</v>
      </c>
      <c r="O521" s="1" t="s">
        <v>24</v>
      </c>
      <c r="P521" t="s">
        <v>35</v>
      </c>
      <c r="Q521" t="str">
        <f>IF(Excel_Advanced_Sales_Dataset_2000__3[[#This Row],[Delivery Status]]="Pending","Follow Up","Ok")</f>
        <v>Ok</v>
      </c>
      <c r="R521" s="1" t="s">
        <v>26</v>
      </c>
      <c r="S521">
        <f>Excel_Advanced_Sales_Dataset_2000__3[[#This Row],[Quantity]]*Excel_Advanced_Sales_Dataset_2000__3[[#This Row],[Unit Price]]*Excel_Advanced_Sales_Dataset_2000__3[[#This Row],[Discount %]]/100</f>
        <v>26570.335455999997</v>
      </c>
      <c r="T521" s="4">
        <f>Excel_Advanced_Sales_Dataset_2000__3[[#This Row],[Quantity]]*Excel_Advanced_Sales_Dataset_2000__3[[#This Row],[Unit Price]]-Excel_Advanced_Sales_Dataset_2000__3[[#This Row],[Discount Amount]]</f>
        <v>627871.42454400007</v>
      </c>
    </row>
    <row r="522" spans="1:20" x14ac:dyDescent="0.25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>
        <v>18</v>
      </c>
      <c r="J522" s="4">
        <v>20135.72</v>
      </c>
      <c r="K522" s="6">
        <v>19.88</v>
      </c>
      <c r="L522" s="4">
        <v>290389.3</v>
      </c>
      <c r="M522" s="4" t="str" cm="1">
        <f t="array" ref="M522">IF(Excel_Advanced_Sales_Dataset_2000__3[[#This Row],[Total Sales]]&gt;50000,{"Yes"},{"No"})</f>
        <v>Yes</v>
      </c>
      <c r="N522" s="5">
        <v>46273</v>
      </c>
      <c r="O522" s="1" t="s">
        <v>68</v>
      </c>
      <c r="P522" t="s">
        <v>35</v>
      </c>
      <c r="Q522" t="str">
        <f>IF(Excel_Advanced_Sales_Dataset_2000__3[[#This Row],[Delivery Status]]="Pending","Follow Up","Ok")</f>
        <v>Ok</v>
      </c>
      <c r="R522" s="1" t="s">
        <v>53</v>
      </c>
      <c r="S522">
        <f>Excel_Advanced_Sales_Dataset_2000__3[[#This Row],[Quantity]]*Excel_Advanced_Sales_Dataset_2000__3[[#This Row],[Unit Price]]*Excel_Advanced_Sales_Dataset_2000__3[[#This Row],[Discount %]]/100</f>
        <v>72053.66044800001</v>
      </c>
      <c r="T522" s="4">
        <f>Excel_Advanced_Sales_Dataset_2000__3[[#This Row],[Quantity]]*Excel_Advanced_Sales_Dataset_2000__3[[#This Row],[Unit Price]]-Excel_Advanced_Sales_Dataset_2000__3[[#This Row],[Discount Amount]]</f>
        <v>290389.29955200001</v>
      </c>
    </row>
    <row r="523" spans="1:20" x14ac:dyDescent="0.25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>
        <v>38</v>
      </c>
      <c r="J523" s="4">
        <v>5695.1</v>
      </c>
      <c r="K523" s="6">
        <v>4.5199999999999996</v>
      </c>
      <c r="L523" s="4">
        <v>206631.9</v>
      </c>
      <c r="M523" s="4" t="str" cm="1">
        <f t="array" ref="M523">IF(Excel_Advanced_Sales_Dataset_2000__3[[#This Row],[Total Sales]]&gt;50000,{"Yes"},{"No"})</f>
        <v>Yes</v>
      </c>
      <c r="N523" s="5">
        <v>46216</v>
      </c>
      <c r="O523" s="1" t="s">
        <v>68</v>
      </c>
      <c r="P523" t="s">
        <v>35</v>
      </c>
      <c r="Q523" t="str">
        <f>IF(Excel_Advanced_Sales_Dataset_2000__3[[#This Row],[Delivery Status]]="Pending","Follow Up","Ok")</f>
        <v>Ok</v>
      </c>
      <c r="R523" s="1" t="s">
        <v>53</v>
      </c>
      <c r="S523">
        <f>Excel_Advanced_Sales_Dataset_2000__3[[#This Row],[Quantity]]*Excel_Advanced_Sales_Dataset_2000__3[[#This Row],[Unit Price]]*Excel_Advanced_Sales_Dataset_2000__3[[#This Row],[Discount %]]/100</f>
        <v>9781.9037599999992</v>
      </c>
      <c r="T523" s="4">
        <f>Excel_Advanced_Sales_Dataset_2000__3[[#This Row],[Quantity]]*Excel_Advanced_Sales_Dataset_2000__3[[#This Row],[Unit Price]]-Excel_Advanced_Sales_Dataset_2000__3[[#This Row],[Discount Amount]]</f>
        <v>206631.89624000003</v>
      </c>
    </row>
    <row r="524" spans="1:20" x14ac:dyDescent="0.25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>
        <v>26</v>
      </c>
      <c r="J524" s="4">
        <v>48630.13</v>
      </c>
      <c r="K524" s="6">
        <v>4.05</v>
      </c>
      <c r="L524" s="4">
        <v>1213175.8500000001</v>
      </c>
      <c r="M524" s="4" t="str" cm="1">
        <f t="array" ref="M524">IF(Excel_Advanced_Sales_Dataset_2000__3[[#This Row],[Total Sales]]&gt;50000,{"Yes"},{"No"})</f>
        <v>Yes</v>
      </c>
      <c r="N524" s="5">
        <v>46297</v>
      </c>
      <c r="O524" s="1" t="s">
        <v>58</v>
      </c>
      <c r="P524" t="s">
        <v>35</v>
      </c>
      <c r="Q524" t="str">
        <f>IF(Excel_Advanced_Sales_Dataset_2000__3[[#This Row],[Delivery Status]]="Pending","Follow Up","Ok")</f>
        <v>Ok</v>
      </c>
      <c r="R524" s="1" t="s">
        <v>26</v>
      </c>
      <c r="S524">
        <f>Excel_Advanced_Sales_Dataset_2000__3[[#This Row],[Quantity]]*Excel_Advanced_Sales_Dataset_2000__3[[#This Row],[Unit Price]]*Excel_Advanced_Sales_Dataset_2000__3[[#This Row],[Discount %]]/100</f>
        <v>51207.526889999994</v>
      </c>
      <c r="T524" s="4">
        <f>Excel_Advanced_Sales_Dataset_2000__3[[#This Row],[Quantity]]*Excel_Advanced_Sales_Dataset_2000__3[[#This Row],[Unit Price]]-Excel_Advanced_Sales_Dataset_2000__3[[#This Row],[Discount Amount]]</f>
        <v>1213175.8531099998</v>
      </c>
    </row>
    <row r="525" spans="1:20" x14ac:dyDescent="0.25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>
        <v>48</v>
      </c>
      <c r="J525" s="4">
        <v>30788.12</v>
      </c>
      <c r="K525" s="6">
        <v>18.95</v>
      </c>
      <c r="L525" s="4">
        <v>1197781.02</v>
      </c>
      <c r="M525" s="4" t="str" cm="1">
        <f t="array" ref="M525">IF(Excel_Advanced_Sales_Dataset_2000__3[[#This Row],[Total Sales]]&gt;50000,{"Yes"},{"No"})</f>
        <v>Yes</v>
      </c>
      <c r="N525" s="5">
        <v>46384</v>
      </c>
      <c r="O525" s="1" t="s">
        <v>45</v>
      </c>
      <c r="P525" t="s">
        <v>35</v>
      </c>
      <c r="Q525" t="str">
        <f>IF(Excel_Advanced_Sales_Dataset_2000__3[[#This Row],[Delivery Status]]="Pending","Follow Up","Ok")</f>
        <v>Ok</v>
      </c>
      <c r="R525" s="1" t="s">
        <v>36</v>
      </c>
      <c r="S525">
        <f>Excel_Advanced_Sales_Dataset_2000__3[[#This Row],[Quantity]]*Excel_Advanced_Sales_Dataset_2000__3[[#This Row],[Unit Price]]*Excel_Advanced_Sales_Dataset_2000__3[[#This Row],[Discount %]]/100</f>
        <v>280048.73952</v>
      </c>
      <c r="T525" s="4">
        <f>Excel_Advanced_Sales_Dataset_2000__3[[#This Row],[Quantity]]*Excel_Advanced_Sales_Dataset_2000__3[[#This Row],[Unit Price]]-Excel_Advanced_Sales_Dataset_2000__3[[#This Row],[Discount Amount]]</f>
        <v>1197781.0204799999</v>
      </c>
    </row>
    <row r="526" spans="1:20" x14ac:dyDescent="0.25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>
        <v>9</v>
      </c>
      <c r="J526" s="4">
        <v>49642.21</v>
      </c>
      <c r="K526" s="6">
        <v>6.36</v>
      </c>
      <c r="L526" s="4">
        <v>418364.69</v>
      </c>
      <c r="M526" s="4" t="str" cm="1">
        <f t="array" ref="M526">IF(Excel_Advanced_Sales_Dataset_2000__3[[#This Row],[Total Sales]]&gt;50000,{"Yes"},{"No"})</f>
        <v>Yes</v>
      </c>
      <c r="N526" s="5">
        <v>46266</v>
      </c>
      <c r="O526" s="1" t="s">
        <v>68</v>
      </c>
      <c r="P526" t="s">
        <v>35</v>
      </c>
      <c r="Q526" t="str">
        <f>IF(Excel_Advanced_Sales_Dataset_2000__3[[#This Row],[Delivery Status]]="Pending","Follow Up","Ok")</f>
        <v>Ok</v>
      </c>
      <c r="R526" s="1" t="s">
        <v>53</v>
      </c>
      <c r="S526">
        <f>Excel_Advanced_Sales_Dataset_2000__3[[#This Row],[Quantity]]*Excel_Advanced_Sales_Dataset_2000__3[[#This Row],[Unit Price]]*Excel_Advanced_Sales_Dataset_2000__3[[#This Row],[Discount %]]/100</f>
        <v>28415.201004000002</v>
      </c>
      <c r="T526" s="4">
        <f>Excel_Advanced_Sales_Dataset_2000__3[[#This Row],[Quantity]]*Excel_Advanced_Sales_Dataset_2000__3[[#This Row],[Unit Price]]-Excel_Advanced_Sales_Dataset_2000__3[[#This Row],[Discount Amount]]</f>
        <v>418364.68899599998</v>
      </c>
    </row>
    <row r="527" spans="1:20" x14ac:dyDescent="0.25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>
        <v>16</v>
      </c>
      <c r="J527" s="4">
        <v>44258.559999999998</v>
      </c>
      <c r="K527" s="6">
        <v>11.4</v>
      </c>
      <c r="L527" s="4">
        <v>627409.35</v>
      </c>
      <c r="M527" s="4" t="str" cm="1">
        <f t="array" ref="M527">IF(Excel_Advanced_Sales_Dataset_2000__3[[#This Row],[Total Sales]]&gt;50000,{"Yes"},{"No"})</f>
        <v>Yes</v>
      </c>
      <c r="N527" s="5">
        <v>46028</v>
      </c>
      <c r="O527" s="1" t="s">
        <v>45</v>
      </c>
      <c r="P527" t="s">
        <v>35</v>
      </c>
      <c r="Q527" t="str">
        <f>IF(Excel_Advanced_Sales_Dataset_2000__3[[#This Row],[Delivery Status]]="Pending","Follow Up","Ok")</f>
        <v>Ok</v>
      </c>
      <c r="R527" s="1" t="s">
        <v>36</v>
      </c>
      <c r="S527">
        <f>Excel_Advanced_Sales_Dataset_2000__3[[#This Row],[Quantity]]*Excel_Advanced_Sales_Dataset_2000__3[[#This Row],[Unit Price]]*Excel_Advanced_Sales_Dataset_2000__3[[#This Row],[Discount %]]/100</f>
        <v>80727.613440000001</v>
      </c>
      <c r="T527" s="4">
        <f>Excel_Advanced_Sales_Dataset_2000__3[[#This Row],[Quantity]]*Excel_Advanced_Sales_Dataset_2000__3[[#This Row],[Unit Price]]-Excel_Advanced_Sales_Dataset_2000__3[[#This Row],[Discount Amount]]</f>
        <v>627409.34655999998</v>
      </c>
    </row>
    <row r="528" spans="1:20" x14ac:dyDescent="0.25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>
        <v>49</v>
      </c>
      <c r="J528" s="4">
        <v>20156.830000000002</v>
      </c>
      <c r="K528" s="6">
        <v>0</v>
      </c>
      <c r="L528" s="4">
        <v>987684.67</v>
      </c>
      <c r="M528" s="4" t="str" cm="1">
        <f t="array" ref="M528">IF(Excel_Advanced_Sales_Dataset_2000__3[[#This Row],[Total Sales]]&gt;50000,{"Yes"},{"No"})</f>
        <v>Yes</v>
      </c>
      <c r="N528" s="5">
        <v>46115</v>
      </c>
      <c r="O528" s="1" t="s">
        <v>68</v>
      </c>
      <c r="P528" t="s">
        <v>35</v>
      </c>
      <c r="Q528" t="str">
        <f>IF(Excel_Advanced_Sales_Dataset_2000__3[[#This Row],[Delivery Status]]="Pending","Follow Up","Ok")</f>
        <v>Ok</v>
      </c>
      <c r="R528" s="1" t="s">
        <v>53</v>
      </c>
      <c r="S528">
        <f>Excel_Advanced_Sales_Dataset_2000__3[[#This Row],[Quantity]]*Excel_Advanced_Sales_Dataset_2000__3[[#This Row],[Unit Price]]*Excel_Advanced_Sales_Dataset_2000__3[[#This Row],[Discount %]]/100</f>
        <v>0</v>
      </c>
      <c r="T528" s="4">
        <f>Excel_Advanced_Sales_Dataset_2000__3[[#This Row],[Quantity]]*Excel_Advanced_Sales_Dataset_2000__3[[#This Row],[Unit Price]]-Excel_Advanced_Sales_Dataset_2000__3[[#This Row],[Discount Amount]]</f>
        <v>987684.67</v>
      </c>
    </row>
    <row r="529" spans="1:20" x14ac:dyDescent="0.25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>
        <v>6</v>
      </c>
      <c r="J529" s="4">
        <v>35330.94</v>
      </c>
      <c r="K529" s="6">
        <v>6.44</v>
      </c>
      <c r="L529" s="4">
        <v>198333.76</v>
      </c>
      <c r="M529" s="4" t="str" cm="1">
        <f t="array" ref="M529">IF(Excel_Advanced_Sales_Dataset_2000__3[[#This Row],[Total Sales]]&gt;50000,{"Yes"},{"No"})</f>
        <v>Yes</v>
      </c>
      <c r="N529" s="5">
        <v>46033</v>
      </c>
      <c r="O529" s="1" t="s">
        <v>58</v>
      </c>
      <c r="P529" t="s">
        <v>35</v>
      </c>
      <c r="Q529" t="str">
        <f>IF(Excel_Advanced_Sales_Dataset_2000__3[[#This Row],[Delivery Status]]="Pending","Follow Up","Ok")</f>
        <v>Ok</v>
      </c>
      <c r="R529" s="1" t="s">
        <v>53</v>
      </c>
      <c r="S529">
        <f>Excel_Advanced_Sales_Dataset_2000__3[[#This Row],[Quantity]]*Excel_Advanced_Sales_Dataset_2000__3[[#This Row],[Unit Price]]*Excel_Advanced_Sales_Dataset_2000__3[[#This Row],[Discount %]]/100</f>
        <v>13651.875216</v>
      </c>
      <c r="T529" s="4">
        <f>Excel_Advanced_Sales_Dataset_2000__3[[#This Row],[Quantity]]*Excel_Advanced_Sales_Dataset_2000__3[[#This Row],[Unit Price]]-Excel_Advanced_Sales_Dataset_2000__3[[#This Row],[Discount Amount]]</f>
        <v>198333.764784</v>
      </c>
    </row>
    <row r="530" spans="1:20" x14ac:dyDescent="0.25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>
        <v>27</v>
      </c>
      <c r="J530" s="4">
        <v>8077.29</v>
      </c>
      <c r="K530" s="6">
        <v>1.67</v>
      </c>
      <c r="L530" s="4">
        <v>214444.78</v>
      </c>
      <c r="M530" s="4" t="str" cm="1">
        <f t="array" ref="M530">IF(Excel_Advanced_Sales_Dataset_2000__3[[#This Row],[Total Sales]]&gt;50000,{"Yes"},{"No"})</f>
        <v>Yes</v>
      </c>
      <c r="N530" s="5">
        <v>46349</v>
      </c>
      <c r="O530" s="1" t="s">
        <v>113</v>
      </c>
      <c r="P530" t="s">
        <v>59</v>
      </c>
      <c r="Q530" t="str">
        <f>IF(Excel_Advanced_Sales_Dataset_2000__3[[#This Row],[Delivery Status]]="Pending","Follow Up","Ok")</f>
        <v>Ok</v>
      </c>
      <c r="R530" s="1" t="s">
        <v>36</v>
      </c>
      <c r="S530">
        <f>Excel_Advanced_Sales_Dataset_2000__3[[#This Row],[Quantity]]*Excel_Advanced_Sales_Dataset_2000__3[[#This Row],[Unit Price]]*Excel_Advanced_Sales_Dataset_2000__3[[#This Row],[Discount %]]/100</f>
        <v>3642.0500609999995</v>
      </c>
      <c r="T530" s="4">
        <f>Excel_Advanced_Sales_Dataset_2000__3[[#This Row],[Quantity]]*Excel_Advanced_Sales_Dataset_2000__3[[#This Row],[Unit Price]]-Excel_Advanced_Sales_Dataset_2000__3[[#This Row],[Discount Amount]]</f>
        <v>214444.779939</v>
      </c>
    </row>
    <row r="531" spans="1:20" x14ac:dyDescent="0.25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>
        <v>44</v>
      </c>
      <c r="J531" s="4">
        <v>7406.57</v>
      </c>
      <c r="K531" s="6">
        <v>14.83</v>
      </c>
      <c r="L531" s="4">
        <v>277559.73</v>
      </c>
      <c r="M531" s="4" t="str" cm="1">
        <f t="array" ref="M531">IF(Excel_Advanced_Sales_Dataset_2000__3[[#This Row],[Total Sales]]&gt;50000,{"Yes"},{"No"})</f>
        <v>Yes</v>
      </c>
      <c r="N531" s="5">
        <v>46301</v>
      </c>
      <c r="O531" s="1" t="s">
        <v>68</v>
      </c>
      <c r="P531" t="s">
        <v>35</v>
      </c>
      <c r="Q531" t="str">
        <f>IF(Excel_Advanced_Sales_Dataset_2000__3[[#This Row],[Delivery Status]]="Pending","Follow Up","Ok")</f>
        <v>Ok</v>
      </c>
      <c r="R531" s="1" t="s">
        <v>26</v>
      </c>
      <c r="S531">
        <f>Excel_Advanced_Sales_Dataset_2000__3[[#This Row],[Quantity]]*Excel_Advanced_Sales_Dataset_2000__3[[#This Row],[Unit Price]]*Excel_Advanced_Sales_Dataset_2000__3[[#This Row],[Discount %]]/100</f>
        <v>48329.350563999993</v>
      </c>
      <c r="T531" s="4">
        <f>Excel_Advanced_Sales_Dataset_2000__3[[#This Row],[Quantity]]*Excel_Advanced_Sales_Dataset_2000__3[[#This Row],[Unit Price]]-Excel_Advanced_Sales_Dataset_2000__3[[#This Row],[Discount Amount]]</f>
        <v>277559.72943599999</v>
      </c>
    </row>
    <row r="532" spans="1:20" x14ac:dyDescent="0.25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>
        <v>13</v>
      </c>
      <c r="J532" s="4">
        <v>45448.480000000003</v>
      </c>
      <c r="K532" s="6">
        <v>13.15</v>
      </c>
      <c r="L532" s="4">
        <v>513136.06</v>
      </c>
      <c r="M532" s="4" t="str" cm="1">
        <f t="array" ref="M532">IF(Excel_Advanced_Sales_Dataset_2000__3[[#This Row],[Total Sales]]&gt;50000,{"Yes"},{"No"})</f>
        <v>Yes</v>
      </c>
      <c r="N532" s="5">
        <v>46106</v>
      </c>
      <c r="O532" s="1" t="s">
        <v>24</v>
      </c>
      <c r="P532" t="s">
        <v>35</v>
      </c>
      <c r="Q532" t="str">
        <f>IF(Excel_Advanced_Sales_Dataset_2000__3[[#This Row],[Delivery Status]]="Pending","Follow Up","Ok")</f>
        <v>Ok</v>
      </c>
      <c r="R532" s="1" t="s">
        <v>26</v>
      </c>
      <c r="S532">
        <f>Excel_Advanced_Sales_Dataset_2000__3[[#This Row],[Quantity]]*Excel_Advanced_Sales_Dataset_2000__3[[#This Row],[Unit Price]]*Excel_Advanced_Sales_Dataset_2000__3[[#This Row],[Discount %]]/100</f>
        <v>77694.176560000007</v>
      </c>
      <c r="T532" s="4">
        <f>Excel_Advanced_Sales_Dataset_2000__3[[#This Row],[Quantity]]*Excel_Advanced_Sales_Dataset_2000__3[[#This Row],[Unit Price]]-Excel_Advanced_Sales_Dataset_2000__3[[#This Row],[Discount Amount]]</f>
        <v>513136.06344</v>
      </c>
    </row>
    <row r="533" spans="1:20" x14ac:dyDescent="0.25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>
        <v>44</v>
      </c>
      <c r="J533" s="4">
        <v>46473.03</v>
      </c>
      <c r="K533" s="6">
        <v>19.649999999999999</v>
      </c>
      <c r="L533" s="4">
        <v>1643007.5</v>
      </c>
      <c r="M533" s="4" t="str" cm="1">
        <f t="array" ref="M533">IF(Excel_Advanced_Sales_Dataset_2000__3[[#This Row],[Total Sales]]&gt;50000,{"Yes"},{"No"})</f>
        <v>Yes</v>
      </c>
      <c r="N533" s="5">
        <v>46384</v>
      </c>
      <c r="O533" s="1" t="s">
        <v>68</v>
      </c>
      <c r="P533" t="s">
        <v>35</v>
      </c>
      <c r="Q533" t="str">
        <f>IF(Excel_Advanced_Sales_Dataset_2000__3[[#This Row],[Delivery Status]]="Pending","Follow Up","Ok")</f>
        <v>Ok</v>
      </c>
      <c r="R533" s="1" t="s">
        <v>36</v>
      </c>
      <c r="S533">
        <f>Excel_Advanced_Sales_Dataset_2000__3[[#This Row],[Quantity]]*Excel_Advanced_Sales_Dataset_2000__3[[#This Row],[Unit Price]]*Excel_Advanced_Sales_Dataset_2000__3[[#This Row],[Discount %]]/100</f>
        <v>401805.81737999991</v>
      </c>
      <c r="T533" s="4">
        <f>Excel_Advanced_Sales_Dataset_2000__3[[#This Row],[Quantity]]*Excel_Advanced_Sales_Dataset_2000__3[[#This Row],[Unit Price]]-Excel_Advanced_Sales_Dataset_2000__3[[#This Row],[Discount Amount]]</f>
        <v>1643007.5026199999</v>
      </c>
    </row>
    <row r="534" spans="1:20" x14ac:dyDescent="0.25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>
        <v>11</v>
      </c>
      <c r="J534" s="4">
        <v>35472.160000000003</v>
      </c>
      <c r="K534" s="6">
        <v>1.36</v>
      </c>
      <c r="L534" s="4">
        <v>384887.12</v>
      </c>
      <c r="M534" s="4" t="str" cm="1">
        <f t="array" ref="M534">IF(Excel_Advanced_Sales_Dataset_2000__3[[#This Row],[Total Sales]]&gt;50000,{"Yes"},{"No"})</f>
        <v>Yes</v>
      </c>
      <c r="N534" s="5">
        <v>46118</v>
      </c>
      <c r="O534" s="1" t="s">
        <v>24</v>
      </c>
      <c r="P534" t="s">
        <v>35</v>
      </c>
      <c r="Q534" t="str">
        <f>IF(Excel_Advanced_Sales_Dataset_2000__3[[#This Row],[Delivery Status]]="Pending","Follow Up","Ok")</f>
        <v>Ok</v>
      </c>
      <c r="R534" s="1" t="s">
        <v>36</v>
      </c>
      <c r="S534">
        <f>Excel_Advanced_Sales_Dataset_2000__3[[#This Row],[Quantity]]*Excel_Advanced_Sales_Dataset_2000__3[[#This Row],[Unit Price]]*Excel_Advanced_Sales_Dataset_2000__3[[#This Row],[Discount %]]/100</f>
        <v>5306.6351360000008</v>
      </c>
      <c r="T534" s="4">
        <f>Excel_Advanced_Sales_Dataset_2000__3[[#This Row],[Quantity]]*Excel_Advanced_Sales_Dataset_2000__3[[#This Row],[Unit Price]]-Excel_Advanced_Sales_Dataset_2000__3[[#This Row],[Discount Amount]]</f>
        <v>384887.12486400001</v>
      </c>
    </row>
    <row r="535" spans="1:20" x14ac:dyDescent="0.25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>
        <v>7</v>
      </c>
      <c r="J535" s="4">
        <v>43831.14</v>
      </c>
      <c r="K535" s="6">
        <v>8.85</v>
      </c>
      <c r="L535" s="4">
        <v>279664.59000000003</v>
      </c>
      <c r="M535" s="4" t="str" cm="1">
        <f t="array" ref="M535">IF(Excel_Advanced_Sales_Dataset_2000__3[[#This Row],[Total Sales]]&gt;50000,{"Yes"},{"No"})</f>
        <v>Yes</v>
      </c>
      <c r="N535" s="5">
        <v>46346</v>
      </c>
      <c r="O535" s="1" t="s">
        <v>45</v>
      </c>
      <c r="P535" t="s">
        <v>35</v>
      </c>
      <c r="Q535" t="str">
        <f>IF(Excel_Advanced_Sales_Dataset_2000__3[[#This Row],[Delivery Status]]="Pending","Follow Up","Ok")</f>
        <v>Ok</v>
      </c>
      <c r="R535" s="1" t="s">
        <v>53</v>
      </c>
      <c r="S535">
        <f>Excel_Advanced_Sales_Dataset_2000__3[[#This Row],[Quantity]]*Excel_Advanced_Sales_Dataset_2000__3[[#This Row],[Unit Price]]*Excel_Advanced_Sales_Dataset_2000__3[[#This Row],[Discount %]]/100</f>
        <v>27153.391229999997</v>
      </c>
      <c r="T535" s="4">
        <f>Excel_Advanced_Sales_Dataset_2000__3[[#This Row],[Quantity]]*Excel_Advanced_Sales_Dataset_2000__3[[#This Row],[Unit Price]]-Excel_Advanced_Sales_Dataset_2000__3[[#This Row],[Discount Amount]]</f>
        <v>279664.58876999997</v>
      </c>
    </row>
    <row r="536" spans="1:20" x14ac:dyDescent="0.25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>
        <v>32</v>
      </c>
      <c r="J536" s="4">
        <v>22113.66</v>
      </c>
      <c r="K536" s="6">
        <v>11.48</v>
      </c>
      <c r="L536" s="4">
        <v>626400.38</v>
      </c>
      <c r="M536" s="4" t="str" cm="1">
        <f t="array" ref="M536">IF(Excel_Advanced_Sales_Dataset_2000__3[[#This Row],[Total Sales]]&gt;50000,{"Yes"},{"No"})</f>
        <v>Yes</v>
      </c>
      <c r="N536" s="5">
        <v>46296</v>
      </c>
      <c r="O536" s="1" t="s">
        <v>113</v>
      </c>
      <c r="P536" t="s">
        <v>35</v>
      </c>
      <c r="Q536" t="str">
        <f>IF(Excel_Advanced_Sales_Dataset_2000__3[[#This Row],[Delivery Status]]="Pending","Follow Up","Ok")</f>
        <v>Ok</v>
      </c>
      <c r="R536" s="1" t="s">
        <v>26</v>
      </c>
      <c r="S536">
        <f>Excel_Advanced_Sales_Dataset_2000__3[[#This Row],[Quantity]]*Excel_Advanced_Sales_Dataset_2000__3[[#This Row],[Unit Price]]*Excel_Advanced_Sales_Dataset_2000__3[[#This Row],[Discount %]]/100</f>
        <v>81236.741376000005</v>
      </c>
      <c r="T536" s="4">
        <f>Excel_Advanced_Sales_Dataset_2000__3[[#This Row],[Quantity]]*Excel_Advanced_Sales_Dataset_2000__3[[#This Row],[Unit Price]]-Excel_Advanced_Sales_Dataset_2000__3[[#This Row],[Discount Amount]]</f>
        <v>626400.378624</v>
      </c>
    </row>
    <row r="537" spans="1:20" x14ac:dyDescent="0.25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>
        <v>43</v>
      </c>
      <c r="J537" s="4">
        <v>9832.7800000000007</v>
      </c>
      <c r="K537" s="6">
        <v>12.53</v>
      </c>
      <c r="L537" s="4">
        <v>369831.5</v>
      </c>
      <c r="M537" s="4" t="str" cm="1">
        <f t="array" ref="M537">IF(Excel_Advanced_Sales_Dataset_2000__3[[#This Row],[Total Sales]]&gt;50000,{"Yes"},{"No"})</f>
        <v>Yes</v>
      </c>
      <c r="N537" s="5">
        <v>46038</v>
      </c>
      <c r="O537" s="1" t="s">
        <v>113</v>
      </c>
      <c r="P537" t="s">
        <v>35</v>
      </c>
      <c r="Q537" t="str">
        <f>IF(Excel_Advanced_Sales_Dataset_2000__3[[#This Row],[Delivery Status]]="Pending","Follow Up","Ok")</f>
        <v>Ok</v>
      </c>
      <c r="R537" s="1" t="s">
        <v>36</v>
      </c>
      <c r="S537">
        <f>Excel_Advanced_Sales_Dataset_2000__3[[#This Row],[Quantity]]*Excel_Advanced_Sales_Dataset_2000__3[[#This Row],[Unit Price]]*Excel_Advanced_Sales_Dataset_2000__3[[#This Row],[Discount %]]/100</f>
        <v>52978.035362000002</v>
      </c>
      <c r="T537" s="4">
        <f>Excel_Advanced_Sales_Dataset_2000__3[[#This Row],[Quantity]]*Excel_Advanced_Sales_Dataset_2000__3[[#This Row],[Unit Price]]-Excel_Advanced_Sales_Dataset_2000__3[[#This Row],[Discount Amount]]</f>
        <v>369831.50463800004</v>
      </c>
    </row>
    <row r="538" spans="1:20" x14ac:dyDescent="0.25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>
        <v>39</v>
      </c>
      <c r="J538" s="4">
        <v>5754.57</v>
      </c>
      <c r="K538" s="6">
        <v>7.98</v>
      </c>
      <c r="L538" s="4">
        <v>206518.86</v>
      </c>
      <c r="M538" s="4" t="str" cm="1">
        <f t="array" ref="M538">IF(Excel_Advanced_Sales_Dataset_2000__3[[#This Row],[Total Sales]]&gt;50000,{"Yes"},{"No"})</f>
        <v>Yes</v>
      </c>
      <c r="N538" s="5">
        <v>46385</v>
      </c>
      <c r="O538" s="1" t="s">
        <v>24</v>
      </c>
      <c r="P538" t="s">
        <v>35</v>
      </c>
      <c r="Q538" t="str">
        <f>IF(Excel_Advanced_Sales_Dataset_2000__3[[#This Row],[Delivery Status]]="Pending","Follow Up","Ok")</f>
        <v>Ok</v>
      </c>
      <c r="R538" s="1" t="s">
        <v>26</v>
      </c>
      <c r="S538">
        <f>Excel_Advanced_Sales_Dataset_2000__3[[#This Row],[Quantity]]*Excel_Advanced_Sales_Dataset_2000__3[[#This Row],[Unit Price]]*Excel_Advanced_Sales_Dataset_2000__3[[#This Row],[Discount %]]/100</f>
        <v>17909.372754</v>
      </c>
      <c r="T538" s="4">
        <f>Excel_Advanced_Sales_Dataset_2000__3[[#This Row],[Quantity]]*Excel_Advanced_Sales_Dataset_2000__3[[#This Row],[Unit Price]]-Excel_Advanced_Sales_Dataset_2000__3[[#This Row],[Discount Amount]]</f>
        <v>206518.85724599997</v>
      </c>
    </row>
    <row r="539" spans="1:20" x14ac:dyDescent="0.25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>
        <v>46</v>
      </c>
      <c r="J539" s="4">
        <v>25480.86</v>
      </c>
      <c r="K539" s="6">
        <v>3.6</v>
      </c>
      <c r="L539" s="4">
        <v>1129923.26</v>
      </c>
      <c r="M539" s="4" t="str" cm="1">
        <f t="array" ref="M539">IF(Excel_Advanced_Sales_Dataset_2000__3[[#This Row],[Total Sales]]&gt;50000,{"Yes"},{"No"})</f>
        <v>Yes</v>
      </c>
      <c r="N539" s="5">
        <v>46063</v>
      </c>
      <c r="O539" s="1" t="s">
        <v>68</v>
      </c>
      <c r="P539" t="s">
        <v>35</v>
      </c>
      <c r="Q539" t="str">
        <f>IF(Excel_Advanced_Sales_Dataset_2000__3[[#This Row],[Delivery Status]]="Pending","Follow Up","Ok")</f>
        <v>Ok</v>
      </c>
      <c r="R539" s="1" t="s">
        <v>26</v>
      </c>
      <c r="S539">
        <f>Excel_Advanced_Sales_Dataset_2000__3[[#This Row],[Quantity]]*Excel_Advanced_Sales_Dataset_2000__3[[#This Row],[Unit Price]]*Excel_Advanced_Sales_Dataset_2000__3[[#This Row],[Discount %]]/100</f>
        <v>42196.30416</v>
      </c>
      <c r="T539" s="4">
        <f>Excel_Advanced_Sales_Dataset_2000__3[[#This Row],[Quantity]]*Excel_Advanced_Sales_Dataset_2000__3[[#This Row],[Unit Price]]-Excel_Advanced_Sales_Dataset_2000__3[[#This Row],[Discount Amount]]</f>
        <v>1129923.25584</v>
      </c>
    </row>
    <row r="540" spans="1:20" x14ac:dyDescent="0.25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>
        <v>30</v>
      </c>
      <c r="J540" s="4">
        <v>45307.7</v>
      </c>
      <c r="K540" s="6">
        <v>4.01</v>
      </c>
      <c r="L540" s="4">
        <v>1304725.8400000001</v>
      </c>
      <c r="M540" s="4" t="str" cm="1">
        <f t="array" ref="M540">IF(Excel_Advanced_Sales_Dataset_2000__3[[#This Row],[Total Sales]]&gt;50000,{"Yes"},{"No"})</f>
        <v>Yes</v>
      </c>
      <c r="N540" s="5">
        <v>46125</v>
      </c>
      <c r="O540" s="1" t="s">
        <v>58</v>
      </c>
      <c r="P540" t="s">
        <v>35</v>
      </c>
      <c r="Q540" t="str">
        <f>IF(Excel_Advanced_Sales_Dataset_2000__3[[#This Row],[Delivery Status]]="Pending","Follow Up","Ok")</f>
        <v>Ok</v>
      </c>
      <c r="R540" s="1" t="s">
        <v>26</v>
      </c>
      <c r="S540">
        <f>Excel_Advanced_Sales_Dataset_2000__3[[#This Row],[Quantity]]*Excel_Advanced_Sales_Dataset_2000__3[[#This Row],[Unit Price]]*Excel_Advanced_Sales_Dataset_2000__3[[#This Row],[Discount %]]/100</f>
        <v>54505.163099999998</v>
      </c>
      <c r="T540" s="4">
        <f>Excel_Advanced_Sales_Dataset_2000__3[[#This Row],[Quantity]]*Excel_Advanced_Sales_Dataset_2000__3[[#This Row],[Unit Price]]-Excel_Advanced_Sales_Dataset_2000__3[[#This Row],[Discount Amount]]</f>
        <v>1304725.8369</v>
      </c>
    </row>
    <row r="541" spans="1:20" x14ac:dyDescent="0.25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>
        <v>10</v>
      </c>
      <c r="J541" s="4">
        <v>10130.52</v>
      </c>
      <c r="K541" s="6">
        <v>3.9</v>
      </c>
      <c r="L541" s="4">
        <v>97354.3</v>
      </c>
      <c r="M541" s="4" t="str" cm="1">
        <f t="array" ref="M541">IF(Excel_Advanced_Sales_Dataset_2000__3[[#This Row],[Total Sales]]&gt;50000,{"Yes"},{"No"})</f>
        <v>Yes</v>
      </c>
      <c r="N541" s="5">
        <v>46183</v>
      </c>
      <c r="O541" s="1" t="s">
        <v>24</v>
      </c>
      <c r="P541" t="s">
        <v>35</v>
      </c>
      <c r="Q541" t="str">
        <f>IF(Excel_Advanced_Sales_Dataset_2000__3[[#This Row],[Delivery Status]]="Pending","Follow Up","Ok")</f>
        <v>Ok</v>
      </c>
      <c r="R541" s="1" t="s">
        <v>53</v>
      </c>
      <c r="S541">
        <f>Excel_Advanced_Sales_Dataset_2000__3[[#This Row],[Quantity]]*Excel_Advanced_Sales_Dataset_2000__3[[#This Row],[Unit Price]]*Excel_Advanced_Sales_Dataset_2000__3[[#This Row],[Discount %]]/100</f>
        <v>3950.9028000000003</v>
      </c>
      <c r="T541" s="4">
        <f>Excel_Advanced_Sales_Dataset_2000__3[[#This Row],[Quantity]]*Excel_Advanced_Sales_Dataset_2000__3[[#This Row],[Unit Price]]-Excel_Advanced_Sales_Dataset_2000__3[[#This Row],[Discount Amount]]</f>
        <v>97354.297200000015</v>
      </c>
    </row>
    <row r="542" spans="1:20" x14ac:dyDescent="0.25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>
        <v>9</v>
      </c>
      <c r="J542" s="4">
        <v>26358.52</v>
      </c>
      <c r="K542" s="6">
        <v>13.93</v>
      </c>
      <c r="L542" s="4">
        <v>204181</v>
      </c>
      <c r="M542" s="4" t="str" cm="1">
        <f t="array" ref="M542">IF(Excel_Advanced_Sales_Dataset_2000__3[[#This Row],[Total Sales]]&gt;50000,{"Yes"},{"No"})</f>
        <v>Yes</v>
      </c>
      <c r="N542" s="5">
        <v>46197</v>
      </c>
      <c r="O542" s="1" t="s">
        <v>58</v>
      </c>
      <c r="P542" t="s">
        <v>35</v>
      </c>
      <c r="Q542" t="str">
        <f>IF(Excel_Advanced_Sales_Dataset_2000__3[[#This Row],[Delivery Status]]="Pending","Follow Up","Ok")</f>
        <v>Ok</v>
      </c>
      <c r="R542" s="1" t="s">
        <v>26</v>
      </c>
      <c r="S542">
        <f>Excel_Advanced_Sales_Dataset_2000__3[[#This Row],[Quantity]]*Excel_Advanced_Sales_Dataset_2000__3[[#This Row],[Unit Price]]*Excel_Advanced_Sales_Dataset_2000__3[[#This Row],[Discount %]]/100</f>
        <v>33045.676524000002</v>
      </c>
      <c r="T542" s="4">
        <f>Excel_Advanced_Sales_Dataset_2000__3[[#This Row],[Quantity]]*Excel_Advanced_Sales_Dataset_2000__3[[#This Row],[Unit Price]]-Excel_Advanced_Sales_Dataset_2000__3[[#This Row],[Discount Amount]]</f>
        <v>204181.00347599998</v>
      </c>
    </row>
    <row r="543" spans="1:20" x14ac:dyDescent="0.25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>
        <v>2</v>
      </c>
      <c r="J543" s="4">
        <v>21157.18</v>
      </c>
      <c r="K543" s="6">
        <v>6.62</v>
      </c>
      <c r="L543" s="4">
        <v>39513.15</v>
      </c>
      <c r="M543" s="4" t="str" cm="1">
        <f t="array" ref="M543">IF(Excel_Advanced_Sales_Dataset_2000__3[[#This Row],[Total Sales]]&gt;50000,{"Yes"},{"No"})</f>
        <v>No</v>
      </c>
      <c r="N543" s="5">
        <v>46100</v>
      </c>
      <c r="O543" s="1" t="s">
        <v>45</v>
      </c>
      <c r="P543" t="s">
        <v>35</v>
      </c>
      <c r="Q543" t="str">
        <f>IF(Excel_Advanced_Sales_Dataset_2000__3[[#This Row],[Delivery Status]]="Pending","Follow Up","Ok")</f>
        <v>Ok</v>
      </c>
      <c r="R543" s="1" t="s">
        <v>26</v>
      </c>
      <c r="S543">
        <f>Excel_Advanced_Sales_Dataset_2000__3[[#This Row],[Quantity]]*Excel_Advanced_Sales_Dataset_2000__3[[#This Row],[Unit Price]]*Excel_Advanced_Sales_Dataset_2000__3[[#This Row],[Discount %]]/100</f>
        <v>2801.2106320000003</v>
      </c>
      <c r="T543" s="4">
        <f>Excel_Advanced_Sales_Dataset_2000__3[[#This Row],[Quantity]]*Excel_Advanced_Sales_Dataset_2000__3[[#This Row],[Unit Price]]-Excel_Advanced_Sales_Dataset_2000__3[[#This Row],[Discount Amount]]</f>
        <v>39513.149367999999</v>
      </c>
    </row>
    <row r="544" spans="1:20" x14ac:dyDescent="0.25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>
        <v>34</v>
      </c>
      <c r="J544" s="4">
        <v>10274.84</v>
      </c>
      <c r="K544" s="6">
        <v>10.51</v>
      </c>
      <c r="L544" s="4">
        <v>312628.45</v>
      </c>
      <c r="M544" s="4" t="str" cm="1">
        <f t="array" ref="M544">IF(Excel_Advanced_Sales_Dataset_2000__3[[#This Row],[Total Sales]]&gt;50000,{"Yes"},{"No"})</f>
        <v>Yes</v>
      </c>
      <c r="N544" s="5">
        <v>46364</v>
      </c>
      <c r="O544" s="1" t="s">
        <v>113</v>
      </c>
      <c r="P544" t="s">
        <v>35</v>
      </c>
      <c r="Q544" t="str">
        <f>IF(Excel_Advanced_Sales_Dataset_2000__3[[#This Row],[Delivery Status]]="Pending","Follow Up","Ok")</f>
        <v>Ok</v>
      </c>
      <c r="R544" s="1" t="s">
        <v>53</v>
      </c>
      <c r="S544">
        <f>Excel_Advanced_Sales_Dataset_2000__3[[#This Row],[Quantity]]*Excel_Advanced_Sales_Dataset_2000__3[[#This Row],[Unit Price]]*Excel_Advanced_Sales_Dataset_2000__3[[#This Row],[Discount %]]/100</f>
        <v>36716.113256000004</v>
      </c>
      <c r="T544" s="4">
        <f>Excel_Advanced_Sales_Dataset_2000__3[[#This Row],[Quantity]]*Excel_Advanced_Sales_Dataset_2000__3[[#This Row],[Unit Price]]-Excel_Advanced_Sales_Dataset_2000__3[[#This Row],[Discount Amount]]</f>
        <v>312628.44674400002</v>
      </c>
    </row>
    <row r="545" spans="1:20" x14ac:dyDescent="0.25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>
        <v>21</v>
      </c>
      <c r="J545" s="4">
        <v>15072.18</v>
      </c>
      <c r="K545" s="6">
        <v>5.0999999999999996</v>
      </c>
      <c r="L545" s="4">
        <v>300373.48</v>
      </c>
      <c r="M545" s="4" t="str" cm="1">
        <f t="array" ref="M545">IF(Excel_Advanced_Sales_Dataset_2000__3[[#This Row],[Total Sales]]&gt;50000,{"Yes"},{"No"})</f>
        <v>Yes</v>
      </c>
      <c r="N545" s="5">
        <v>46036</v>
      </c>
      <c r="O545" s="1" t="s">
        <v>58</v>
      </c>
      <c r="P545" t="s">
        <v>25</v>
      </c>
      <c r="Q545" t="str">
        <f>IF(Excel_Advanced_Sales_Dataset_2000__3[[#This Row],[Delivery Status]]="Pending","Follow Up","Ok")</f>
        <v>Follow Up</v>
      </c>
      <c r="R545" s="1" t="s">
        <v>26</v>
      </c>
      <c r="S545">
        <f>Excel_Advanced_Sales_Dataset_2000__3[[#This Row],[Quantity]]*Excel_Advanced_Sales_Dataset_2000__3[[#This Row],[Unit Price]]*Excel_Advanced_Sales_Dataset_2000__3[[#This Row],[Discount %]]/100</f>
        <v>16142.30478</v>
      </c>
      <c r="T545" s="4">
        <f>Excel_Advanced_Sales_Dataset_2000__3[[#This Row],[Quantity]]*Excel_Advanced_Sales_Dataset_2000__3[[#This Row],[Unit Price]]-Excel_Advanced_Sales_Dataset_2000__3[[#This Row],[Discount Amount]]</f>
        <v>300373.47522000002</v>
      </c>
    </row>
    <row r="546" spans="1:20" x14ac:dyDescent="0.25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>
        <v>23</v>
      </c>
      <c r="J546" s="4">
        <v>1471.59</v>
      </c>
      <c r="K546" s="6">
        <v>17.27</v>
      </c>
      <c r="L546" s="4">
        <v>28001.27</v>
      </c>
      <c r="M546" s="4" t="str" cm="1">
        <f t="array" ref="M546">IF(Excel_Advanced_Sales_Dataset_2000__3[[#This Row],[Total Sales]]&gt;50000,{"Yes"},{"No"})</f>
        <v>No</v>
      </c>
      <c r="N546" s="5">
        <v>46203</v>
      </c>
      <c r="O546" s="1" t="s">
        <v>58</v>
      </c>
      <c r="P546" t="s">
        <v>35</v>
      </c>
      <c r="Q546" t="str">
        <f>IF(Excel_Advanced_Sales_Dataset_2000__3[[#This Row],[Delivery Status]]="Pending","Follow Up","Ok")</f>
        <v>Ok</v>
      </c>
      <c r="R546" s="1" t="s">
        <v>53</v>
      </c>
      <c r="S546">
        <f>Excel_Advanced_Sales_Dataset_2000__3[[#This Row],[Quantity]]*Excel_Advanced_Sales_Dataset_2000__3[[#This Row],[Unit Price]]*Excel_Advanced_Sales_Dataset_2000__3[[#This Row],[Discount %]]/100</f>
        <v>5845.3026390000005</v>
      </c>
      <c r="T546" s="4">
        <f>Excel_Advanced_Sales_Dataset_2000__3[[#This Row],[Quantity]]*Excel_Advanced_Sales_Dataset_2000__3[[#This Row],[Unit Price]]-Excel_Advanced_Sales_Dataset_2000__3[[#This Row],[Discount Amount]]</f>
        <v>28001.267360999998</v>
      </c>
    </row>
    <row r="547" spans="1:20" x14ac:dyDescent="0.25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>
        <v>10</v>
      </c>
      <c r="J547" s="4">
        <v>22463</v>
      </c>
      <c r="K547" s="6">
        <v>3.7</v>
      </c>
      <c r="L547" s="4">
        <v>216318.69</v>
      </c>
      <c r="M547" s="4" t="str" cm="1">
        <f t="array" ref="M547">IF(Excel_Advanced_Sales_Dataset_2000__3[[#This Row],[Total Sales]]&gt;50000,{"Yes"},{"No"})</f>
        <v>Yes</v>
      </c>
      <c r="N547" s="5">
        <v>46060</v>
      </c>
      <c r="O547" s="1" t="s">
        <v>45</v>
      </c>
      <c r="P547" t="s">
        <v>35</v>
      </c>
      <c r="Q547" t="str">
        <f>IF(Excel_Advanced_Sales_Dataset_2000__3[[#This Row],[Delivery Status]]="Pending","Follow Up","Ok")</f>
        <v>Ok</v>
      </c>
      <c r="R547" s="1" t="s">
        <v>36</v>
      </c>
      <c r="S547">
        <f>Excel_Advanced_Sales_Dataset_2000__3[[#This Row],[Quantity]]*Excel_Advanced_Sales_Dataset_2000__3[[#This Row],[Unit Price]]*Excel_Advanced_Sales_Dataset_2000__3[[#This Row],[Discount %]]/100</f>
        <v>8311.31</v>
      </c>
      <c r="T547" s="4">
        <f>Excel_Advanced_Sales_Dataset_2000__3[[#This Row],[Quantity]]*Excel_Advanced_Sales_Dataset_2000__3[[#This Row],[Unit Price]]-Excel_Advanced_Sales_Dataset_2000__3[[#This Row],[Discount Amount]]</f>
        <v>216318.69</v>
      </c>
    </row>
    <row r="548" spans="1:20" x14ac:dyDescent="0.25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>
        <v>49</v>
      </c>
      <c r="J548" s="4">
        <v>40129.35</v>
      </c>
      <c r="K548" s="6">
        <v>5.93</v>
      </c>
      <c r="L548" s="4">
        <v>1849734.3</v>
      </c>
      <c r="M548" s="4" t="str" cm="1">
        <f t="array" ref="M548">IF(Excel_Advanced_Sales_Dataset_2000__3[[#This Row],[Total Sales]]&gt;50000,{"Yes"},{"No"})</f>
        <v>Yes</v>
      </c>
      <c r="N548" s="5">
        <v>46293</v>
      </c>
      <c r="O548" s="1" t="s">
        <v>113</v>
      </c>
      <c r="P548" t="s">
        <v>35</v>
      </c>
      <c r="Q548" t="str">
        <f>IF(Excel_Advanced_Sales_Dataset_2000__3[[#This Row],[Delivery Status]]="Pending","Follow Up","Ok")</f>
        <v>Ok</v>
      </c>
      <c r="R548" s="1" t="s">
        <v>36</v>
      </c>
      <c r="S548">
        <f>Excel_Advanced_Sales_Dataset_2000__3[[#This Row],[Quantity]]*Excel_Advanced_Sales_Dataset_2000__3[[#This Row],[Unit Price]]*Excel_Advanced_Sales_Dataset_2000__3[[#This Row],[Discount %]]/100</f>
        <v>116603.85229499999</v>
      </c>
      <c r="T548" s="4">
        <f>Excel_Advanced_Sales_Dataset_2000__3[[#This Row],[Quantity]]*Excel_Advanced_Sales_Dataset_2000__3[[#This Row],[Unit Price]]-Excel_Advanced_Sales_Dataset_2000__3[[#This Row],[Discount Amount]]</f>
        <v>1849734.2977049998</v>
      </c>
    </row>
    <row r="549" spans="1:20" x14ac:dyDescent="0.25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>
        <v>24</v>
      </c>
      <c r="J549" s="4">
        <v>8581.64</v>
      </c>
      <c r="K549" s="6">
        <v>9.7799999999999994</v>
      </c>
      <c r="L549" s="4">
        <v>185816.53</v>
      </c>
      <c r="M549" s="4" t="str" cm="1">
        <f t="array" ref="M549">IF(Excel_Advanced_Sales_Dataset_2000__3[[#This Row],[Total Sales]]&gt;50000,{"Yes"},{"No"})</f>
        <v>Yes</v>
      </c>
      <c r="N549" s="5">
        <v>46234</v>
      </c>
      <c r="O549" s="1" t="s">
        <v>68</v>
      </c>
      <c r="P549" t="s">
        <v>35</v>
      </c>
      <c r="Q549" t="str">
        <f>IF(Excel_Advanced_Sales_Dataset_2000__3[[#This Row],[Delivery Status]]="Pending","Follow Up","Ok")</f>
        <v>Ok</v>
      </c>
      <c r="R549" s="1" t="s">
        <v>53</v>
      </c>
      <c r="S549">
        <f>Excel_Advanced_Sales_Dataset_2000__3[[#This Row],[Quantity]]*Excel_Advanced_Sales_Dataset_2000__3[[#This Row],[Unit Price]]*Excel_Advanced_Sales_Dataset_2000__3[[#This Row],[Discount %]]/100</f>
        <v>20142.825407999997</v>
      </c>
      <c r="T549" s="4">
        <f>Excel_Advanced_Sales_Dataset_2000__3[[#This Row],[Quantity]]*Excel_Advanced_Sales_Dataset_2000__3[[#This Row],[Unit Price]]-Excel_Advanced_Sales_Dataset_2000__3[[#This Row],[Discount Amount]]</f>
        <v>185816.53459199998</v>
      </c>
    </row>
    <row r="550" spans="1:20" x14ac:dyDescent="0.25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>
        <v>14</v>
      </c>
      <c r="J550" s="4">
        <v>3775.37</v>
      </c>
      <c r="K550" s="6">
        <v>14.26</v>
      </c>
      <c r="L550" s="4">
        <v>45318.03</v>
      </c>
      <c r="M550" s="4" t="str" cm="1">
        <f t="array" ref="M550">IF(Excel_Advanced_Sales_Dataset_2000__3[[#This Row],[Total Sales]]&gt;50000,{"Yes"},{"No"})</f>
        <v>No</v>
      </c>
      <c r="N550" s="5">
        <v>46243</v>
      </c>
      <c r="O550" s="1" t="s">
        <v>58</v>
      </c>
      <c r="P550" t="s">
        <v>25</v>
      </c>
      <c r="Q550" t="str">
        <f>IF(Excel_Advanced_Sales_Dataset_2000__3[[#This Row],[Delivery Status]]="Pending","Follow Up","Ok")</f>
        <v>Follow Up</v>
      </c>
      <c r="R550" s="1" t="s">
        <v>36</v>
      </c>
      <c r="S550">
        <f>Excel_Advanced_Sales_Dataset_2000__3[[#This Row],[Quantity]]*Excel_Advanced_Sales_Dataset_2000__3[[#This Row],[Unit Price]]*Excel_Advanced_Sales_Dataset_2000__3[[#This Row],[Discount %]]/100</f>
        <v>7537.1486679999998</v>
      </c>
      <c r="T550" s="4">
        <f>Excel_Advanced_Sales_Dataset_2000__3[[#This Row],[Quantity]]*Excel_Advanced_Sales_Dataset_2000__3[[#This Row],[Unit Price]]-Excel_Advanced_Sales_Dataset_2000__3[[#This Row],[Discount Amount]]</f>
        <v>45318.031331999999</v>
      </c>
    </row>
    <row r="551" spans="1:20" x14ac:dyDescent="0.25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>
        <v>47</v>
      </c>
      <c r="J551" s="4">
        <v>26801.78</v>
      </c>
      <c r="K551" s="6">
        <v>12.7</v>
      </c>
      <c r="L551" s="4">
        <v>1099703.8400000001</v>
      </c>
      <c r="M551" s="4" t="str" cm="1">
        <f t="array" ref="M551">IF(Excel_Advanced_Sales_Dataset_2000__3[[#This Row],[Total Sales]]&gt;50000,{"Yes"},{"No"})</f>
        <v>Yes</v>
      </c>
      <c r="N551" s="5">
        <v>46230</v>
      </c>
      <c r="O551" s="1" t="s">
        <v>68</v>
      </c>
      <c r="P551" t="s">
        <v>35</v>
      </c>
      <c r="Q551" t="str">
        <f>IF(Excel_Advanced_Sales_Dataset_2000__3[[#This Row],[Delivery Status]]="Pending","Follow Up","Ok")</f>
        <v>Ok</v>
      </c>
      <c r="R551" s="1" t="s">
        <v>53</v>
      </c>
      <c r="S551">
        <f>Excel_Advanced_Sales_Dataset_2000__3[[#This Row],[Quantity]]*Excel_Advanced_Sales_Dataset_2000__3[[#This Row],[Unit Price]]*Excel_Advanced_Sales_Dataset_2000__3[[#This Row],[Discount %]]/100</f>
        <v>159979.82481999998</v>
      </c>
      <c r="T551" s="4">
        <f>Excel_Advanced_Sales_Dataset_2000__3[[#This Row],[Quantity]]*Excel_Advanced_Sales_Dataset_2000__3[[#This Row],[Unit Price]]-Excel_Advanced_Sales_Dataset_2000__3[[#This Row],[Discount Amount]]</f>
        <v>1099703.8351799999</v>
      </c>
    </row>
    <row r="552" spans="1:20" x14ac:dyDescent="0.25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>
        <v>27</v>
      </c>
      <c r="J552" s="4">
        <v>849.13</v>
      </c>
      <c r="K552" s="6">
        <v>12.33</v>
      </c>
      <c r="L552" s="4">
        <v>20099.669999999998</v>
      </c>
      <c r="M552" s="4" t="str" cm="1">
        <f t="array" ref="M552">IF(Excel_Advanced_Sales_Dataset_2000__3[[#This Row],[Total Sales]]&gt;50000,{"Yes"},{"No"})</f>
        <v>No</v>
      </c>
      <c r="N552" s="5">
        <v>46106</v>
      </c>
      <c r="O552" s="1" t="s">
        <v>58</v>
      </c>
      <c r="P552" t="s">
        <v>35</v>
      </c>
      <c r="Q552" t="str">
        <f>IF(Excel_Advanced_Sales_Dataset_2000__3[[#This Row],[Delivery Status]]="Pending","Follow Up","Ok")</f>
        <v>Ok</v>
      </c>
      <c r="R552" s="1" t="s">
        <v>53</v>
      </c>
      <c r="S552">
        <f>Excel_Advanced_Sales_Dataset_2000__3[[#This Row],[Quantity]]*Excel_Advanced_Sales_Dataset_2000__3[[#This Row],[Unit Price]]*Excel_Advanced_Sales_Dataset_2000__3[[#This Row],[Discount %]]/100</f>
        <v>2826.8386829999999</v>
      </c>
      <c r="T552" s="4">
        <f>Excel_Advanced_Sales_Dataset_2000__3[[#This Row],[Quantity]]*Excel_Advanced_Sales_Dataset_2000__3[[#This Row],[Unit Price]]-Excel_Advanced_Sales_Dataset_2000__3[[#This Row],[Discount Amount]]</f>
        <v>20099.671317</v>
      </c>
    </row>
    <row r="553" spans="1:20" x14ac:dyDescent="0.25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>
        <v>46</v>
      </c>
      <c r="J553" s="4">
        <v>48390.58</v>
      </c>
      <c r="K553" s="6">
        <v>17.059999999999999</v>
      </c>
      <c r="L553" s="4">
        <v>1846216.76</v>
      </c>
      <c r="M553" s="4" t="str" cm="1">
        <f t="array" ref="M553">IF(Excel_Advanced_Sales_Dataset_2000__3[[#This Row],[Total Sales]]&gt;50000,{"Yes"},{"No"})</f>
        <v>Yes</v>
      </c>
      <c r="N553" s="5">
        <v>46099</v>
      </c>
      <c r="O553" s="1" t="s">
        <v>58</v>
      </c>
      <c r="P553" t="s">
        <v>35</v>
      </c>
      <c r="Q553" t="str">
        <f>IF(Excel_Advanced_Sales_Dataset_2000__3[[#This Row],[Delivery Status]]="Pending","Follow Up","Ok")</f>
        <v>Ok</v>
      </c>
      <c r="R553" s="1" t="s">
        <v>26</v>
      </c>
      <c r="S553">
        <f>Excel_Advanced_Sales_Dataset_2000__3[[#This Row],[Quantity]]*Excel_Advanced_Sales_Dataset_2000__3[[#This Row],[Unit Price]]*Excel_Advanced_Sales_Dataset_2000__3[[#This Row],[Discount %]]/100</f>
        <v>379749.91560800001</v>
      </c>
      <c r="T553" s="4">
        <f>Excel_Advanced_Sales_Dataset_2000__3[[#This Row],[Quantity]]*Excel_Advanced_Sales_Dataset_2000__3[[#This Row],[Unit Price]]-Excel_Advanced_Sales_Dataset_2000__3[[#This Row],[Discount Amount]]</f>
        <v>1846216.7643920002</v>
      </c>
    </row>
    <row r="554" spans="1:20" x14ac:dyDescent="0.25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>
        <v>15</v>
      </c>
      <c r="J554" s="4">
        <v>17050.77</v>
      </c>
      <c r="K554" s="6">
        <v>7.98</v>
      </c>
      <c r="L554" s="4">
        <v>235351.78</v>
      </c>
      <c r="M554" s="4" t="str" cm="1">
        <f t="array" ref="M554">IF(Excel_Advanced_Sales_Dataset_2000__3[[#This Row],[Total Sales]]&gt;50000,{"Yes"},{"No"})</f>
        <v>Yes</v>
      </c>
      <c r="N554" s="5">
        <v>46308</v>
      </c>
      <c r="O554" s="1" t="s">
        <v>58</v>
      </c>
      <c r="P554" t="s">
        <v>35</v>
      </c>
      <c r="Q554" t="str">
        <f>IF(Excel_Advanced_Sales_Dataset_2000__3[[#This Row],[Delivery Status]]="Pending","Follow Up","Ok")</f>
        <v>Ok</v>
      </c>
      <c r="R554" s="1" t="s">
        <v>26</v>
      </c>
      <c r="S554">
        <f>Excel_Advanced_Sales_Dataset_2000__3[[#This Row],[Quantity]]*Excel_Advanced_Sales_Dataset_2000__3[[#This Row],[Unit Price]]*Excel_Advanced_Sales_Dataset_2000__3[[#This Row],[Discount %]]/100</f>
        <v>20409.771690000001</v>
      </c>
      <c r="T554" s="4">
        <f>Excel_Advanced_Sales_Dataset_2000__3[[#This Row],[Quantity]]*Excel_Advanced_Sales_Dataset_2000__3[[#This Row],[Unit Price]]-Excel_Advanced_Sales_Dataset_2000__3[[#This Row],[Discount Amount]]</f>
        <v>235351.77831000002</v>
      </c>
    </row>
    <row r="555" spans="1:20" x14ac:dyDescent="0.25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>
        <v>28</v>
      </c>
      <c r="J555" s="4">
        <v>46733.69</v>
      </c>
      <c r="K555" s="6">
        <v>17.78</v>
      </c>
      <c r="L555" s="4">
        <v>1075884.32</v>
      </c>
      <c r="M555" s="4" t="str" cm="1">
        <f t="array" ref="M555">IF(Excel_Advanced_Sales_Dataset_2000__3[[#This Row],[Total Sales]]&gt;50000,{"Yes"},{"No"})</f>
        <v>Yes</v>
      </c>
      <c r="N555" s="5">
        <v>46277</v>
      </c>
      <c r="O555" s="1" t="s">
        <v>58</v>
      </c>
      <c r="P555" t="s">
        <v>35</v>
      </c>
      <c r="Q555" t="str">
        <f>IF(Excel_Advanced_Sales_Dataset_2000__3[[#This Row],[Delivery Status]]="Pending","Follow Up","Ok")</f>
        <v>Ok</v>
      </c>
      <c r="R555" s="1" t="s">
        <v>26</v>
      </c>
      <c r="S555">
        <f>Excel_Advanced_Sales_Dataset_2000__3[[#This Row],[Quantity]]*Excel_Advanced_Sales_Dataset_2000__3[[#This Row],[Unit Price]]*Excel_Advanced_Sales_Dataset_2000__3[[#This Row],[Discount %]]/100</f>
        <v>232659.00229600002</v>
      </c>
      <c r="T555" s="4">
        <f>Excel_Advanced_Sales_Dataset_2000__3[[#This Row],[Quantity]]*Excel_Advanced_Sales_Dataset_2000__3[[#This Row],[Unit Price]]-Excel_Advanced_Sales_Dataset_2000__3[[#This Row],[Discount Amount]]</f>
        <v>1075884.317704</v>
      </c>
    </row>
    <row r="556" spans="1:20" x14ac:dyDescent="0.25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>
        <v>28</v>
      </c>
      <c r="J556" s="4">
        <v>22102.28</v>
      </c>
      <c r="K556" s="6">
        <v>17.260000000000002</v>
      </c>
      <c r="L556" s="4">
        <v>512047.94</v>
      </c>
      <c r="M556" s="4" t="str" cm="1">
        <f t="array" ref="M556">IF(Excel_Advanced_Sales_Dataset_2000__3[[#This Row],[Total Sales]]&gt;50000,{"Yes"},{"No"})</f>
        <v>Yes</v>
      </c>
      <c r="N556" s="5">
        <v>46373</v>
      </c>
      <c r="O556" s="1" t="s">
        <v>45</v>
      </c>
      <c r="P556" t="s">
        <v>35</v>
      </c>
      <c r="Q556" t="str">
        <f>IF(Excel_Advanced_Sales_Dataset_2000__3[[#This Row],[Delivery Status]]="Pending","Follow Up","Ok")</f>
        <v>Ok</v>
      </c>
      <c r="R556" s="1" t="s">
        <v>26</v>
      </c>
      <c r="S556">
        <f>Excel_Advanced_Sales_Dataset_2000__3[[#This Row],[Quantity]]*Excel_Advanced_Sales_Dataset_2000__3[[#This Row],[Unit Price]]*Excel_Advanced_Sales_Dataset_2000__3[[#This Row],[Discount %]]/100</f>
        <v>106815.898784</v>
      </c>
      <c r="T556" s="4">
        <f>Excel_Advanced_Sales_Dataset_2000__3[[#This Row],[Quantity]]*Excel_Advanced_Sales_Dataset_2000__3[[#This Row],[Unit Price]]-Excel_Advanced_Sales_Dataset_2000__3[[#This Row],[Discount Amount]]</f>
        <v>512047.94121599995</v>
      </c>
    </row>
    <row r="557" spans="1:20" x14ac:dyDescent="0.25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>
        <v>29</v>
      </c>
      <c r="J557" s="4">
        <v>13290.29</v>
      </c>
      <c r="K557" s="6">
        <v>5.29</v>
      </c>
      <c r="L557" s="4">
        <v>365029.78</v>
      </c>
      <c r="M557" s="4" t="str" cm="1">
        <f t="array" ref="M557">IF(Excel_Advanced_Sales_Dataset_2000__3[[#This Row],[Total Sales]]&gt;50000,{"Yes"},{"No"})</f>
        <v>Yes</v>
      </c>
      <c r="N557" s="5">
        <v>46239</v>
      </c>
      <c r="O557" s="1" t="s">
        <v>113</v>
      </c>
      <c r="P557" t="s">
        <v>35</v>
      </c>
      <c r="Q557" t="str">
        <f>IF(Excel_Advanced_Sales_Dataset_2000__3[[#This Row],[Delivery Status]]="Pending","Follow Up","Ok")</f>
        <v>Ok</v>
      </c>
      <c r="R557" s="1" t="s">
        <v>53</v>
      </c>
      <c r="S557">
        <f>Excel_Advanced_Sales_Dataset_2000__3[[#This Row],[Quantity]]*Excel_Advanced_Sales_Dataset_2000__3[[#This Row],[Unit Price]]*Excel_Advanced_Sales_Dataset_2000__3[[#This Row],[Discount %]]/100</f>
        <v>20388.633889000001</v>
      </c>
      <c r="T557" s="4">
        <f>Excel_Advanced_Sales_Dataset_2000__3[[#This Row],[Quantity]]*Excel_Advanced_Sales_Dataset_2000__3[[#This Row],[Unit Price]]-Excel_Advanced_Sales_Dataset_2000__3[[#This Row],[Discount Amount]]</f>
        <v>365029.77611100004</v>
      </c>
    </row>
    <row r="558" spans="1:20" x14ac:dyDescent="0.25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>
        <v>21</v>
      </c>
      <c r="J558" s="4">
        <v>37982.81</v>
      </c>
      <c r="K558" s="6">
        <v>2.98</v>
      </c>
      <c r="L558" s="4">
        <v>773869.37</v>
      </c>
      <c r="M558" s="4" t="str" cm="1">
        <f t="array" ref="M558">IF(Excel_Advanced_Sales_Dataset_2000__3[[#This Row],[Total Sales]]&gt;50000,{"Yes"},{"No"})</f>
        <v>Yes</v>
      </c>
      <c r="N558" s="5">
        <v>46103</v>
      </c>
      <c r="O558" s="1" t="s">
        <v>113</v>
      </c>
      <c r="P558" t="s">
        <v>25</v>
      </c>
      <c r="Q558" t="str">
        <f>IF(Excel_Advanced_Sales_Dataset_2000__3[[#This Row],[Delivery Status]]="Pending","Follow Up","Ok")</f>
        <v>Follow Up</v>
      </c>
      <c r="R558" s="1" t="s">
        <v>36</v>
      </c>
      <c r="S558">
        <f>Excel_Advanced_Sales_Dataset_2000__3[[#This Row],[Quantity]]*Excel_Advanced_Sales_Dataset_2000__3[[#This Row],[Unit Price]]*Excel_Advanced_Sales_Dataset_2000__3[[#This Row],[Discount %]]/100</f>
        <v>23769.642497999997</v>
      </c>
      <c r="T558" s="4">
        <f>Excel_Advanced_Sales_Dataset_2000__3[[#This Row],[Quantity]]*Excel_Advanced_Sales_Dataset_2000__3[[#This Row],[Unit Price]]-Excel_Advanced_Sales_Dataset_2000__3[[#This Row],[Discount Amount]]</f>
        <v>773869.36750200007</v>
      </c>
    </row>
    <row r="559" spans="1:20" x14ac:dyDescent="0.25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>
        <v>26</v>
      </c>
      <c r="J559" s="4">
        <v>45602.07</v>
      </c>
      <c r="K559" s="6">
        <v>18.91</v>
      </c>
      <c r="L559" s="4">
        <v>961446.68</v>
      </c>
      <c r="M559" s="4" t="str" cm="1">
        <f t="array" ref="M559">IF(Excel_Advanced_Sales_Dataset_2000__3[[#This Row],[Total Sales]]&gt;50000,{"Yes"},{"No"})</f>
        <v>Yes</v>
      </c>
      <c r="N559" s="5">
        <v>46334</v>
      </c>
      <c r="O559" s="1" t="s">
        <v>24</v>
      </c>
      <c r="P559" t="s">
        <v>35</v>
      </c>
      <c r="Q559" t="str">
        <f>IF(Excel_Advanced_Sales_Dataset_2000__3[[#This Row],[Delivery Status]]="Pending","Follow Up","Ok")</f>
        <v>Ok</v>
      </c>
      <c r="R559" s="1" t="s">
        <v>36</v>
      </c>
      <c r="S559">
        <f>Excel_Advanced_Sales_Dataset_2000__3[[#This Row],[Quantity]]*Excel_Advanced_Sales_Dataset_2000__3[[#This Row],[Unit Price]]*Excel_Advanced_Sales_Dataset_2000__3[[#This Row],[Discount %]]/100</f>
        <v>224207.13736200001</v>
      </c>
      <c r="T559" s="4">
        <f>Excel_Advanced_Sales_Dataset_2000__3[[#This Row],[Quantity]]*Excel_Advanced_Sales_Dataset_2000__3[[#This Row],[Unit Price]]-Excel_Advanced_Sales_Dataset_2000__3[[#This Row],[Discount Amount]]</f>
        <v>961446.682638</v>
      </c>
    </row>
    <row r="560" spans="1:20" x14ac:dyDescent="0.25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>
        <v>48</v>
      </c>
      <c r="J560" s="4">
        <v>6450.8</v>
      </c>
      <c r="K560" s="6">
        <v>8.98</v>
      </c>
      <c r="L560" s="4">
        <v>281832.87</v>
      </c>
      <c r="M560" s="4" t="str" cm="1">
        <f t="array" ref="M560">IF(Excel_Advanced_Sales_Dataset_2000__3[[#This Row],[Total Sales]]&gt;50000,{"Yes"},{"No"})</f>
        <v>Yes</v>
      </c>
      <c r="N560" s="5">
        <v>46137</v>
      </c>
      <c r="O560" s="1" t="s">
        <v>24</v>
      </c>
      <c r="P560" t="s">
        <v>35</v>
      </c>
      <c r="Q560" t="str">
        <f>IF(Excel_Advanced_Sales_Dataset_2000__3[[#This Row],[Delivery Status]]="Pending","Follow Up","Ok")</f>
        <v>Ok</v>
      </c>
      <c r="R560" s="1" t="s">
        <v>36</v>
      </c>
      <c r="S560">
        <f>Excel_Advanced_Sales_Dataset_2000__3[[#This Row],[Quantity]]*Excel_Advanced_Sales_Dataset_2000__3[[#This Row],[Unit Price]]*Excel_Advanced_Sales_Dataset_2000__3[[#This Row],[Discount %]]/100</f>
        <v>27805.528320000005</v>
      </c>
      <c r="T560" s="4">
        <f>Excel_Advanced_Sales_Dataset_2000__3[[#This Row],[Quantity]]*Excel_Advanced_Sales_Dataset_2000__3[[#This Row],[Unit Price]]-Excel_Advanced_Sales_Dataset_2000__3[[#This Row],[Discount Amount]]</f>
        <v>281832.87168000004</v>
      </c>
    </row>
    <row r="561" spans="1:20" x14ac:dyDescent="0.25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>
        <v>8</v>
      </c>
      <c r="J561" s="4">
        <v>35803.74</v>
      </c>
      <c r="K561" s="6">
        <v>5.13</v>
      </c>
      <c r="L561" s="4">
        <v>271736.07</v>
      </c>
      <c r="M561" s="4" t="str" cm="1">
        <f t="array" ref="M561">IF(Excel_Advanced_Sales_Dataset_2000__3[[#This Row],[Total Sales]]&gt;50000,{"Yes"},{"No"})</f>
        <v>Yes</v>
      </c>
      <c r="N561" s="5">
        <v>46088</v>
      </c>
      <c r="O561" s="1" t="s">
        <v>45</v>
      </c>
      <c r="P561" t="s">
        <v>35</v>
      </c>
      <c r="Q561" t="str">
        <f>IF(Excel_Advanced_Sales_Dataset_2000__3[[#This Row],[Delivery Status]]="Pending","Follow Up","Ok")</f>
        <v>Ok</v>
      </c>
      <c r="R561" s="1" t="s">
        <v>53</v>
      </c>
      <c r="S561">
        <f>Excel_Advanced_Sales_Dataset_2000__3[[#This Row],[Quantity]]*Excel_Advanced_Sales_Dataset_2000__3[[#This Row],[Unit Price]]*Excel_Advanced_Sales_Dataset_2000__3[[#This Row],[Discount %]]/100</f>
        <v>14693.854895999999</v>
      </c>
      <c r="T561" s="4">
        <f>Excel_Advanced_Sales_Dataset_2000__3[[#This Row],[Quantity]]*Excel_Advanced_Sales_Dataset_2000__3[[#This Row],[Unit Price]]-Excel_Advanced_Sales_Dataset_2000__3[[#This Row],[Discount Amount]]</f>
        <v>271736.06510399998</v>
      </c>
    </row>
    <row r="562" spans="1:20" x14ac:dyDescent="0.25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>
        <v>21</v>
      </c>
      <c r="J562" s="4">
        <v>28825.69</v>
      </c>
      <c r="K562" s="6">
        <v>5.13</v>
      </c>
      <c r="L562" s="4">
        <v>574285.56999999995</v>
      </c>
      <c r="M562" s="4" t="str" cm="1">
        <f t="array" ref="M562">IF(Excel_Advanced_Sales_Dataset_2000__3[[#This Row],[Total Sales]]&gt;50000,{"Yes"},{"No"})</f>
        <v>Yes</v>
      </c>
      <c r="N562" s="5">
        <v>46280</v>
      </c>
      <c r="O562" s="1" t="s">
        <v>58</v>
      </c>
      <c r="P562" t="s">
        <v>35</v>
      </c>
      <c r="Q562" t="str">
        <f>IF(Excel_Advanced_Sales_Dataset_2000__3[[#This Row],[Delivery Status]]="Pending","Follow Up","Ok")</f>
        <v>Ok</v>
      </c>
      <c r="R562" s="1" t="s">
        <v>53</v>
      </c>
      <c r="S562">
        <f>Excel_Advanced_Sales_Dataset_2000__3[[#This Row],[Quantity]]*Excel_Advanced_Sales_Dataset_2000__3[[#This Row],[Unit Price]]*Excel_Advanced_Sales_Dataset_2000__3[[#This Row],[Discount %]]/100</f>
        <v>31053.915836999997</v>
      </c>
      <c r="T562" s="4">
        <f>Excel_Advanced_Sales_Dataset_2000__3[[#This Row],[Quantity]]*Excel_Advanced_Sales_Dataset_2000__3[[#This Row],[Unit Price]]-Excel_Advanced_Sales_Dataset_2000__3[[#This Row],[Discount Amount]]</f>
        <v>574285.57416299998</v>
      </c>
    </row>
    <row r="563" spans="1:20" x14ac:dyDescent="0.25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>
        <v>45</v>
      </c>
      <c r="J563" s="4">
        <v>45575.63</v>
      </c>
      <c r="K563" s="6">
        <v>5.9</v>
      </c>
      <c r="L563" s="4">
        <v>1929900.05</v>
      </c>
      <c r="M563" s="4" t="str" cm="1">
        <f t="array" ref="M563">IF(Excel_Advanced_Sales_Dataset_2000__3[[#This Row],[Total Sales]]&gt;50000,{"Yes"},{"No"})</f>
        <v>Yes</v>
      </c>
      <c r="N563" s="5">
        <v>46109</v>
      </c>
      <c r="O563" s="1" t="s">
        <v>24</v>
      </c>
      <c r="P563" t="s">
        <v>35</v>
      </c>
      <c r="Q563" t="str">
        <f>IF(Excel_Advanced_Sales_Dataset_2000__3[[#This Row],[Delivery Status]]="Pending","Follow Up","Ok")</f>
        <v>Ok</v>
      </c>
      <c r="R563" s="1" t="s">
        <v>26</v>
      </c>
      <c r="S563">
        <f>Excel_Advanced_Sales_Dataset_2000__3[[#This Row],[Quantity]]*Excel_Advanced_Sales_Dataset_2000__3[[#This Row],[Unit Price]]*Excel_Advanced_Sales_Dataset_2000__3[[#This Row],[Discount %]]/100</f>
        <v>121003.29765000001</v>
      </c>
      <c r="T563" s="4">
        <f>Excel_Advanced_Sales_Dataset_2000__3[[#This Row],[Quantity]]*Excel_Advanced_Sales_Dataset_2000__3[[#This Row],[Unit Price]]-Excel_Advanced_Sales_Dataset_2000__3[[#This Row],[Discount Amount]]</f>
        <v>1929900.0523499998</v>
      </c>
    </row>
    <row r="564" spans="1:20" x14ac:dyDescent="0.25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>
        <v>3</v>
      </c>
      <c r="J564" s="4">
        <v>31527.11</v>
      </c>
      <c r="K564" s="6">
        <v>14.38</v>
      </c>
      <c r="L564" s="4">
        <v>80980.53</v>
      </c>
      <c r="M564" s="4" t="str" cm="1">
        <f t="array" ref="M564">IF(Excel_Advanced_Sales_Dataset_2000__3[[#This Row],[Total Sales]]&gt;50000,{"Yes"},{"No"})</f>
        <v>Yes</v>
      </c>
      <c r="N564" s="5">
        <v>46054</v>
      </c>
      <c r="O564" s="1" t="s">
        <v>113</v>
      </c>
      <c r="P564" t="s">
        <v>35</v>
      </c>
      <c r="Q564" t="str">
        <f>IF(Excel_Advanced_Sales_Dataset_2000__3[[#This Row],[Delivery Status]]="Pending","Follow Up","Ok")</f>
        <v>Ok</v>
      </c>
      <c r="R564" s="1" t="s">
        <v>26</v>
      </c>
      <c r="S564">
        <f>Excel_Advanced_Sales_Dataset_2000__3[[#This Row],[Quantity]]*Excel_Advanced_Sales_Dataset_2000__3[[#This Row],[Unit Price]]*Excel_Advanced_Sales_Dataset_2000__3[[#This Row],[Discount %]]/100</f>
        <v>13600.795254000002</v>
      </c>
      <c r="T564" s="4">
        <f>Excel_Advanced_Sales_Dataset_2000__3[[#This Row],[Quantity]]*Excel_Advanced_Sales_Dataset_2000__3[[#This Row],[Unit Price]]-Excel_Advanced_Sales_Dataset_2000__3[[#This Row],[Discount Amount]]</f>
        <v>80980.534746000005</v>
      </c>
    </row>
    <row r="565" spans="1:20" x14ac:dyDescent="0.25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>
        <v>42</v>
      </c>
      <c r="J565" s="4">
        <v>29250.52</v>
      </c>
      <c r="K565" s="6">
        <v>18.2</v>
      </c>
      <c r="L565" s="4">
        <v>1004930.87</v>
      </c>
      <c r="M565" s="4" t="str" cm="1">
        <f t="array" ref="M565">IF(Excel_Advanced_Sales_Dataset_2000__3[[#This Row],[Total Sales]]&gt;50000,{"Yes"},{"No"})</f>
        <v>Yes</v>
      </c>
      <c r="N565" s="5">
        <v>46376</v>
      </c>
      <c r="O565" s="1" t="s">
        <v>45</v>
      </c>
      <c r="P565" t="s">
        <v>35</v>
      </c>
      <c r="Q565" t="str">
        <f>IF(Excel_Advanced_Sales_Dataset_2000__3[[#This Row],[Delivery Status]]="Pending","Follow Up","Ok")</f>
        <v>Ok</v>
      </c>
      <c r="R565" s="1" t="s">
        <v>26</v>
      </c>
      <c r="S565">
        <f>Excel_Advanced_Sales_Dataset_2000__3[[#This Row],[Quantity]]*Excel_Advanced_Sales_Dataset_2000__3[[#This Row],[Unit Price]]*Excel_Advanced_Sales_Dataset_2000__3[[#This Row],[Discount %]]/100</f>
        <v>223590.97488000002</v>
      </c>
      <c r="T565" s="4">
        <f>Excel_Advanced_Sales_Dataset_2000__3[[#This Row],[Quantity]]*Excel_Advanced_Sales_Dataset_2000__3[[#This Row],[Unit Price]]-Excel_Advanced_Sales_Dataset_2000__3[[#This Row],[Discount Amount]]</f>
        <v>1004930.8651200001</v>
      </c>
    </row>
    <row r="566" spans="1:20" x14ac:dyDescent="0.25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>
        <v>9</v>
      </c>
      <c r="J566" s="4">
        <v>2917.85</v>
      </c>
      <c r="K566" s="6">
        <v>0.22</v>
      </c>
      <c r="L566" s="4">
        <v>26202.880000000001</v>
      </c>
      <c r="M566" s="4" t="str" cm="1">
        <f t="array" ref="M566">IF(Excel_Advanced_Sales_Dataset_2000__3[[#This Row],[Total Sales]]&gt;50000,{"Yes"},{"No"})</f>
        <v>No</v>
      </c>
      <c r="N566" s="5">
        <v>46307</v>
      </c>
      <c r="O566" s="1" t="s">
        <v>58</v>
      </c>
      <c r="P566" t="s">
        <v>35</v>
      </c>
      <c r="Q566" t="str">
        <f>IF(Excel_Advanced_Sales_Dataset_2000__3[[#This Row],[Delivery Status]]="Pending","Follow Up","Ok")</f>
        <v>Ok</v>
      </c>
      <c r="R566" s="1" t="s">
        <v>53</v>
      </c>
      <c r="S566">
        <f>Excel_Advanced_Sales_Dataset_2000__3[[#This Row],[Quantity]]*Excel_Advanced_Sales_Dataset_2000__3[[#This Row],[Unit Price]]*Excel_Advanced_Sales_Dataset_2000__3[[#This Row],[Discount %]]/100</f>
        <v>57.773429999999998</v>
      </c>
      <c r="T566" s="4">
        <f>Excel_Advanced_Sales_Dataset_2000__3[[#This Row],[Quantity]]*Excel_Advanced_Sales_Dataset_2000__3[[#This Row],[Unit Price]]-Excel_Advanced_Sales_Dataset_2000__3[[#This Row],[Discount Amount]]</f>
        <v>26202.876569999997</v>
      </c>
    </row>
    <row r="567" spans="1:20" x14ac:dyDescent="0.25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>
        <v>38</v>
      </c>
      <c r="J567" s="4">
        <v>35012.68</v>
      </c>
      <c r="K567" s="6">
        <v>19.579999999999998</v>
      </c>
      <c r="L567" s="4">
        <v>1069973.5</v>
      </c>
      <c r="M567" s="4" t="str" cm="1">
        <f t="array" ref="M567">IF(Excel_Advanced_Sales_Dataset_2000__3[[#This Row],[Total Sales]]&gt;50000,{"Yes"},{"No"})</f>
        <v>Yes</v>
      </c>
      <c r="N567" s="5">
        <v>46059</v>
      </c>
      <c r="O567" s="1" t="s">
        <v>58</v>
      </c>
      <c r="P567" t="s">
        <v>35</v>
      </c>
      <c r="Q567" t="str">
        <f>IF(Excel_Advanced_Sales_Dataset_2000__3[[#This Row],[Delivery Status]]="Pending","Follow Up","Ok")</f>
        <v>Ok</v>
      </c>
      <c r="R567" s="1" t="s">
        <v>53</v>
      </c>
      <c r="S567">
        <f>Excel_Advanced_Sales_Dataset_2000__3[[#This Row],[Quantity]]*Excel_Advanced_Sales_Dataset_2000__3[[#This Row],[Unit Price]]*Excel_Advanced_Sales_Dataset_2000__3[[#This Row],[Discount %]]/100</f>
        <v>260508.34427200002</v>
      </c>
      <c r="T567" s="4">
        <f>Excel_Advanced_Sales_Dataset_2000__3[[#This Row],[Quantity]]*Excel_Advanced_Sales_Dataset_2000__3[[#This Row],[Unit Price]]-Excel_Advanced_Sales_Dataset_2000__3[[#This Row],[Discount Amount]]</f>
        <v>1069973.4957280001</v>
      </c>
    </row>
    <row r="568" spans="1:20" x14ac:dyDescent="0.25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>
        <v>14</v>
      </c>
      <c r="J568" s="4">
        <v>29583.31</v>
      </c>
      <c r="K568" s="6">
        <v>14.39</v>
      </c>
      <c r="L568" s="4">
        <v>354567.8</v>
      </c>
      <c r="M568" s="4" t="str" cm="1">
        <f t="array" ref="M568">IF(Excel_Advanced_Sales_Dataset_2000__3[[#This Row],[Total Sales]]&gt;50000,{"Yes"},{"No"})</f>
        <v>Yes</v>
      </c>
      <c r="N568" s="5">
        <v>46383</v>
      </c>
      <c r="O568" s="1" t="s">
        <v>45</v>
      </c>
      <c r="P568" t="s">
        <v>35</v>
      </c>
      <c r="Q568" t="str">
        <f>IF(Excel_Advanced_Sales_Dataset_2000__3[[#This Row],[Delivery Status]]="Pending","Follow Up","Ok")</f>
        <v>Ok</v>
      </c>
      <c r="R568" s="1" t="s">
        <v>26</v>
      </c>
      <c r="S568">
        <f>Excel_Advanced_Sales_Dataset_2000__3[[#This Row],[Quantity]]*Excel_Advanced_Sales_Dataset_2000__3[[#This Row],[Unit Price]]*Excel_Advanced_Sales_Dataset_2000__3[[#This Row],[Discount %]]/100</f>
        <v>59598.536326000009</v>
      </c>
      <c r="T568" s="4">
        <f>Excel_Advanced_Sales_Dataset_2000__3[[#This Row],[Quantity]]*Excel_Advanced_Sales_Dataset_2000__3[[#This Row],[Unit Price]]-Excel_Advanced_Sales_Dataset_2000__3[[#This Row],[Discount Amount]]</f>
        <v>354567.80367400002</v>
      </c>
    </row>
    <row r="569" spans="1:20" x14ac:dyDescent="0.25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>
        <v>13</v>
      </c>
      <c r="J569" s="4">
        <v>42846.2</v>
      </c>
      <c r="K569" s="6">
        <v>9.65</v>
      </c>
      <c r="L569" s="4">
        <v>503250.04</v>
      </c>
      <c r="M569" s="4" t="str" cm="1">
        <f t="array" ref="M569">IF(Excel_Advanced_Sales_Dataset_2000__3[[#This Row],[Total Sales]]&gt;50000,{"Yes"},{"No"})</f>
        <v>Yes</v>
      </c>
      <c r="N569" s="5">
        <v>46210</v>
      </c>
      <c r="O569" s="1" t="s">
        <v>24</v>
      </c>
      <c r="P569" t="s">
        <v>35</v>
      </c>
      <c r="Q569" t="str">
        <f>IF(Excel_Advanced_Sales_Dataset_2000__3[[#This Row],[Delivery Status]]="Pending","Follow Up","Ok")</f>
        <v>Ok</v>
      </c>
      <c r="R569" s="1" t="s">
        <v>53</v>
      </c>
      <c r="S569">
        <f>Excel_Advanced_Sales_Dataset_2000__3[[#This Row],[Quantity]]*Excel_Advanced_Sales_Dataset_2000__3[[#This Row],[Unit Price]]*Excel_Advanced_Sales_Dataset_2000__3[[#This Row],[Discount %]]/100</f>
        <v>53750.5579</v>
      </c>
      <c r="T569" s="4">
        <f>Excel_Advanced_Sales_Dataset_2000__3[[#This Row],[Quantity]]*Excel_Advanced_Sales_Dataset_2000__3[[#This Row],[Unit Price]]-Excel_Advanced_Sales_Dataset_2000__3[[#This Row],[Discount Amount]]</f>
        <v>503250.04209999996</v>
      </c>
    </row>
    <row r="570" spans="1:20" x14ac:dyDescent="0.25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>
        <v>6</v>
      </c>
      <c r="J570" s="4">
        <v>43471.64</v>
      </c>
      <c r="K570" s="6">
        <v>17.850000000000001</v>
      </c>
      <c r="L570" s="4">
        <v>214271.71</v>
      </c>
      <c r="M570" s="4" t="str" cm="1">
        <f t="array" ref="M570">IF(Excel_Advanced_Sales_Dataset_2000__3[[#This Row],[Total Sales]]&gt;50000,{"Yes"},{"No"})</f>
        <v>Yes</v>
      </c>
      <c r="N570" s="5">
        <v>46359</v>
      </c>
      <c r="O570" s="1" t="s">
        <v>113</v>
      </c>
      <c r="P570" t="s">
        <v>35</v>
      </c>
      <c r="Q570" t="str">
        <f>IF(Excel_Advanced_Sales_Dataset_2000__3[[#This Row],[Delivery Status]]="Pending","Follow Up","Ok")</f>
        <v>Ok</v>
      </c>
      <c r="R570" s="1" t="s">
        <v>53</v>
      </c>
      <c r="S570">
        <f>Excel_Advanced_Sales_Dataset_2000__3[[#This Row],[Quantity]]*Excel_Advanced_Sales_Dataset_2000__3[[#This Row],[Unit Price]]*Excel_Advanced_Sales_Dataset_2000__3[[#This Row],[Discount %]]/100</f>
        <v>46558.12644</v>
      </c>
      <c r="T570" s="4">
        <f>Excel_Advanced_Sales_Dataset_2000__3[[#This Row],[Quantity]]*Excel_Advanced_Sales_Dataset_2000__3[[#This Row],[Unit Price]]-Excel_Advanced_Sales_Dataset_2000__3[[#This Row],[Discount Amount]]</f>
        <v>214271.71356</v>
      </c>
    </row>
    <row r="571" spans="1:20" x14ac:dyDescent="0.25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>
        <v>28</v>
      </c>
      <c r="J571" s="4">
        <v>3713.12</v>
      </c>
      <c r="K571" s="6">
        <v>4.6399999999999997</v>
      </c>
      <c r="L571" s="4">
        <v>99143.27</v>
      </c>
      <c r="M571" s="4" t="str" cm="1">
        <f t="array" ref="M571">IF(Excel_Advanced_Sales_Dataset_2000__3[[#This Row],[Total Sales]]&gt;50000,{"Yes"},{"No"})</f>
        <v>Yes</v>
      </c>
      <c r="N571" s="5">
        <v>46206</v>
      </c>
      <c r="O571" s="1" t="s">
        <v>58</v>
      </c>
      <c r="P571" t="s">
        <v>25</v>
      </c>
      <c r="Q571" t="str">
        <f>IF(Excel_Advanced_Sales_Dataset_2000__3[[#This Row],[Delivery Status]]="Pending","Follow Up","Ok")</f>
        <v>Follow Up</v>
      </c>
      <c r="R571" s="1" t="s">
        <v>53</v>
      </c>
      <c r="S571">
        <f>Excel_Advanced_Sales_Dataset_2000__3[[#This Row],[Quantity]]*Excel_Advanced_Sales_Dataset_2000__3[[#This Row],[Unit Price]]*Excel_Advanced_Sales_Dataset_2000__3[[#This Row],[Discount %]]/100</f>
        <v>4824.0855039999997</v>
      </c>
      <c r="T571" s="4">
        <f>Excel_Advanced_Sales_Dataset_2000__3[[#This Row],[Quantity]]*Excel_Advanced_Sales_Dataset_2000__3[[#This Row],[Unit Price]]-Excel_Advanced_Sales_Dataset_2000__3[[#This Row],[Discount Amount]]</f>
        <v>99143.274495999998</v>
      </c>
    </row>
    <row r="572" spans="1:20" x14ac:dyDescent="0.25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>
        <v>15</v>
      </c>
      <c r="J572" s="4">
        <v>42241.55</v>
      </c>
      <c r="K572" s="6">
        <v>5.13</v>
      </c>
      <c r="L572" s="4">
        <v>601118.38</v>
      </c>
      <c r="M572" s="4" t="str" cm="1">
        <f t="array" ref="M572">IF(Excel_Advanced_Sales_Dataset_2000__3[[#This Row],[Total Sales]]&gt;50000,{"Yes"},{"No"})</f>
        <v>Yes</v>
      </c>
      <c r="N572" s="5">
        <v>46159</v>
      </c>
      <c r="O572" s="1" t="s">
        <v>68</v>
      </c>
      <c r="P572" t="s">
        <v>35</v>
      </c>
      <c r="Q572" t="str">
        <f>IF(Excel_Advanced_Sales_Dataset_2000__3[[#This Row],[Delivery Status]]="Pending","Follow Up","Ok")</f>
        <v>Ok</v>
      </c>
      <c r="R572" s="1" t="s">
        <v>36</v>
      </c>
      <c r="S572">
        <f>Excel_Advanced_Sales_Dataset_2000__3[[#This Row],[Quantity]]*Excel_Advanced_Sales_Dataset_2000__3[[#This Row],[Unit Price]]*Excel_Advanced_Sales_Dataset_2000__3[[#This Row],[Discount %]]/100</f>
        <v>32504.872725000001</v>
      </c>
      <c r="T572" s="4">
        <f>Excel_Advanced_Sales_Dataset_2000__3[[#This Row],[Quantity]]*Excel_Advanced_Sales_Dataset_2000__3[[#This Row],[Unit Price]]-Excel_Advanced_Sales_Dataset_2000__3[[#This Row],[Discount Amount]]</f>
        <v>601118.37727499998</v>
      </c>
    </row>
    <row r="573" spans="1:20" x14ac:dyDescent="0.25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>
        <v>47</v>
      </c>
      <c r="J573" s="4">
        <v>34126.51</v>
      </c>
      <c r="K573" s="6">
        <v>6.36</v>
      </c>
      <c r="L573" s="4">
        <v>1501935.01</v>
      </c>
      <c r="M573" s="4" t="str" cm="1">
        <f t="array" ref="M573">IF(Excel_Advanced_Sales_Dataset_2000__3[[#This Row],[Total Sales]]&gt;50000,{"Yes"},{"No"})</f>
        <v>Yes</v>
      </c>
      <c r="N573" s="5">
        <v>46373</v>
      </c>
      <c r="O573" s="1" t="s">
        <v>24</v>
      </c>
      <c r="P573" t="s">
        <v>35</v>
      </c>
      <c r="Q573" t="str">
        <f>IF(Excel_Advanced_Sales_Dataset_2000__3[[#This Row],[Delivery Status]]="Pending","Follow Up","Ok")</f>
        <v>Ok</v>
      </c>
      <c r="R573" s="1" t="s">
        <v>53</v>
      </c>
      <c r="S573">
        <f>Excel_Advanced_Sales_Dataset_2000__3[[#This Row],[Quantity]]*Excel_Advanced_Sales_Dataset_2000__3[[#This Row],[Unit Price]]*Excel_Advanced_Sales_Dataset_2000__3[[#This Row],[Discount %]]/100</f>
        <v>102010.96369200002</v>
      </c>
      <c r="T573" s="4">
        <f>Excel_Advanced_Sales_Dataset_2000__3[[#This Row],[Quantity]]*Excel_Advanced_Sales_Dataset_2000__3[[#This Row],[Unit Price]]-Excel_Advanced_Sales_Dataset_2000__3[[#This Row],[Discount Amount]]</f>
        <v>1501935.0063080001</v>
      </c>
    </row>
    <row r="574" spans="1:20" x14ac:dyDescent="0.25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>
        <v>23</v>
      </c>
      <c r="J574" s="4">
        <v>19635.34</v>
      </c>
      <c r="K574" s="6">
        <v>12.19</v>
      </c>
      <c r="L574" s="4">
        <v>396561.22</v>
      </c>
      <c r="M574" s="4" t="str" cm="1">
        <f t="array" ref="M574">IF(Excel_Advanced_Sales_Dataset_2000__3[[#This Row],[Total Sales]]&gt;50000,{"Yes"},{"No"})</f>
        <v>Yes</v>
      </c>
      <c r="N574" s="5">
        <v>46334</v>
      </c>
      <c r="O574" s="1" t="s">
        <v>68</v>
      </c>
      <c r="P574" t="s">
        <v>35</v>
      </c>
      <c r="Q574" t="str">
        <f>IF(Excel_Advanced_Sales_Dataset_2000__3[[#This Row],[Delivery Status]]="Pending","Follow Up","Ok")</f>
        <v>Ok</v>
      </c>
      <c r="R574" s="1" t="s">
        <v>26</v>
      </c>
      <c r="S574">
        <f>Excel_Advanced_Sales_Dataset_2000__3[[#This Row],[Quantity]]*Excel_Advanced_Sales_Dataset_2000__3[[#This Row],[Unit Price]]*Excel_Advanced_Sales_Dataset_2000__3[[#This Row],[Discount %]]/100</f>
        <v>55051.602758000001</v>
      </c>
      <c r="T574" s="4">
        <f>Excel_Advanced_Sales_Dataset_2000__3[[#This Row],[Quantity]]*Excel_Advanced_Sales_Dataset_2000__3[[#This Row],[Unit Price]]-Excel_Advanced_Sales_Dataset_2000__3[[#This Row],[Discount Amount]]</f>
        <v>396561.21724199998</v>
      </c>
    </row>
    <row r="575" spans="1:20" x14ac:dyDescent="0.25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>
        <v>50</v>
      </c>
      <c r="J575" s="4">
        <v>15497.92</v>
      </c>
      <c r="K575" s="6">
        <v>15.18</v>
      </c>
      <c r="L575" s="4">
        <v>657266.79</v>
      </c>
      <c r="M575" s="4" t="str" cm="1">
        <f t="array" ref="M575">IF(Excel_Advanced_Sales_Dataset_2000__3[[#This Row],[Total Sales]]&gt;50000,{"Yes"},{"No"})</f>
        <v>Yes</v>
      </c>
      <c r="N575" s="5">
        <v>46066</v>
      </c>
      <c r="O575" s="1" t="s">
        <v>45</v>
      </c>
      <c r="P575" t="s">
        <v>35</v>
      </c>
      <c r="Q575" t="str">
        <f>IF(Excel_Advanced_Sales_Dataset_2000__3[[#This Row],[Delivery Status]]="Pending","Follow Up","Ok")</f>
        <v>Ok</v>
      </c>
      <c r="R575" s="1" t="s">
        <v>26</v>
      </c>
      <c r="S575">
        <f>Excel_Advanced_Sales_Dataset_2000__3[[#This Row],[Quantity]]*Excel_Advanced_Sales_Dataset_2000__3[[#This Row],[Unit Price]]*Excel_Advanced_Sales_Dataset_2000__3[[#This Row],[Discount %]]/100</f>
        <v>117629.21279999999</v>
      </c>
      <c r="T575" s="4">
        <f>Excel_Advanced_Sales_Dataset_2000__3[[#This Row],[Quantity]]*Excel_Advanced_Sales_Dataset_2000__3[[#This Row],[Unit Price]]-Excel_Advanced_Sales_Dataset_2000__3[[#This Row],[Discount Amount]]</f>
        <v>657266.78720000002</v>
      </c>
    </row>
    <row r="576" spans="1:20" x14ac:dyDescent="0.25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>
        <v>18</v>
      </c>
      <c r="J576" s="4">
        <v>28012.3</v>
      </c>
      <c r="K576" s="6">
        <v>1.84</v>
      </c>
      <c r="L576" s="4">
        <v>494943.73</v>
      </c>
      <c r="M576" s="4" t="str" cm="1">
        <f t="array" ref="M576">IF(Excel_Advanced_Sales_Dataset_2000__3[[#This Row],[Total Sales]]&gt;50000,{"Yes"},{"No"})</f>
        <v>Yes</v>
      </c>
      <c r="N576" s="5">
        <v>46190</v>
      </c>
      <c r="O576" s="1" t="s">
        <v>68</v>
      </c>
      <c r="P576" t="s">
        <v>35</v>
      </c>
      <c r="Q576" t="str">
        <f>IF(Excel_Advanced_Sales_Dataset_2000__3[[#This Row],[Delivery Status]]="Pending","Follow Up","Ok")</f>
        <v>Ok</v>
      </c>
      <c r="R576" s="1" t="s">
        <v>26</v>
      </c>
      <c r="S576">
        <f>Excel_Advanced_Sales_Dataset_2000__3[[#This Row],[Quantity]]*Excel_Advanced_Sales_Dataset_2000__3[[#This Row],[Unit Price]]*Excel_Advanced_Sales_Dataset_2000__3[[#This Row],[Discount %]]/100</f>
        <v>9277.6737599999997</v>
      </c>
      <c r="T576" s="4">
        <f>Excel_Advanced_Sales_Dataset_2000__3[[#This Row],[Quantity]]*Excel_Advanced_Sales_Dataset_2000__3[[#This Row],[Unit Price]]-Excel_Advanced_Sales_Dataset_2000__3[[#This Row],[Discount Amount]]</f>
        <v>494943.72623999999</v>
      </c>
    </row>
    <row r="577" spans="1:20" x14ac:dyDescent="0.25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>
        <v>42</v>
      </c>
      <c r="J577" s="4">
        <v>23817.68</v>
      </c>
      <c r="K577" s="6">
        <v>0.24</v>
      </c>
      <c r="L577" s="4">
        <v>997941.74</v>
      </c>
      <c r="M577" s="4" t="str" cm="1">
        <f t="array" ref="M577">IF(Excel_Advanced_Sales_Dataset_2000__3[[#This Row],[Total Sales]]&gt;50000,{"Yes"},{"No"})</f>
        <v>Yes</v>
      </c>
      <c r="N577" s="5">
        <v>46137</v>
      </c>
      <c r="O577" s="1" t="s">
        <v>58</v>
      </c>
      <c r="P577" t="s">
        <v>35</v>
      </c>
      <c r="Q577" t="str">
        <f>IF(Excel_Advanced_Sales_Dataset_2000__3[[#This Row],[Delivery Status]]="Pending","Follow Up","Ok")</f>
        <v>Ok</v>
      </c>
      <c r="R577" s="1" t="s">
        <v>26</v>
      </c>
      <c r="S577">
        <f>Excel_Advanced_Sales_Dataset_2000__3[[#This Row],[Quantity]]*Excel_Advanced_Sales_Dataset_2000__3[[#This Row],[Unit Price]]*Excel_Advanced_Sales_Dataset_2000__3[[#This Row],[Discount %]]/100</f>
        <v>2400.8221439999998</v>
      </c>
      <c r="T577" s="4">
        <f>Excel_Advanced_Sales_Dataset_2000__3[[#This Row],[Quantity]]*Excel_Advanced_Sales_Dataset_2000__3[[#This Row],[Unit Price]]-Excel_Advanced_Sales_Dataset_2000__3[[#This Row],[Discount Amount]]</f>
        <v>997941.73785600008</v>
      </c>
    </row>
    <row r="578" spans="1:20" x14ac:dyDescent="0.25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>
        <v>29</v>
      </c>
      <c r="J578" s="4">
        <v>12317.92</v>
      </c>
      <c r="K578" s="6">
        <v>12.89</v>
      </c>
      <c r="L578" s="4">
        <v>311174.06</v>
      </c>
      <c r="M578" s="4" t="str" cm="1">
        <f t="array" ref="M578">IF(Excel_Advanced_Sales_Dataset_2000__3[[#This Row],[Total Sales]]&gt;50000,{"Yes"},{"No"})</f>
        <v>Yes</v>
      </c>
      <c r="N578" s="5">
        <v>46033</v>
      </c>
      <c r="O578" s="1" t="s">
        <v>24</v>
      </c>
      <c r="P578" t="s">
        <v>35</v>
      </c>
      <c r="Q578" t="str">
        <f>IF(Excel_Advanced_Sales_Dataset_2000__3[[#This Row],[Delivery Status]]="Pending","Follow Up","Ok")</f>
        <v>Ok</v>
      </c>
      <c r="R578" s="1" t="s">
        <v>26</v>
      </c>
      <c r="S578">
        <f>Excel_Advanced_Sales_Dataset_2000__3[[#This Row],[Quantity]]*Excel_Advanced_Sales_Dataset_2000__3[[#This Row],[Unit Price]]*Excel_Advanced_Sales_Dataset_2000__3[[#This Row],[Discount %]]/100</f>
        <v>46045.616752000002</v>
      </c>
      <c r="T578" s="4">
        <f>Excel_Advanced_Sales_Dataset_2000__3[[#This Row],[Quantity]]*Excel_Advanced_Sales_Dataset_2000__3[[#This Row],[Unit Price]]-Excel_Advanced_Sales_Dataset_2000__3[[#This Row],[Discount Amount]]</f>
        <v>311174.06324799999</v>
      </c>
    </row>
    <row r="579" spans="1:20" x14ac:dyDescent="0.25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>
        <v>3</v>
      </c>
      <c r="J579" s="4">
        <v>47645.37</v>
      </c>
      <c r="K579" s="6">
        <v>14.17</v>
      </c>
      <c r="L579" s="4">
        <v>122682.06</v>
      </c>
      <c r="M579" s="4" t="str" cm="1">
        <f t="array" ref="M579">IF(Excel_Advanced_Sales_Dataset_2000__3[[#This Row],[Total Sales]]&gt;50000,{"Yes"},{"No"})</f>
        <v>Yes</v>
      </c>
      <c r="N579" s="5">
        <v>46387</v>
      </c>
      <c r="O579" s="1" t="s">
        <v>24</v>
      </c>
      <c r="P579" t="s">
        <v>35</v>
      </c>
      <c r="Q579" t="str">
        <f>IF(Excel_Advanced_Sales_Dataset_2000__3[[#This Row],[Delivery Status]]="Pending","Follow Up","Ok")</f>
        <v>Ok</v>
      </c>
      <c r="R579" s="1" t="s">
        <v>26</v>
      </c>
      <c r="S579">
        <f>Excel_Advanced_Sales_Dataset_2000__3[[#This Row],[Quantity]]*Excel_Advanced_Sales_Dataset_2000__3[[#This Row],[Unit Price]]*Excel_Advanced_Sales_Dataset_2000__3[[#This Row],[Discount %]]/100</f>
        <v>20254.046787000003</v>
      </c>
      <c r="T579" s="4">
        <f>Excel_Advanced_Sales_Dataset_2000__3[[#This Row],[Quantity]]*Excel_Advanced_Sales_Dataset_2000__3[[#This Row],[Unit Price]]-Excel_Advanced_Sales_Dataset_2000__3[[#This Row],[Discount Amount]]</f>
        <v>122682.06321300002</v>
      </c>
    </row>
    <row r="580" spans="1:20" x14ac:dyDescent="0.25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>
        <v>25</v>
      </c>
      <c r="J580" s="4">
        <v>41571.03</v>
      </c>
      <c r="K580" s="6">
        <v>2.66</v>
      </c>
      <c r="L580" s="4">
        <v>1011631.02</v>
      </c>
      <c r="M580" s="4" t="str" cm="1">
        <f t="array" ref="M580">IF(Excel_Advanced_Sales_Dataset_2000__3[[#This Row],[Total Sales]]&gt;50000,{"Yes"},{"No"})</f>
        <v>Yes</v>
      </c>
      <c r="N580" s="5">
        <v>46344</v>
      </c>
      <c r="O580" s="1" t="s">
        <v>58</v>
      </c>
      <c r="P580" t="s">
        <v>35</v>
      </c>
      <c r="Q580" t="str">
        <f>IF(Excel_Advanced_Sales_Dataset_2000__3[[#This Row],[Delivery Status]]="Pending","Follow Up","Ok")</f>
        <v>Ok</v>
      </c>
      <c r="R580" s="1" t="s">
        <v>36</v>
      </c>
      <c r="S580">
        <f>Excel_Advanced_Sales_Dataset_2000__3[[#This Row],[Quantity]]*Excel_Advanced_Sales_Dataset_2000__3[[#This Row],[Unit Price]]*Excel_Advanced_Sales_Dataset_2000__3[[#This Row],[Discount %]]/100</f>
        <v>27644.734950000002</v>
      </c>
      <c r="T580" s="4">
        <f>Excel_Advanced_Sales_Dataset_2000__3[[#This Row],[Quantity]]*Excel_Advanced_Sales_Dataset_2000__3[[#This Row],[Unit Price]]-Excel_Advanced_Sales_Dataset_2000__3[[#This Row],[Discount Amount]]</f>
        <v>1011631.01505</v>
      </c>
    </row>
    <row r="581" spans="1:20" x14ac:dyDescent="0.25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>
        <v>25</v>
      </c>
      <c r="J581" s="4">
        <v>46798.32</v>
      </c>
      <c r="K581" s="6">
        <v>0.94</v>
      </c>
      <c r="L581" s="4">
        <v>1158960.3899999999</v>
      </c>
      <c r="M581" s="4" t="str" cm="1">
        <f t="array" ref="M581">IF(Excel_Advanced_Sales_Dataset_2000__3[[#This Row],[Total Sales]]&gt;50000,{"Yes"},{"No"})</f>
        <v>Yes</v>
      </c>
      <c r="N581" s="5">
        <v>46028</v>
      </c>
      <c r="O581" s="1" t="s">
        <v>68</v>
      </c>
      <c r="P581" t="s">
        <v>35</v>
      </c>
      <c r="Q581" t="str">
        <f>IF(Excel_Advanced_Sales_Dataset_2000__3[[#This Row],[Delivery Status]]="Pending","Follow Up","Ok")</f>
        <v>Ok</v>
      </c>
      <c r="R581" s="1" t="s">
        <v>53</v>
      </c>
      <c r="S581">
        <f>Excel_Advanced_Sales_Dataset_2000__3[[#This Row],[Quantity]]*Excel_Advanced_Sales_Dataset_2000__3[[#This Row],[Unit Price]]*Excel_Advanced_Sales_Dataset_2000__3[[#This Row],[Discount %]]/100</f>
        <v>10997.6052</v>
      </c>
      <c r="T581" s="4">
        <f>Excel_Advanced_Sales_Dataset_2000__3[[#This Row],[Quantity]]*Excel_Advanced_Sales_Dataset_2000__3[[#This Row],[Unit Price]]-Excel_Advanced_Sales_Dataset_2000__3[[#This Row],[Discount Amount]]</f>
        <v>1158960.3947999999</v>
      </c>
    </row>
    <row r="582" spans="1:20" x14ac:dyDescent="0.25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>
        <v>4</v>
      </c>
      <c r="J582" s="4">
        <v>34555.79</v>
      </c>
      <c r="K582" s="6">
        <v>19.79</v>
      </c>
      <c r="L582" s="4">
        <v>110868.8</v>
      </c>
      <c r="M582" s="4" t="str" cm="1">
        <f t="array" ref="M582">IF(Excel_Advanced_Sales_Dataset_2000__3[[#This Row],[Total Sales]]&gt;50000,{"Yes"},{"No"})</f>
        <v>Yes</v>
      </c>
      <c r="N582" s="5">
        <v>46347</v>
      </c>
      <c r="O582" s="1" t="s">
        <v>45</v>
      </c>
      <c r="P582" t="s">
        <v>35</v>
      </c>
      <c r="Q582" t="str">
        <f>IF(Excel_Advanced_Sales_Dataset_2000__3[[#This Row],[Delivery Status]]="Pending","Follow Up","Ok")</f>
        <v>Ok</v>
      </c>
      <c r="R582" s="1" t="s">
        <v>36</v>
      </c>
      <c r="S582">
        <f>Excel_Advanced_Sales_Dataset_2000__3[[#This Row],[Quantity]]*Excel_Advanced_Sales_Dataset_2000__3[[#This Row],[Unit Price]]*Excel_Advanced_Sales_Dataset_2000__3[[#This Row],[Discount %]]/100</f>
        <v>27354.363364000001</v>
      </c>
      <c r="T582" s="4">
        <f>Excel_Advanced_Sales_Dataset_2000__3[[#This Row],[Quantity]]*Excel_Advanced_Sales_Dataset_2000__3[[#This Row],[Unit Price]]-Excel_Advanced_Sales_Dataset_2000__3[[#This Row],[Discount Amount]]</f>
        <v>110868.796636</v>
      </c>
    </row>
    <row r="583" spans="1:20" x14ac:dyDescent="0.25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>
        <v>13</v>
      </c>
      <c r="J583" s="4">
        <v>30472.9</v>
      </c>
      <c r="K583" s="6">
        <v>18.91</v>
      </c>
      <c r="L583" s="4">
        <v>321236.17</v>
      </c>
      <c r="M583" s="4" t="str" cm="1">
        <f t="array" ref="M583">IF(Excel_Advanced_Sales_Dataset_2000__3[[#This Row],[Total Sales]]&gt;50000,{"Yes"},{"No"})</f>
        <v>Yes</v>
      </c>
      <c r="N583" s="5">
        <v>46272</v>
      </c>
      <c r="O583" s="1" t="s">
        <v>68</v>
      </c>
      <c r="P583" t="s">
        <v>35</v>
      </c>
      <c r="Q583" t="str">
        <f>IF(Excel_Advanced_Sales_Dataset_2000__3[[#This Row],[Delivery Status]]="Pending","Follow Up","Ok")</f>
        <v>Ok</v>
      </c>
      <c r="R583" s="1" t="s">
        <v>36</v>
      </c>
      <c r="S583">
        <f>Excel_Advanced_Sales_Dataset_2000__3[[#This Row],[Quantity]]*Excel_Advanced_Sales_Dataset_2000__3[[#This Row],[Unit Price]]*Excel_Advanced_Sales_Dataset_2000__3[[#This Row],[Discount %]]/100</f>
        <v>74911.530070000008</v>
      </c>
      <c r="T583" s="4">
        <f>Excel_Advanced_Sales_Dataset_2000__3[[#This Row],[Quantity]]*Excel_Advanced_Sales_Dataset_2000__3[[#This Row],[Unit Price]]-Excel_Advanced_Sales_Dataset_2000__3[[#This Row],[Discount Amount]]</f>
        <v>321236.16992999997</v>
      </c>
    </row>
    <row r="584" spans="1:20" x14ac:dyDescent="0.25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>
        <v>35</v>
      </c>
      <c r="J584" s="4">
        <v>30221.7</v>
      </c>
      <c r="K584" s="6">
        <v>18.8</v>
      </c>
      <c r="L584" s="4">
        <v>858900.71</v>
      </c>
      <c r="M584" s="4" t="str" cm="1">
        <f t="array" ref="M584">IF(Excel_Advanced_Sales_Dataset_2000__3[[#This Row],[Total Sales]]&gt;50000,{"Yes"},{"No"})</f>
        <v>Yes</v>
      </c>
      <c r="N584" s="5">
        <v>46283</v>
      </c>
      <c r="O584" s="1" t="s">
        <v>113</v>
      </c>
      <c r="P584" t="s">
        <v>35</v>
      </c>
      <c r="Q584" t="str">
        <f>IF(Excel_Advanced_Sales_Dataset_2000__3[[#This Row],[Delivery Status]]="Pending","Follow Up","Ok")</f>
        <v>Ok</v>
      </c>
      <c r="R584" s="1" t="s">
        <v>53</v>
      </c>
      <c r="S584">
        <f>Excel_Advanced_Sales_Dataset_2000__3[[#This Row],[Quantity]]*Excel_Advanced_Sales_Dataset_2000__3[[#This Row],[Unit Price]]*Excel_Advanced_Sales_Dataset_2000__3[[#This Row],[Discount %]]/100</f>
        <v>198858.78600000002</v>
      </c>
      <c r="T584" s="4">
        <f>Excel_Advanced_Sales_Dataset_2000__3[[#This Row],[Quantity]]*Excel_Advanced_Sales_Dataset_2000__3[[#This Row],[Unit Price]]-Excel_Advanced_Sales_Dataset_2000__3[[#This Row],[Discount Amount]]</f>
        <v>858900.71399999992</v>
      </c>
    </row>
    <row r="585" spans="1:20" x14ac:dyDescent="0.25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>
        <v>23</v>
      </c>
      <c r="J585" s="4">
        <v>47837.24</v>
      </c>
      <c r="K585" s="6">
        <v>15.85</v>
      </c>
      <c r="L585" s="4">
        <v>925865.86</v>
      </c>
      <c r="M585" s="4" t="str" cm="1">
        <f t="array" ref="M585">IF(Excel_Advanced_Sales_Dataset_2000__3[[#This Row],[Total Sales]]&gt;50000,{"Yes"},{"No"})</f>
        <v>Yes</v>
      </c>
      <c r="N585" s="5">
        <v>46247</v>
      </c>
      <c r="O585" s="1" t="s">
        <v>45</v>
      </c>
      <c r="P585" t="s">
        <v>35</v>
      </c>
      <c r="Q585" t="str">
        <f>IF(Excel_Advanced_Sales_Dataset_2000__3[[#This Row],[Delivery Status]]="Pending","Follow Up","Ok")</f>
        <v>Ok</v>
      </c>
      <c r="R585" s="1" t="s">
        <v>26</v>
      </c>
      <c r="S585">
        <f>Excel_Advanced_Sales_Dataset_2000__3[[#This Row],[Quantity]]*Excel_Advanced_Sales_Dataset_2000__3[[#This Row],[Unit Price]]*Excel_Advanced_Sales_Dataset_2000__3[[#This Row],[Discount %]]/100</f>
        <v>174390.65841999999</v>
      </c>
      <c r="T585" s="4">
        <f>Excel_Advanced_Sales_Dataset_2000__3[[#This Row],[Quantity]]*Excel_Advanced_Sales_Dataset_2000__3[[#This Row],[Unit Price]]-Excel_Advanced_Sales_Dataset_2000__3[[#This Row],[Discount Amount]]</f>
        <v>925865.86158000003</v>
      </c>
    </row>
    <row r="586" spans="1:20" x14ac:dyDescent="0.25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>
        <v>49</v>
      </c>
      <c r="J586" s="4">
        <v>15918.51</v>
      </c>
      <c r="K586" s="6">
        <v>2.06</v>
      </c>
      <c r="L586" s="4">
        <v>763938.85</v>
      </c>
      <c r="M586" s="4" t="str" cm="1">
        <f t="array" ref="M586">IF(Excel_Advanced_Sales_Dataset_2000__3[[#This Row],[Total Sales]]&gt;50000,{"Yes"},{"No"})</f>
        <v>Yes</v>
      </c>
      <c r="N586" s="5">
        <v>46234</v>
      </c>
      <c r="O586" s="1" t="s">
        <v>58</v>
      </c>
      <c r="P586" t="s">
        <v>35</v>
      </c>
      <c r="Q586" t="str">
        <f>IF(Excel_Advanced_Sales_Dataset_2000__3[[#This Row],[Delivery Status]]="Pending","Follow Up","Ok")</f>
        <v>Ok</v>
      </c>
      <c r="R586" s="1" t="s">
        <v>26</v>
      </c>
      <c r="S586">
        <f>Excel_Advanced_Sales_Dataset_2000__3[[#This Row],[Quantity]]*Excel_Advanced_Sales_Dataset_2000__3[[#This Row],[Unit Price]]*Excel_Advanced_Sales_Dataset_2000__3[[#This Row],[Discount %]]/100</f>
        <v>16068.143994</v>
      </c>
      <c r="T586" s="4">
        <f>Excel_Advanced_Sales_Dataset_2000__3[[#This Row],[Quantity]]*Excel_Advanced_Sales_Dataset_2000__3[[#This Row],[Unit Price]]-Excel_Advanced_Sales_Dataset_2000__3[[#This Row],[Discount Amount]]</f>
        <v>763938.84600599995</v>
      </c>
    </row>
    <row r="587" spans="1:20" x14ac:dyDescent="0.25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>
        <v>40</v>
      </c>
      <c r="J587" s="4">
        <v>47145.599999999999</v>
      </c>
      <c r="K587" s="6">
        <v>11.55</v>
      </c>
      <c r="L587" s="4">
        <v>1668011.33</v>
      </c>
      <c r="M587" s="4" t="str" cm="1">
        <f t="array" ref="M587">IF(Excel_Advanced_Sales_Dataset_2000__3[[#This Row],[Total Sales]]&gt;50000,{"Yes"},{"No"})</f>
        <v>Yes</v>
      </c>
      <c r="N587" s="5">
        <v>46295</v>
      </c>
      <c r="O587" s="1" t="s">
        <v>68</v>
      </c>
      <c r="P587" t="s">
        <v>35</v>
      </c>
      <c r="Q587" t="str">
        <f>IF(Excel_Advanced_Sales_Dataset_2000__3[[#This Row],[Delivery Status]]="Pending","Follow Up","Ok")</f>
        <v>Ok</v>
      </c>
      <c r="R587" s="1" t="s">
        <v>53</v>
      </c>
      <c r="S587">
        <f>Excel_Advanced_Sales_Dataset_2000__3[[#This Row],[Quantity]]*Excel_Advanced_Sales_Dataset_2000__3[[#This Row],[Unit Price]]*Excel_Advanced_Sales_Dataset_2000__3[[#This Row],[Discount %]]/100</f>
        <v>217812.67200000002</v>
      </c>
      <c r="T587" s="4">
        <f>Excel_Advanced_Sales_Dataset_2000__3[[#This Row],[Quantity]]*Excel_Advanced_Sales_Dataset_2000__3[[#This Row],[Unit Price]]-Excel_Advanced_Sales_Dataset_2000__3[[#This Row],[Discount Amount]]</f>
        <v>1668011.328</v>
      </c>
    </row>
    <row r="588" spans="1:20" x14ac:dyDescent="0.25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>
        <v>40</v>
      </c>
      <c r="J588" s="4">
        <v>663.29</v>
      </c>
      <c r="K588" s="6">
        <v>16.71</v>
      </c>
      <c r="L588" s="4">
        <v>22098.17</v>
      </c>
      <c r="M588" s="4" t="str" cm="1">
        <f t="array" ref="M588">IF(Excel_Advanced_Sales_Dataset_2000__3[[#This Row],[Total Sales]]&gt;50000,{"Yes"},{"No"})</f>
        <v>No</v>
      </c>
      <c r="N588" s="5">
        <v>46138</v>
      </c>
      <c r="O588" s="1" t="s">
        <v>68</v>
      </c>
      <c r="P588" t="s">
        <v>35</v>
      </c>
      <c r="Q588" t="str">
        <f>IF(Excel_Advanced_Sales_Dataset_2000__3[[#This Row],[Delivery Status]]="Pending","Follow Up","Ok")</f>
        <v>Ok</v>
      </c>
      <c r="R588" s="1" t="s">
        <v>26</v>
      </c>
      <c r="S588">
        <f>Excel_Advanced_Sales_Dataset_2000__3[[#This Row],[Quantity]]*Excel_Advanced_Sales_Dataset_2000__3[[#This Row],[Unit Price]]*Excel_Advanced_Sales_Dataset_2000__3[[#This Row],[Discount %]]/100</f>
        <v>4433.4303600000003</v>
      </c>
      <c r="T588" s="4">
        <f>Excel_Advanced_Sales_Dataset_2000__3[[#This Row],[Quantity]]*Excel_Advanced_Sales_Dataset_2000__3[[#This Row],[Unit Price]]-Excel_Advanced_Sales_Dataset_2000__3[[#This Row],[Discount Amount]]</f>
        <v>22098.16964</v>
      </c>
    </row>
    <row r="589" spans="1:20" x14ac:dyDescent="0.25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>
        <v>36</v>
      </c>
      <c r="J589" s="4">
        <v>46953.69</v>
      </c>
      <c r="K589" s="6">
        <v>16.53</v>
      </c>
      <c r="L589" s="4">
        <v>1410920.82</v>
      </c>
      <c r="M589" s="4" t="str" cm="1">
        <f t="array" ref="M589">IF(Excel_Advanced_Sales_Dataset_2000__3[[#This Row],[Total Sales]]&gt;50000,{"Yes"},{"No"})</f>
        <v>Yes</v>
      </c>
      <c r="N589" s="5">
        <v>46251</v>
      </c>
      <c r="O589" s="1" t="s">
        <v>24</v>
      </c>
      <c r="P589" t="s">
        <v>35</v>
      </c>
      <c r="Q589" t="str">
        <f>IF(Excel_Advanced_Sales_Dataset_2000__3[[#This Row],[Delivery Status]]="Pending","Follow Up","Ok")</f>
        <v>Ok</v>
      </c>
      <c r="R589" s="1" t="s">
        <v>26</v>
      </c>
      <c r="S589">
        <f>Excel_Advanced_Sales_Dataset_2000__3[[#This Row],[Quantity]]*Excel_Advanced_Sales_Dataset_2000__3[[#This Row],[Unit Price]]*Excel_Advanced_Sales_Dataset_2000__3[[#This Row],[Discount %]]/100</f>
        <v>279412.01845200005</v>
      </c>
      <c r="T589" s="4">
        <f>Excel_Advanced_Sales_Dataset_2000__3[[#This Row],[Quantity]]*Excel_Advanced_Sales_Dataset_2000__3[[#This Row],[Unit Price]]-Excel_Advanced_Sales_Dataset_2000__3[[#This Row],[Discount Amount]]</f>
        <v>1410920.821548</v>
      </c>
    </row>
    <row r="590" spans="1:20" x14ac:dyDescent="0.25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>
        <v>32</v>
      </c>
      <c r="J590" s="4">
        <v>26827.22</v>
      </c>
      <c r="K590" s="6">
        <v>15.54</v>
      </c>
      <c r="L590" s="4">
        <v>725064.64</v>
      </c>
      <c r="M590" s="4" t="str" cm="1">
        <f t="array" ref="M590">IF(Excel_Advanced_Sales_Dataset_2000__3[[#This Row],[Total Sales]]&gt;50000,{"Yes"},{"No"})</f>
        <v>Yes</v>
      </c>
      <c r="N590" s="5">
        <v>46211</v>
      </c>
      <c r="O590" s="1" t="s">
        <v>45</v>
      </c>
      <c r="P590" t="s">
        <v>25</v>
      </c>
      <c r="Q590" t="str">
        <f>IF(Excel_Advanced_Sales_Dataset_2000__3[[#This Row],[Delivery Status]]="Pending","Follow Up","Ok")</f>
        <v>Follow Up</v>
      </c>
      <c r="R590" s="1" t="s">
        <v>36</v>
      </c>
      <c r="S590">
        <f>Excel_Advanced_Sales_Dataset_2000__3[[#This Row],[Quantity]]*Excel_Advanced_Sales_Dataset_2000__3[[#This Row],[Unit Price]]*Excel_Advanced_Sales_Dataset_2000__3[[#This Row],[Discount %]]/100</f>
        <v>133406.39961600001</v>
      </c>
      <c r="T590" s="4">
        <f>Excel_Advanced_Sales_Dataset_2000__3[[#This Row],[Quantity]]*Excel_Advanced_Sales_Dataset_2000__3[[#This Row],[Unit Price]]-Excel_Advanced_Sales_Dataset_2000__3[[#This Row],[Discount Amount]]</f>
        <v>725064.64038400003</v>
      </c>
    </row>
    <row r="591" spans="1:20" x14ac:dyDescent="0.25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>
        <v>47</v>
      </c>
      <c r="J591" s="4">
        <v>45865.18</v>
      </c>
      <c r="K591" s="6">
        <v>18.84</v>
      </c>
      <c r="L591" s="4">
        <v>1749536.46</v>
      </c>
      <c r="M591" s="4" t="str" cm="1">
        <f t="array" ref="M591">IF(Excel_Advanced_Sales_Dataset_2000__3[[#This Row],[Total Sales]]&gt;50000,{"Yes"},{"No"})</f>
        <v>Yes</v>
      </c>
      <c r="N591" s="5">
        <v>46371</v>
      </c>
      <c r="O591" s="1" t="s">
        <v>24</v>
      </c>
      <c r="P591" t="s">
        <v>35</v>
      </c>
      <c r="Q591" t="str">
        <f>IF(Excel_Advanced_Sales_Dataset_2000__3[[#This Row],[Delivery Status]]="Pending","Follow Up","Ok")</f>
        <v>Ok</v>
      </c>
      <c r="R591" s="1" t="s">
        <v>53</v>
      </c>
      <c r="S591">
        <f>Excel_Advanced_Sales_Dataset_2000__3[[#This Row],[Quantity]]*Excel_Advanced_Sales_Dataset_2000__3[[#This Row],[Unit Price]]*Excel_Advanced_Sales_Dataset_2000__3[[#This Row],[Discount %]]/100</f>
        <v>406126.995864</v>
      </c>
      <c r="T591" s="4">
        <f>Excel_Advanced_Sales_Dataset_2000__3[[#This Row],[Quantity]]*Excel_Advanced_Sales_Dataset_2000__3[[#This Row],[Unit Price]]-Excel_Advanced_Sales_Dataset_2000__3[[#This Row],[Discount Amount]]</f>
        <v>1749536.464136</v>
      </c>
    </row>
    <row r="592" spans="1:20" x14ac:dyDescent="0.25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>
        <v>40</v>
      </c>
      <c r="J592" s="4">
        <v>4859.22</v>
      </c>
      <c r="K592" s="6">
        <v>3.21</v>
      </c>
      <c r="L592" s="4">
        <v>188129.56</v>
      </c>
      <c r="M592" s="4" t="str" cm="1">
        <f t="array" ref="M592">IF(Excel_Advanced_Sales_Dataset_2000__3[[#This Row],[Total Sales]]&gt;50000,{"Yes"},{"No"})</f>
        <v>Yes</v>
      </c>
      <c r="N592" s="5">
        <v>46282</v>
      </c>
      <c r="O592" s="1" t="s">
        <v>45</v>
      </c>
      <c r="P592" t="s">
        <v>35</v>
      </c>
      <c r="Q592" t="str">
        <f>IF(Excel_Advanced_Sales_Dataset_2000__3[[#This Row],[Delivery Status]]="Pending","Follow Up","Ok")</f>
        <v>Ok</v>
      </c>
      <c r="R592" s="1" t="s">
        <v>36</v>
      </c>
      <c r="S592">
        <f>Excel_Advanced_Sales_Dataset_2000__3[[#This Row],[Quantity]]*Excel_Advanced_Sales_Dataset_2000__3[[#This Row],[Unit Price]]*Excel_Advanced_Sales_Dataset_2000__3[[#This Row],[Discount %]]/100</f>
        <v>6239.23848</v>
      </c>
      <c r="T592" s="4">
        <f>Excel_Advanced_Sales_Dataset_2000__3[[#This Row],[Quantity]]*Excel_Advanced_Sales_Dataset_2000__3[[#This Row],[Unit Price]]-Excel_Advanced_Sales_Dataset_2000__3[[#This Row],[Discount Amount]]</f>
        <v>188129.56152000002</v>
      </c>
    </row>
    <row r="593" spans="1:20" x14ac:dyDescent="0.25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>
        <v>20</v>
      </c>
      <c r="J593" s="4">
        <v>11822.61</v>
      </c>
      <c r="K593" s="6">
        <v>2.41</v>
      </c>
      <c r="L593" s="4">
        <v>230753.7</v>
      </c>
      <c r="M593" s="4" t="str" cm="1">
        <f t="array" ref="M593">IF(Excel_Advanced_Sales_Dataset_2000__3[[#This Row],[Total Sales]]&gt;50000,{"Yes"},{"No"})</f>
        <v>Yes</v>
      </c>
      <c r="N593" s="5">
        <v>46359</v>
      </c>
      <c r="O593" s="1" t="s">
        <v>58</v>
      </c>
      <c r="P593" t="s">
        <v>35</v>
      </c>
      <c r="Q593" t="str">
        <f>IF(Excel_Advanced_Sales_Dataset_2000__3[[#This Row],[Delivery Status]]="Pending","Follow Up","Ok")</f>
        <v>Ok</v>
      </c>
      <c r="R593" s="1" t="s">
        <v>53</v>
      </c>
      <c r="S593">
        <f>Excel_Advanced_Sales_Dataset_2000__3[[#This Row],[Quantity]]*Excel_Advanced_Sales_Dataset_2000__3[[#This Row],[Unit Price]]*Excel_Advanced_Sales_Dataset_2000__3[[#This Row],[Discount %]]/100</f>
        <v>5698.49802</v>
      </c>
      <c r="T593" s="4">
        <f>Excel_Advanced_Sales_Dataset_2000__3[[#This Row],[Quantity]]*Excel_Advanced_Sales_Dataset_2000__3[[#This Row],[Unit Price]]-Excel_Advanced_Sales_Dataset_2000__3[[#This Row],[Discount Amount]]</f>
        <v>230753.70198000001</v>
      </c>
    </row>
    <row r="594" spans="1:20" x14ac:dyDescent="0.25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>
        <v>1</v>
      </c>
      <c r="J594" s="4">
        <v>9366.77</v>
      </c>
      <c r="K594" s="6">
        <v>1.1100000000000001</v>
      </c>
      <c r="L594" s="4">
        <v>9262.7999999999993</v>
      </c>
      <c r="M594" s="4" t="str" cm="1">
        <f t="array" ref="M594">IF(Excel_Advanced_Sales_Dataset_2000__3[[#This Row],[Total Sales]]&gt;50000,{"Yes"},{"No"})</f>
        <v>No</v>
      </c>
      <c r="N594" s="5">
        <v>46139</v>
      </c>
      <c r="O594" s="1" t="s">
        <v>24</v>
      </c>
      <c r="P594" t="s">
        <v>35</v>
      </c>
      <c r="Q594" t="str">
        <f>IF(Excel_Advanced_Sales_Dataset_2000__3[[#This Row],[Delivery Status]]="Pending","Follow Up","Ok")</f>
        <v>Ok</v>
      </c>
      <c r="R594" s="1" t="s">
        <v>26</v>
      </c>
      <c r="S594">
        <f>Excel_Advanced_Sales_Dataset_2000__3[[#This Row],[Quantity]]*Excel_Advanced_Sales_Dataset_2000__3[[#This Row],[Unit Price]]*Excel_Advanced_Sales_Dataset_2000__3[[#This Row],[Discount %]]/100</f>
        <v>103.97114700000002</v>
      </c>
      <c r="T594" s="4">
        <f>Excel_Advanced_Sales_Dataset_2000__3[[#This Row],[Quantity]]*Excel_Advanced_Sales_Dataset_2000__3[[#This Row],[Unit Price]]-Excel_Advanced_Sales_Dataset_2000__3[[#This Row],[Discount Amount]]</f>
        <v>9262.7988530000002</v>
      </c>
    </row>
    <row r="595" spans="1:20" x14ac:dyDescent="0.25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>
        <v>15</v>
      </c>
      <c r="J595" s="4">
        <v>17202.36</v>
      </c>
      <c r="K595" s="6">
        <v>10.09</v>
      </c>
      <c r="L595" s="4">
        <v>231999.63</v>
      </c>
      <c r="M595" s="4" t="str" cm="1">
        <f t="array" ref="M595">IF(Excel_Advanced_Sales_Dataset_2000__3[[#This Row],[Total Sales]]&gt;50000,{"Yes"},{"No"})</f>
        <v>Yes</v>
      </c>
      <c r="N595" s="5">
        <v>46328</v>
      </c>
      <c r="O595" s="1" t="s">
        <v>24</v>
      </c>
      <c r="P595" t="s">
        <v>35</v>
      </c>
      <c r="Q595" t="str">
        <f>IF(Excel_Advanced_Sales_Dataset_2000__3[[#This Row],[Delivery Status]]="Pending","Follow Up","Ok")</f>
        <v>Ok</v>
      </c>
      <c r="R595" s="1" t="s">
        <v>36</v>
      </c>
      <c r="S595">
        <f>Excel_Advanced_Sales_Dataset_2000__3[[#This Row],[Quantity]]*Excel_Advanced_Sales_Dataset_2000__3[[#This Row],[Unit Price]]*Excel_Advanced_Sales_Dataset_2000__3[[#This Row],[Discount %]]/100</f>
        <v>26035.771860000001</v>
      </c>
      <c r="T595" s="4">
        <f>Excel_Advanced_Sales_Dataset_2000__3[[#This Row],[Quantity]]*Excel_Advanced_Sales_Dataset_2000__3[[#This Row],[Unit Price]]-Excel_Advanced_Sales_Dataset_2000__3[[#This Row],[Discount Amount]]</f>
        <v>231999.62814000002</v>
      </c>
    </row>
    <row r="596" spans="1:20" x14ac:dyDescent="0.25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>
        <v>7</v>
      </c>
      <c r="J596" s="4">
        <v>37639.980000000003</v>
      </c>
      <c r="K596" s="6">
        <v>19.89</v>
      </c>
      <c r="L596" s="4">
        <v>211073.72</v>
      </c>
      <c r="M596" s="4" t="str" cm="1">
        <f t="array" ref="M596">IF(Excel_Advanced_Sales_Dataset_2000__3[[#This Row],[Total Sales]]&gt;50000,{"Yes"},{"No"})</f>
        <v>Yes</v>
      </c>
      <c r="N596" s="5">
        <v>46149</v>
      </c>
      <c r="O596" s="1" t="s">
        <v>113</v>
      </c>
      <c r="P596" t="s">
        <v>35</v>
      </c>
      <c r="Q596" t="str">
        <f>IF(Excel_Advanced_Sales_Dataset_2000__3[[#This Row],[Delivery Status]]="Pending","Follow Up","Ok")</f>
        <v>Ok</v>
      </c>
      <c r="R596" s="1" t="s">
        <v>53</v>
      </c>
      <c r="S596">
        <f>Excel_Advanced_Sales_Dataset_2000__3[[#This Row],[Quantity]]*Excel_Advanced_Sales_Dataset_2000__3[[#This Row],[Unit Price]]*Excel_Advanced_Sales_Dataset_2000__3[[#This Row],[Discount %]]/100</f>
        <v>52406.144154000009</v>
      </c>
      <c r="T596" s="4">
        <f>Excel_Advanced_Sales_Dataset_2000__3[[#This Row],[Quantity]]*Excel_Advanced_Sales_Dataset_2000__3[[#This Row],[Unit Price]]-Excel_Advanced_Sales_Dataset_2000__3[[#This Row],[Discount Amount]]</f>
        <v>211073.71584600004</v>
      </c>
    </row>
    <row r="597" spans="1:20" x14ac:dyDescent="0.25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>
        <v>15</v>
      </c>
      <c r="J597" s="4">
        <v>29643.61</v>
      </c>
      <c r="K597" s="6">
        <v>4.6900000000000004</v>
      </c>
      <c r="L597" s="4">
        <v>423799.87</v>
      </c>
      <c r="M597" s="4" t="str" cm="1">
        <f t="array" ref="M597">IF(Excel_Advanced_Sales_Dataset_2000__3[[#This Row],[Total Sales]]&gt;50000,{"Yes"},{"No"})</f>
        <v>Yes</v>
      </c>
      <c r="N597" s="5">
        <v>46381</v>
      </c>
      <c r="O597" s="1" t="s">
        <v>24</v>
      </c>
      <c r="P597" t="s">
        <v>35</v>
      </c>
      <c r="Q597" t="str">
        <f>IF(Excel_Advanced_Sales_Dataset_2000__3[[#This Row],[Delivery Status]]="Pending","Follow Up","Ok")</f>
        <v>Ok</v>
      </c>
      <c r="R597" s="1" t="s">
        <v>53</v>
      </c>
      <c r="S597">
        <f>Excel_Advanced_Sales_Dataset_2000__3[[#This Row],[Quantity]]*Excel_Advanced_Sales_Dataset_2000__3[[#This Row],[Unit Price]]*Excel_Advanced_Sales_Dataset_2000__3[[#This Row],[Discount %]]/100</f>
        <v>20854.279635000003</v>
      </c>
      <c r="T597" s="4">
        <f>Excel_Advanced_Sales_Dataset_2000__3[[#This Row],[Quantity]]*Excel_Advanced_Sales_Dataset_2000__3[[#This Row],[Unit Price]]-Excel_Advanced_Sales_Dataset_2000__3[[#This Row],[Discount Amount]]</f>
        <v>423799.87036500004</v>
      </c>
    </row>
    <row r="598" spans="1:20" x14ac:dyDescent="0.25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>
        <v>48</v>
      </c>
      <c r="J598" s="4">
        <v>10249.290000000001</v>
      </c>
      <c r="K598" s="6">
        <v>4.93</v>
      </c>
      <c r="L598" s="4">
        <v>467712</v>
      </c>
      <c r="M598" s="4" t="str" cm="1">
        <f t="array" ref="M598">IF(Excel_Advanced_Sales_Dataset_2000__3[[#This Row],[Total Sales]]&gt;50000,{"Yes"},{"No"})</f>
        <v>Yes</v>
      </c>
      <c r="N598" s="5">
        <v>46376</v>
      </c>
      <c r="O598" s="1" t="s">
        <v>24</v>
      </c>
      <c r="P598" t="s">
        <v>35</v>
      </c>
      <c r="Q598" t="str">
        <f>IF(Excel_Advanced_Sales_Dataset_2000__3[[#This Row],[Delivery Status]]="Pending","Follow Up","Ok")</f>
        <v>Ok</v>
      </c>
      <c r="R598" s="1" t="s">
        <v>53</v>
      </c>
      <c r="S598">
        <f>Excel_Advanced_Sales_Dataset_2000__3[[#This Row],[Quantity]]*Excel_Advanced_Sales_Dataset_2000__3[[#This Row],[Unit Price]]*Excel_Advanced_Sales_Dataset_2000__3[[#This Row],[Discount %]]/100</f>
        <v>24253.919856000004</v>
      </c>
      <c r="T598" s="4">
        <f>Excel_Advanced_Sales_Dataset_2000__3[[#This Row],[Quantity]]*Excel_Advanced_Sales_Dataset_2000__3[[#This Row],[Unit Price]]-Excel_Advanced_Sales_Dataset_2000__3[[#This Row],[Discount Amount]]</f>
        <v>467712.00014400005</v>
      </c>
    </row>
    <row r="599" spans="1:20" x14ac:dyDescent="0.25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>
        <v>30</v>
      </c>
      <c r="J599" s="4">
        <v>33605.58</v>
      </c>
      <c r="K599" s="6">
        <v>8.4</v>
      </c>
      <c r="L599" s="4">
        <v>923481.34</v>
      </c>
      <c r="M599" s="4" t="str" cm="1">
        <f t="array" ref="M599">IF(Excel_Advanced_Sales_Dataset_2000__3[[#This Row],[Total Sales]]&gt;50000,{"Yes"},{"No"})</f>
        <v>Yes</v>
      </c>
      <c r="N599" s="5">
        <v>46190</v>
      </c>
      <c r="O599" s="1" t="s">
        <v>24</v>
      </c>
      <c r="P599" t="s">
        <v>35</v>
      </c>
      <c r="Q599" t="str">
        <f>IF(Excel_Advanced_Sales_Dataset_2000__3[[#This Row],[Delivery Status]]="Pending","Follow Up","Ok")</f>
        <v>Ok</v>
      </c>
      <c r="R599" s="1" t="s">
        <v>53</v>
      </c>
      <c r="S599">
        <f>Excel_Advanced_Sales_Dataset_2000__3[[#This Row],[Quantity]]*Excel_Advanced_Sales_Dataset_2000__3[[#This Row],[Unit Price]]*Excel_Advanced_Sales_Dataset_2000__3[[#This Row],[Discount %]]/100</f>
        <v>84686.061600000001</v>
      </c>
      <c r="T599" s="4">
        <f>Excel_Advanced_Sales_Dataset_2000__3[[#This Row],[Quantity]]*Excel_Advanced_Sales_Dataset_2000__3[[#This Row],[Unit Price]]-Excel_Advanced_Sales_Dataset_2000__3[[#This Row],[Discount Amount]]</f>
        <v>923481.33840000001</v>
      </c>
    </row>
    <row r="600" spans="1:20" x14ac:dyDescent="0.25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>
        <v>21</v>
      </c>
      <c r="J600" s="4">
        <v>31490.400000000001</v>
      </c>
      <c r="K600" s="6">
        <v>6.09</v>
      </c>
      <c r="L600" s="4">
        <v>621025.32999999996</v>
      </c>
      <c r="M600" s="4" t="str" cm="1">
        <f t="array" ref="M600">IF(Excel_Advanced_Sales_Dataset_2000__3[[#This Row],[Total Sales]]&gt;50000,{"Yes"},{"No"})</f>
        <v>Yes</v>
      </c>
      <c r="N600" s="5">
        <v>46294</v>
      </c>
      <c r="O600" s="1" t="s">
        <v>58</v>
      </c>
      <c r="P600" t="s">
        <v>35</v>
      </c>
      <c r="Q600" t="str">
        <f>IF(Excel_Advanced_Sales_Dataset_2000__3[[#This Row],[Delivery Status]]="Pending","Follow Up","Ok")</f>
        <v>Ok</v>
      </c>
      <c r="R600" s="1" t="s">
        <v>36</v>
      </c>
      <c r="S600">
        <f>Excel_Advanced_Sales_Dataset_2000__3[[#This Row],[Quantity]]*Excel_Advanced_Sales_Dataset_2000__3[[#This Row],[Unit Price]]*Excel_Advanced_Sales_Dataset_2000__3[[#This Row],[Discount %]]/100</f>
        <v>40273.072560000001</v>
      </c>
      <c r="T600" s="4">
        <f>Excel_Advanced_Sales_Dataset_2000__3[[#This Row],[Quantity]]*Excel_Advanced_Sales_Dataset_2000__3[[#This Row],[Unit Price]]-Excel_Advanced_Sales_Dataset_2000__3[[#This Row],[Discount Amount]]</f>
        <v>621025.32744000002</v>
      </c>
    </row>
    <row r="601" spans="1:20" x14ac:dyDescent="0.25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>
        <v>4</v>
      </c>
      <c r="J601" s="4">
        <v>33545.71</v>
      </c>
      <c r="K601" s="6">
        <v>3.63</v>
      </c>
      <c r="L601" s="4">
        <v>129312</v>
      </c>
      <c r="M601" s="4" t="str" cm="1">
        <f t="array" ref="M601">IF(Excel_Advanced_Sales_Dataset_2000__3[[#This Row],[Total Sales]]&gt;50000,{"Yes"},{"No"})</f>
        <v>Yes</v>
      </c>
      <c r="N601" s="5">
        <v>46169</v>
      </c>
      <c r="O601" s="1" t="s">
        <v>45</v>
      </c>
      <c r="P601" t="s">
        <v>35</v>
      </c>
      <c r="Q601" t="str">
        <f>IF(Excel_Advanced_Sales_Dataset_2000__3[[#This Row],[Delivery Status]]="Pending","Follow Up","Ok")</f>
        <v>Ok</v>
      </c>
      <c r="R601" s="1" t="s">
        <v>53</v>
      </c>
      <c r="S601">
        <f>Excel_Advanced_Sales_Dataset_2000__3[[#This Row],[Quantity]]*Excel_Advanced_Sales_Dataset_2000__3[[#This Row],[Unit Price]]*Excel_Advanced_Sales_Dataset_2000__3[[#This Row],[Discount %]]/100</f>
        <v>4870.8370919999998</v>
      </c>
      <c r="T601" s="4">
        <f>Excel_Advanced_Sales_Dataset_2000__3[[#This Row],[Quantity]]*Excel_Advanced_Sales_Dataset_2000__3[[#This Row],[Unit Price]]-Excel_Advanced_Sales_Dataset_2000__3[[#This Row],[Discount Amount]]</f>
        <v>129312.00290799999</v>
      </c>
    </row>
    <row r="602" spans="1:20" x14ac:dyDescent="0.25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>
        <v>17</v>
      </c>
      <c r="J602" s="4">
        <v>37795.199999999997</v>
      </c>
      <c r="K602" s="6">
        <v>14.82</v>
      </c>
      <c r="L602" s="4">
        <v>547297.17000000004</v>
      </c>
      <c r="M602" s="4" t="str" cm="1">
        <f t="array" ref="M602">IF(Excel_Advanced_Sales_Dataset_2000__3[[#This Row],[Total Sales]]&gt;50000,{"Yes"},{"No"})</f>
        <v>Yes</v>
      </c>
      <c r="N602" s="5">
        <v>46372</v>
      </c>
      <c r="O602" s="1" t="s">
        <v>24</v>
      </c>
      <c r="P602" t="s">
        <v>35</v>
      </c>
      <c r="Q602" t="str">
        <f>IF(Excel_Advanced_Sales_Dataset_2000__3[[#This Row],[Delivery Status]]="Pending","Follow Up","Ok")</f>
        <v>Ok</v>
      </c>
      <c r="R602" s="1" t="s">
        <v>53</v>
      </c>
      <c r="S602">
        <f>Excel_Advanced_Sales_Dataset_2000__3[[#This Row],[Quantity]]*Excel_Advanced_Sales_Dataset_2000__3[[#This Row],[Unit Price]]*Excel_Advanced_Sales_Dataset_2000__3[[#This Row],[Discount %]]/100</f>
        <v>95221.226879999987</v>
      </c>
      <c r="T602" s="4">
        <f>Excel_Advanced_Sales_Dataset_2000__3[[#This Row],[Quantity]]*Excel_Advanced_Sales_Dataset_2000__3[[#This Row],[Unit Price]]-Excel_Advanced_Sales_Dataset_2000__3[[#This Row],[Discount Amount]]</f>
        <v>547297.17311999993</v>
      </c>
    </row>
    <row r="603" spans="1:20" x14ac:dyDescent="0.25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>
        <v>12</v>
      </c>
      <c r="J603" s="4">
        <v>9193.15</v>
      </c>
      <c r="K603" s="6">
        <v>11.99</v>
      </c>
      <c r="L603" s="4">
        <v>97090.7</v>
      </c>
      <c r="M603" s="4" t="str" cm="1">
        <f t="array" ref="M603">IF(Excel_Advanced_Sales_Dataset_2000__3[[#This Row],[Total Sales]]&gt;50000,{"Yes"},{"No"})</f>
        <v>Yes</v>
      </c>
      <c r="N603" s="5">
        <v>46028</v>
      </c>
      <c r="O603" s="1" t="s">
        <v>68</v>
      </c>
      <c r="P603" t="s">
        <v>35</v>
      </c>
      <c r="Q603" t="str">
        <f>IF(Excel_Advanced_Sales_Dataset_2000__3[[#This Row],[Delivery Status]]="Pending","Follow Up","Ok")</f>
        <v>Ok</v>
      </c>
      <c r="R603" s="1" t="s">
        <v>53</v>
      </c>
      <c r="S603">
        <f>Excel_Advanced_Sales_Dataset_2000__3[[#This Row],[Quantity]]*Excel_Advanced_Sales_Dataset_2000__3[[#This Row],[Unit Price]]*Excel_Advanced_Sales_Dataset_2000__3[[#This Row],[Discount %]]/100</f>
        <v>13227.104219999997</v>
      </c>
      <c r="T603" s="4">
        <f>Excel_Advanced_Sales_Dataset_2000__3[[#This Row],[Quantity]]*Excel_Advanced_Sales_Dataset_2000__3[[#This Row],[Unit Price]]-Excel_Advanced_Sales_Dataset_2000__3[[#This Row],[Discount Amount]]</f>
        <v>97090.695779999995</v>
      </c>
    </row>
    <row r="604" spans="1:20" x14ac:dyDescent="0.25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>
        <v>16</v>
      </c>
      <c r="J604" s="4">
        <v>29535.86</v>
      </c>
      <c r="K604" s="6">
        <v>13.16</v>
      </c>
      <c r="L604" s="4">
        <v>410383.05</v>
      </c>
      <c r="M604" s="4" t="str" cm="1">
        <f t="array" ref="M604">IF(Excel_Advanced_Sales_Dataset_2000__3[[#This Row],[Total Sales]]&gt;50000,{"Yes"},{"No"})</f>
        <v>Yes</v>
      </c>
      <c r="N604" s="5">
        <v>46070</v>
      </c>
      <c r="O604" s="1" t="s">
        <v>58</v>
      </c>
      <c r="P604" t="s">
        <v>35</v>
      </c>
      <c r="Q604" t="str">
        <f>IF(Excel_Advanced_Sales_Dataset_2000__3[[#This Row],[Delivery Status]]="Pending","Follow Up","Ok")</f>
        <v>Ok</v>
      </c>
      <c r="R604" s="1" t="s">
        <v>53</v>
      </c>
      <c r="S604">
        <f>Excel_Advanced_Sales_Dataset_2000__3[[#This Row],[Quantity]]*Excel_Advanced_Sales_Dataset_2000__3[[#This Row],[Unit Price]]*Excel_Advanced_Sales_Dataset_2000__3[[#This Row],[Discount %]]/100</f>
        <v>62190.706815999998</v>
      </c>
      <c r="T604" s="4">
        <f>Excel_Advanced_Sales_Dataset_2000__3[[#This Row],[Quantity]]*Excel_Advanced_Sales_Dataset_2000__3[[#This Row],[Unit Price]]-Excel_Advanced_Sales_Dataset_2000__3[[#This Row],[Discount Amount]]</f>
        <v>410383.05318400002</v>
      </c>
    </row>
    <row r="605" spans="1:20" x14ac:dyDescent="0.25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>
        <v>18</v>
      </c>
      <c r="J605" s="4">
        <v>47778.45</v>
      </c>
      <c r="K605" s="6">
        <v>16.36</v>
      </c>
      <c r="L605" s="4">
        <v>719314.12</v>
      </c>
      <c r="M605" s="4" t="str" cm="1">
        <f t="array" ref="M605">IF(Excel_Advanced_Sales_Dataset_2000__3[[#This Row],[Total Sales]]&gt;50000,{"Yes"},{"No"})</f>
        <v>Yes</v>
      </c>
      <c r="N605" s="5">
        <v>46262</v>
      </c>
      <c r="O605" s="1" t="s">
        <v>113</v>
      </c>
      <c r="P605" t="s">
        <v>35</v>
      </c>
      <c r="Q605" t="str">
        <f>IF(Excel_Advanced_Sales_Dataset_2000__3[[#This Row],[Delivery Status]]="Pending","Follow Up","Ok")</f>
        <v>Ok</v>
      </c>
      <c r="R605" s="1" t="s">
        <v>36</v>
      </c>
      <c r="S605">
        <f>Excel_Advanced_Sales_Dataset_2000__3[[#This Row],[Quantity]]*Excel_Advanced_Sales_Dataset_2000__3[[#This Row],[Unit Price]]*Excel_Advanced_Sales_Dataset_2000__3[[#This Row],[Discount %]]/100</f>
        <v>140697.97955999998</v>
      </c>
      <c r="T605" s="4">
        <f>Excel_Advanced_Sales_Dataset_2000__3[[#This Row],[Quantity]]*Excel_Advanced_Sales_Dataset_2000__3[[#This Row],[Unit Price]]-Excel_Advanced_Sales_Dataset_2000__3[[#This Row],[Discount Amount]]</f>
        <v>719314.12043999997</v>
      </c>
    </row>
    <row r="606" spans="1:20" x14ac:dyDescent="0.25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>
        <v>32</v>
      </c>
      <c r="J606" s="4">
        <v>22939.119999999999</v>
      </c>
      <c r="K606" s="6">
        <v>19.010000000000002</v>
      </c>
      <c r="L606" s="4">
        <v>594508.59</v>
      </c>
      <c r="M606" s="4" t="str" cm="1">
        <f t="array" ref="M606">IF(Excel_Advanced_Sales_Dataset_2000__3[[#This Row],[Total Sales]]&gt;50000,{"Yes"},{"No"})</f>
        <v>Yes</v>
      </c>
      <c r="N606" s="5">
        <v>46116</v>
      </c>
      <c r="O606" s="1" t="s">
        <v>24</v>
      </c>
      <c r="P606" t="s">
        <v>35</v>
      </c>
      <c r="Q606" t="str">
        <f>IF(Excel_Advanced_Sales_Dataset_2000__3[[#This Row],[Delivery Status]]="Pending","Follow Up","Ok")</f>
        <v>Ok</v>
      </c>
      <c r="R606" s="1" t="s">
        <v>36</v>
      </c>
      <c r="S606">
        <f>Excel_Advanced_Sales_Dataset_2000__3[[#This Row],[Quantity]]*Excel_Advanced_Sales_Dataset_2000__3[[#This Row],[Unit Price]]*Excel_Advanced_Sales_Dataset_2000__3[[#This Row],[Discount %]]/100</f>
        <v>139543.25478400002</v>
      </c>
      <c r="T606" s="4">
        <f>Excel_Advanced_Sales_Dataset_2000__3[[#This Row],[Quantity]]*Excel_Advanced_Sales_Dataset_2000__3[[#This Row],[Unit Price]]-Excel_Advanced_Sales_Dataset_2000__3[[#This Row],[Discount Amount]]</f>
        <v>594508.58521599998</v>
      </c>
    </row>
    <row r="607" spans="1:20" x14ac:dyDescent="0.25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>
        <v>20</v>
      </c>
      <c r="J607" s="4">
        <v>22517.94</v>
      </c>
      <c r="K607" s="6">
        <v>18.309999999999999</v>
      </c>
      <c r="L607" s="4">
        <v>367898.1</v>
      </c>
      <c r="M607" s="4" t="str" cm="1">
        <f t="array" ref="M607">IF(Excel_Advanced_Sales_Dataset_2000__3[[#This Row],[Total Sales]]&gt;50000,{"Yes"},{"No"})</f>
        <v>Yes</v>
      </c>
      <c r="N607" s="5">
        <v>46250</v>
      </c>
      <c r="O607" s="1" t="s">
        <v>58</v>
      </c>
      <c r="P607" t="s">
        <v>35</v>
      </c>
      <c r="Q607" t="str">
        <f>IF(Excel_Advanced_Sales_Dataset_2000__3[[#This Row],[Delivery Status]]="Pending","Follow Up","Ok")</f>
        <v>Ok</v>
      </c>
      <c r="R607" s="1" t="s">
        <v>26</v>
      </c>
      <c r="S607">
        <f>Excel_Advanced_Sales_Dataset_2000__3[[#This Row],[Quantity]]*Excel_Advanced_Sales_Dataset_2000__3[[#This Row],[Unit Price]]*Excel_Advanced_Sales_Dataset_2000__3[[#This Row],[Discount %]]/100</f>
        <v>82460.696279999989</v>
      </c>
      <c r="T607" s="4">
        <f>Excel_Advanced_Sales_Dataset_2000__3[[#This Row],[Quantity]]*Excel_Advanced_Sales_Dataset_2000__3[[#This Row],[Unit Price]]-Excel_Advanced_Sales_Dataset_2000__3[[#This Row],[Discount Amount]]</f>
        <v>367898.10372000001</v>
      </c>
    </row>
    <row r="608" spans="1:20" x14ac:dyDescent="0.25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>
        <v>14</v>
      </c>
      <c r="J608" s="4">
        <v>1163.6199999999999</v>
      </c>
      <c r="K608" s="6">
        <v>12.52</v>
      </c>
      <c r="L608" s="4">
        <v>14251.09</v>
      </c>
      <c r="M608" s="4" t="str" cm="1">
        <f t="array" ref="M608">IF(Excel_Advanced_Sales_Dataset_2000__3[[#This Row],[Total Sales]]&gt;50000,{"Yes"},{"No"})</f>
        <v>No</v>
      </c>
      <c r="N608" s="5">
        <v>46114</v>
      </c>
      <c r="O608" s="1" t="s">
        <v>68</v>
      </c>
      <c r="P608" t="s">
        <v>35</v>
      </c>
      <c r="Q608" t="str">
        <f>IF(Excel_Advanced_Sales_Dataset_2000__3[[#This Row],[Delivery Status]]="Pending","Follow Up","Ok")</f>
        <v>Ok</v>
      </c>
      <c r="R608" s="1" t="s">
        <v>53</v>
      </c>
      <c r="S608">
        <f>Excel_Advanced_Sales_Dataset_2000__3[[#This Row],[Quantity]]*Excel_Advanced_Sales_Dataset_2000__3[[#This Row],[Unit Price]]*Excel_Advanced_Sales_Dataset_2000__3[[#This Row],[Discount %]]/100</f>
        <v>2039.5931359999997</v>
      </c>
      <c r="T608" s="4">
        <f>Excel_Advanced_Sales_Dataset_2000__3[[#This Row],[Quantity]]*Excel_Advanced_Sales_Dataset_2000__3[[#This Row],[Unit Price]]-Excel_Advanced_Sales_Dataset_2000__3[[#This Row],[Discount Amount]]</f>
        <v>14251.086863999999</v>
      </c>
    </row>
    <row r="609" spans="1:20" x14ac:dyDescent="0.25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>
        <v>43</v>
      </c>
      <c r="J609" s="4">
        <v>46571.94</v>
      </c>
      <c r="K609" s="6">
        <v>5.0199999999999996</v>
      </c>
      <c r="L609" s="4">
        <v>1902063.23</v>
      </c>
      <c r="M609" s="4" t="str" cm="1">
        <f t="array" ref="M609">IF(Excel_Advanced_Sales_Dataset_2000__3[[#This Row],[Total Sales]]&gt;50000,{"Yes"},{"No"})</f>
        <v>Yes</v>
      </c>
      <c r="N609" s="5">
        <v>46214</v>
      </c>
      <c r="O609" s="1" t="s">
        <v>45</v>
      </c>
      <c r="P609" t="s">
        <v>35</v>
      </c>
      <c r="Q609" t="str">
        <f>IF(Excel_Advanced_Sales_Dataset_2000__3[[#This Row],[Delivery Status]]="Pending","Follow Up","Ok")</f>
        <v>Ok</v>
      </c>
      <c r="R609" s="1" t="s">
        <v>36</v>
      </c>
      <c r="S609">
        <f>Excel_Advanced_Sales_Dataset_2000__3[[#This Row],[Quantity]]*Excel_Advanced_Sales_Dataset_2000__3[[#This Row],[Unit Price]]*Excel_Advanced_Sales_Dataset_2000__3[[#This Row],[Discount %]]/100</f>
        <v>100530.189684</v>
      </c>
      <c r="T609" s="4">
        <f>Excel_Advanced_Sales_Dataset_2000__3[[#This Row],[Quantity]]*Excel_Advanced_Sales_Dataset_2000__3[[#This Row],[Unit Price]]-Excel_Advanced_Sales_Dataset_2000__3[[#This Row],[Discount Amount]]</f>
        <v>1902063.2303160001</v>
      </c>
    </row>
    <row r="610" spans="1:20" x14ac:dyDescent="0.25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>
        <v>24</v>
      </c>
      <c r="J610" s="4">
        <v>20282.96</v>
      </c>
      <c r="K610" s="6">
        <v>4.68</v>
      </c>
      <c r="L610" s="4">
        <v>464009.22</v>
      </c>
      <c r="M610" s="4" t="str" cm="1">
        <f t="array" ref="M610">IF(Excel_Advanced_Sales_Dataset_2000__3[[#This Row],[Total Sales]]&gt;50000,{"Yes"},{"No"})</f>
        <v>Yes</v>
      </c>
      <c r="N610" s="5">
        <v>46374</v>
      </c>
      <c r="O610" s="1" t="s">
        <v>58</v>
      </c>
      <c r="P610" t="s">
        <v>35</v>
      </c>
      <c r="Q610" t="str">
        <f>IF(Excel_Advanced_Sales_Dataset_2000__3[[#This Row],[Delivery Status]]="Pending","Follow Up","Ok")</f>
        <v>Ok</v>
      </c>
      <c r="R610" s="1" t="s">
        <v>26</v>
      </c>
      <c r="S610">
        <f>Excel_Advanced_Sales_Dataset_2000__3[[#This Row],[Quantity]]*Excel_Advanced_Sales_Dataset_2000__3[[#This Row],[Unit Price]]*Excel_Advanced_Sales_Dataset_2000__3[[#This Row],[Discount %]]/100</f>
        <v>22781.820671999998</v>
      </c>
      <c r="T610" s="4">
        <f>Excel_Advanced_Sales_Dataset_2000__3[[#This Row],[Quantity]]*Excel_Advanced_Sales_Dataset_2000__3[[#This Row],[Unit Price]]-Excel_Advanced_Sales_Dataset_2000__3[[#This Row],[Discount Amount]]</f>
        <v>464009.21932799998</v>
      </c>
    </row>
    <row r="611" spans="1:20" x14ac:dyDescent="0.25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>
        <v>32</v>
      </c>
      <c r="J611" s="4">
        <v>5491.86</v>
      </c>
      <c r="K611" s="6">
        <v>16.82</v>
      </c>
      <c r="L611" s="4">
        <v>146180.13</v>
      </c>
      <c r="M611" s="4" t="str" cm="1">
        <f t="array" ref="M611">IF(Excel_Advanced_Sales_Dataset_2000__3[[#This Row],[Total Sales]]&gt;50000,{"Yes"},{"No"})</f>
        <v>Yes</v>
      </c>
      <c r="N611" s="5">
        <v>46076</v>
      </c>
      <c r="O611" s="1" t="s">
        <v>113</v>
      </c>
      <c r="P611" t="s">
        <v>35</v>
      </c>
      <c r="Q611" t="str">
        <f>IF(Excel_Advanced_Sales_Dataset_2000__3[[#This Row],[Delivery Status]]="Pending","Follow Up","Ok")</f>
        <v>Ok</v>
      </c>
      <c r="R611" s="1" t="s">
        <v>26</v>
      </c>
      <c r="S611">
        <f>Excel_Advanced_Sales_Dataset_2000__3[[#This Row],[Quantity]]*Excel_Advanced_Sales_Dataset_2000__3[[#This Row],[Unit Price]]*Excel_Advanced_Sales_Dataset_2000__3[[#This Row],[Discount %]]/100</f>
        <v>29559.387264000001</v>
      </c>
      <c r="T611" s="4">
        <f>Excel_Advanced_Sales_Dataset_2000__3[[#This Row],[Quantity]]*Excel_Advanced_Sales_Dataset_2000__3[[#This Row],[Unit Price]]-Excel_Advanced_Sales_Dataset_2000__3[[#This Row],[Discount Amount]]</f>
        <v>146180.132736</v>
      </c>
    </row>
    <row r="612" spans="1:20" x14ac:dyDescent="0.25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>
        <v>20</v>
      </c>
      <c r="J612" s="4">
        <v>857.61</v>
      </c>
      <c r="K612" s="6">
        <v>2.15</v>
      </c>
      <c r="L612" s="4">
        <v>16783.43</v>
      </c>
      <c r="M612" s="4" t="str" cm="1">
        <f t="array" ref="M612">IF(Excel_Advanced_Sales_Dataset_2000__3[[#This Row],[Total Sales]]&gt;50000,{"Yes"},{"No"})</f>
        <v>No</v>
      </c>
      <c r="N612" s="5">
        <v>46043</v>
      </c>
      <c r="O612" s="1" t="s">
        <v>24</v>
      </c>
      <c r="P612" t="s">
        <v>35</v>
      </c>
      <c r="Q612" t="str">
        <f>IF(Excel_Advanced_Sales_Dataset_2000__3[[#This Row],[Delivery Status]]="Pending","Follow Up","Ok")</f>
        <v>Ok</v>
      </c>
      <c r="R612" s="1" t="s">
        <v>36</v>
      </c>
      <c r="S612">
        <f>Excel_Advanced_Sales_Dataset_2000__3[[#This Row],[Quantity]]*Excel_Advanced_Sales_Dataset_2000__3[[#This Row],[Unit Price]]*Excel_Advanced_Sales_Dataset_2000__3[[#This Row],[Discount %]]/100</f>
        <v>368.77230000000003</v>
      </c>
      <c r="T612" s="4">
        <f>Excel_Advanced_Sales_Dataset_2000__3[[#This Row],[Quantity]]*Excel_Advanced_Sales_Dataset_2000__3[[#This Row],[Unit Price]]-Excel_Advanced_Sales_Dataset_2000__3[[#This Row],[Discount Amount]]</f>
        <v>16783.4277</v>
      </c>
    </row>
    <row r="613" spans="1:20" x14ac:dyDescent="0.25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>
        <v>21</v>
      </c>
      <c r="J613" s="4">
        <v>31897.96</v>
      </c>
      <c r="K613" s="6">
        <v>17.09</v>
      </c>
      <c r="L613" s="4">
        <v>555378.56999999995</v>
      </c>
      <c r="M613" s="4" t="str" cm="1">
        <f t="array" ref="M613">IF(Excel_Advanced_Sales_Dataset_2000__3[[#This Row],[Total Sales]]&gt;50000,{"Yes"},{"No"})</f>
        <v>Yes</v>
      </c>
      <c r="N613" s="5">
        <v>46354</v>
      </c>
      <c r="O613" s="1" t="s">
        <v>45</v>
      </c>
      <c r="P613" t="s">
        <v>35</v>
      </c>
      <c r="Q613" t="str">
        <f>IF(Excel_Advanced_Sales_Dataset_2000__3[[#This Row],[Delivery Status]]="Pending","Follow Up","Ok")</f>
        <v>Ok</v>
      </c>
      <c r="R613" s="1" t="s">
        <v>53</v>
      </c>
      <c r="S613">
        <f>Excel_Advanced_Sales_Dataset_2000__3[[#This Row],[Quantity]]*Excel_Advanced_Sales_Dataset_2000__3[[#This Row],[Unit Price]]*Excel_Advanced_Sales_Dataset_2000__3[[#This Row],[Discount %]]/100</f>
        <v>114478.58864400002</v>
      </c>
      <c r="T613" s="4">
        <f>Excel_Advanced_Sales_Dataset_2000__3[[#This Row],[Quantity]]*Excel_Advanced_Sales_Dataset_2000__3[[#This Row],[Unit Price]]-Excel_Advanced_Sales_Dataset_2000__3[[#This Row],[Discount Amount]]</f>
        <v>555378.57135600003</v>
      </c>
    </row>
    <row r="614" spans="1:20" x14ac:dyDescent="0.25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>
        <v>28</v>
      </c>
      <c r="J614" s="4">
        <v>16964.18</v>
      </c>
      <c r="K614" s="6">
        <v>18.61</v>
      </c>
      <c r="L614" s="4">
        <v>386600.09</v>
      </c>
      <c r="M614" s="4" t="str" cm="1">
        <f t="array" ref="M614">IF(Excel_Advanced_Sales_Dataset_2000__3[[#This Row],[Total Sales]]&gt;50000,{"Yes"},{"No"})</f>
        <v>Yes</v>
      </c>
      <c r="N614" s="5">
        <v>46134</v>
      </c>
      <c r="O614" s="1" t="s">
        <v>68</v>
      </c>
      <c r="P614" t="s">
        <v>25</v>
      </c>
      <c r="Q614" t="str">
        <f>IF(Excel_Advanced_Sales_Dataset_2000__3[[#This Row],[Delivery Status]]="Pending","Follow Up","Ok")</f>
        <v>Follow Up</v>
      </c>
      <c r="R614" s="1" t="s">
        <v>53</v>
      </c>
      <c r="S614">
        <f>Excel_Advanced_Sales_Dataset_2000__3[[#This Row],[Quantity]]*Excel_Advanced_Sales_Dataset_2000__3[[#This Row],[Unit Price]]*Excel_Advanced_Sales_Dataset_2000__3[[#This Row],[Discount %]]/100</f>
        <v>88396.949143999998</v>
      </c>
      <c r="T614" s="4">
        <f>Excel_Advanced_Sales_Dataset_2000__3[[#This Row],[Quantity]]*Excel_Advanced_Sales_Dataset_2000__3[[#This Row],[Unit Price]]-Excel_Advanced_Sales_Dataset_2000__3[[#This Row],[Discount Amount]]</f>
        <v>386600.09085600002</v>
      </c>
    </row>
    <row r="615" spans="1:20" x14ac:dyDescent="0.25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>
        <v>20</v>
      </c>
      <c r="J615" s="4">
        <v>36602.239999999998</v>
      </c>
      <c r="K615" s="6">
        <v>14.02</v>
      </c>
      <c r="L615" s="4">
        <v>629412.12</v>
      </c>
      <c r="M615" s="4" t="str" cm="1">
        <f t="array" ref="M615">IF(Excel_Advanced_Sales_Dataset_2000__3[[#This Row],[Total Sales]]&gt;50000,{"Yes"},{"No"})</f>
        <v>Yes</v>
      </c>
      <c r="N615" s="5">
        <v>46296</v>
      </c>
      <c r="O615" s="1" t="s">
        <v>58</v>
      </c>
      <c r="P615" t="s">
        <v>35</v>
      </c>
      <c r="Q615" t="str">
        <f>IF(Excel_Advanced_Sales_Dataset_2000__3[[#This Row],[Delivery Status]]="Pending","Follow Up","Ok")</f>
        <v>Ok</v>
      </c>
      <c r="R615" s="1" t="s">
        <v>36</v>
      </c>
      <c r="S615">
        <f>Excel_Advanced_Sales_Dataset_2000__3[[#This Row],[Quantity]]*Excel_Advanced_Sales_Dataset_2000__3[[#This Row],[Unit Price]]*Excel_Advanced_Sales_Dataset_2000__3[[#This Row],[Discount %]]/100</f>
        <v>102632.68095999998</v>
      </c>
      <c r="T615" s="4">
        <f>Excel_Advanced_Sales_Dataset_2000__3[[#This Row],[Quantity]]*Excel_Advanced_Sales_Dataset_2000__3[[#This Row],[Unit Price]]-Excel_Advanced_Sales_Dataset_2000__3[[#This Row],[Discount Amount]]</f>
        <v>629412.1190399999</v>
      </c>
    </row>
    <row r="616" spans="1:20" x14ac:dyDescent="0.25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>
        <v>37</v>
      </c>
      <c r="J616" s="4">
        <v>37450.379999999997</v>
      </c>
      <c r="K616" s="6">
        <v>2.5099999999999998</v>
      </c>
      <c r="L616" s="4">
        <v>1350883.89</v>
      </c>
      <c r="M616" s="4" t="str" cm="1">
        <f t="array" ref="M616">IF(Excel_Advanced_Sales_Dataset_2000__3[[#This Row],[Total Sales]]&gt;50000,{"Yes"},{"No"})</f>
        <v>Yes</v>
      </c>
      <c r="N616" s="5">
        <v>46296</v>
      </c>
      <c r="O616" s="1" t="s">
        <v>24</v>
      </c>
      <c r="P616" t="s">
        <v>35</v>
      </c>
      <c r="Q616" t="str">
        <f>IF(Excel_Advanced_Sales_Dataset_2000__3[[#This Row],[Delivery Status]]="Pending","Follow Up","Ok")</f>
        <v>Ok</v>
      </c>
      <c r="R616" s="1" t="s">
        <v>26</v>
      </c>
      <c r="S616">
        <f>Excel_Advanced_Sales_Dataset_2000__3[[#This Row],[Quantity]]*Excel_Advanced_Sales_Dataset_2000__3[[#This Row],[Unit Price]]*Excel_Advanced_Sales_Dataset_2000__3[[#This Row],[Discount %]]/100</f>
        <v>34780.167905999995</v>
      </c>
      <c r="T616" s="4">
        <f>Excel_Advanced_Sales_Dataset_2000__3[[#This Row],[Quantity]]*Excel_Advanced_Sales_Dataset_2000__3[[#This Row],[Unit Price]]-Excel_Advanced_Sales_Dataset_2000__3[[#This Row],[Discount Amount]]</f>
        <v>1350883.8920939998</v>
      </c>
    </row>
    <row r="617" spans="1:20" x14ac:dyDescent="0.25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>
        <v>34</v>
      </c>
      <c r="J617" s="4">
        <v>16205.13</v>
      </c>
      <c r="K617" s="6">
        <v>15.2</v>
      </c>
      <c r="L617" s="4">
        <v>467226.31</v>
      </c>
      <c r="M617" s="4" t="str" cm="1">
        <f t="array" ref="M617">IF(Excel_Advanced_Sales_Dataset_2000__3[[#This Row],[Total Sales]]&gt;50000,{"Yes"},{"No"})</f>
        <v>Yes</v>
      </c>
      <c r="N617" s="5">
        <v>46030</v>
      </c>
      <c r="O617" s="1" t="s">
        <v>24</v>
      </c>
      <c r="P617" t="s">
        <v>35</v>
      </c>
      <c r="Q617" t="str">
        <f>IF(Excel_Advanced_Sales_Dataset_2000__3[[#This Row],[Delivery Status]]="Pending","Follow Up","Ok")</f>
        <v>Ok</v>
      </c>
      <c r="R617" s="1" t="s">
        <v>36</v>
      </c>
      <c r="S617">
        <f>Excel_Advanced_Sales_Dataset_2000__3[[#This Row],[Quantity]]*Excel_Advanced_Sales_Dataset_2000__3[[#This Row],[Unit Price]]*Excel_Advanced_Sales_Dataset_2000__3[[#This Row],[Discount %]]/100</f>
        <v>83748.111839999983</v>
      </c>
      <c r="T617" s="4">
        <f>Excel_Advanced_Sales_Dataset_2000__3[[#This Row],[Quantity]]*Excel_Advanced_Sales_Dataset_2000__3[[#This Row],[Unit Price]]-Excel_Advanced_Sales_Dataset_2000__3[[#This Row],[Discount Amount]]</f>
        <v>467226.30815999996</v>
      </c>
    </row>
    <row r="618" spans="1:20" x14ac:dyDescent="0.25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>
        <v>44</v>
      </c>
      <c r="J618" s="4">
        <v>19335.169999999998</v>
      </c>
      <c r="K618" s="6">
        <v>11.14</v>
      </c>
      <c r="L618" s="4">
        <v>755974.21</v>
      </c>
      <c r="M618" s="4" t="str" cm="1">
        <f t="array" ref="M618">IF(Excel_Advanced_Sales_Dataset_2000__3[[#This Row],[Total Sales]]&gt;50000,{"Yes"},{"No"})</f>
        <v>Yes</v>
      </c>
      <c r="N618" s="5">
        <v>46077</v>
      </c>
      <c r="O618" s="1" t="s">
        <v>58</v>
      </c>
      <c r="P618" t="s">
        <v>35</v>
      </c>
      <c r="Q618" t="str">
        <f>IF(Excel_Advanced_Sales_Dataset_2000__3[[#This Row],[Delivery Status]]="Pending","Follow Up","Ok")</f>
        <v>Ok</v>
      </c>
      <c r="R618" s="1" t="s">
        <v>36</v>
      </c>
      <c r="S618">
        <f>Excel_Advanced_Sales_Dataset_2000__3[[#This Row],[Quantity]]*Excel_Advanced_Sales_Dataset_2000__3[[#This Row],[Unit Price]]*Excel_Advanced_Sales_Dataset_2000__3[[#This Row],[Discount %]]/100</f>
        <v>94773.269272000005</v>
      </c>
      <c r="T618" s="4">
        <f>Excel_Advanced_Sales_Dataset_2000__3[[#This Row],[Quantity]]*Excel_Advanced_Sales_Dataset_2000__3[[#This Row],[Unit Price]]-Excel_Advanced_Sales_Dataset_2000__3[[#This Row],[Discount Amount]]</f>
        <v>755974.21072799992</v>
      </c>
    </row>
    <row r="619" spans="1:20" x14ac:dyDescent="0.25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>
        <v>14</v>
      </c>
      <c r="J619" s="4">
        <v>40961.06</v>
      </c>
      <c r="K619" s="6">
        <v>15.46</v>
      </c>
      <c r="L619" s="4">
        <v>484798.71999999997</v>
      </c>
      <c r="M619" s="4" t="str" cm="1">
        <f t="array" ref="M619">IF(Excel_Advanced_Sales_Dataset_2000__3[[#This Row],[Total Sales]]&gt;50000,{"Yes"},{"No"})</f>
        <v>Yes</v>
      </c>
      <c r="N619" s="5">
        <v>46102</v>
      </c>
      <c r="O619" s="1" t="s">
        <v>58</v>
      </c>
      <c r="P619" t="s">
        <v>35</v>
      </c>
      <c r="Q619" t="str">
        <f>IF(Excel_Advanced_Sales_Dataset_2000__3[[#This Row],[Delivery Status]]="Pending","Follow Up","Ok")</f>
        <v>Ok</v>
      </c>
      <c r="R619" s="1" t="s">
        <v>26</v>
      </c>
      <c r="S619">
        <f>Excel_Advanced_Sales_Dataset_2000__3[[#This Row],[Quantity]]*Excel_Advanced_Sales_Dataset_2000__3[[#This Row],[Unit Price]]*Excel_Advanced_Sales_Dataset_2000__3[[#This Row],[Discount %]]/100</f>
        <v>88656.118264000004</v>
      </c>
      <c r="T619" s="4">
        <f>Excel_Advanced_Sales_Dataset_2000__3[[#This Row],[Quantity]]*Excel_Advanced_Sales_Dataset_2000__3[[#This Row],[Unit Price]]-Excel_Advanced_Sales_Dataset_2000__3[[#This Row],[Discount Amount]]</f>
        <v>484798.72173599998</v>
      </c>
    </row>
    <row r="620" spans="1:20" x14ac:dyDescent="0.25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>
        <v>9</v>
      </c>
      <c r="J620" s="4">
        <v>12346.67</v>
      </c>
      <c r="K620" s="6">
        <v>19.41</v>
      </c>
      <c r="L620" s="4">
        <v>89551.63</v>
      </c>
      <c r="M620" s="4" t="str" cm="1">
        <f t="array" ref="M620">IF(Excel_Advanced_Sales_Dataset_2000__3[[#This Row],[Total Sales]]&gt;50000,{"Yes"},{"No"})</f>
        <v>Yes</v>
      </c>
      <c r="N620" s="5">
        <v>46044</v>
      </c>
      <c r="O620" s="1" t="s">
        <v>68</v>
      </c>
      <c r="P620" t="s">
        <v>59</v>
      </c>
      <c r="Q620" t="str">
        <f>IF(Excel_Advanced_Sales_Dataset_2000__3[[#This Row],[Delivery Status]]="Pending","Follow Up","Ok")</f>
        <v>Ok</v>
      </c>
      <c r="R620" s="1" t="s">
        <v>36</v>
      </c>
      <c r="S620">
        <f>Excel_Advanced_Sales_Dataset_2000__3[[#This Row],[Quantity]]*Excel_Advanced_Sales_Dataset_2000__3[[#This Row],[Unit Price]]*Excel_Advanced_Sales_Dataset_2000__3[[#This Row],[Discount %]]/100</f>
        <v>21568.397822999999</v>
      </c>
      <c r="T620" s="4">
        <f>Excel_Advanced_Sales_Dataset_2000__3[[#This Row],[Quantity]]*Excel_Advanced_Sales_Dataset_2000__3[[#This Row],[Unit Price]]-Excel_Advanced_Sales_Dataset_2000__3[[#This Row],[Discount Amount]]</f>
        <v>89551.632176999992</v>
      </c>
    </row>
    <row r="621" spans="1:20" x14ac:dyDescent="0.25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>
        <v>2</v>
      </c>
      <c r="J621" s="4">
        <v>37694.080000000002</v>
      </c>
      <c r="K621" s="6">
        <v>15.34</v>
      </c>
      <c r="L621" s="4">
        <v>63823.62</v>
      </c>
      <c r="M621" s="4" t="str" cm="1">
        <f t="array" ref="M621">IF(Excel_Advanced_Sales_Dataset_2000__3[[#This Row],[Total Sales]]&gt;50000,{"Yes"},{"No"})</f>
        <v>Yes</v>
      </c>
      <c r="N621" s="5">
        <v>46183</v>
      </c>
      <c r="O621" s="1" t="s">
        <v>113</v>
      </c>
      <c r="P621" t="s">
        <v>25</v>
      </c>
      <c r="Q621" t="str">
        <f>IF(Excel_Advanced_Sales_Dataset_2000__3[[#This Row],[Delivery Status]]="Pending","Follow Up","Ok")</f>
        <v>Follow Up</v>
      </c>
      <c r="R621" s="1" t="s">
        <v>53</v>
      </c>
      <c r="S621">
        <f>Excel_Advanced_Sales_Dataset_2000__3[[#This Row],[Quantity]]*Excel_Advanced_Sales_Dataset_2000__3[[#This Row],[Unit Price]]*Excel_Advanced_Sales_Dataset_2000__3[[#This Row],[Discount %]]/100</f>
        <v>11564.543744000001</v>
      </c>
      <c r="T621" s="4">
        <f>Excel_Advanced_Sales_Dataset_2000__3[[#This Row],[Quantity]]*Excel_Advanced_Sales_Dataset_2000__3[[#This Row],[Unit Price]]-Excel_Advanced_Sales_Dataset_2000__3[[#This Row],[Discount Amount]]</f>
        <v>63823.616256000001</v>
      </c>
    </row>
    <row r="622" spans="1:20" x14ac:dyDescent="0.25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>
        <v>17</v>
      </c>
      <c r="J622" s="4">
        <v>9170.4500000000007</v>
      </c>
      <c r="K622" s="6">
        <v>17.77</v>
      </c>
      <c r="L622" s="4">
        <v>128194.64</v>
      </c>
      <c r="M622" s="4" t="str" cm="1">
        <f t="array" ref="M622">IF(Excel_Advanced_Sales_Dataset_2000__3[[#This Row],[Total Sales]]&gt;50000,{"Yes"},{"No"})</f>
        <v>Yes</v>
      </c>
      <c r="N622" s="5">
        <v>46214</v>
      </c>
      <c r="O622" s="1" t="s">
        <v>24</v>
      </c>
      <c r="P622" t="s">
        <v>35</v>
      </c>
      <c r="Q622" t="str">
        <f>IF(Excel_Advanced_Sales_Dataset_2000__3[[#This Row],[Delivery Status]]="Pending","Follow Up","Ok")</f>
        <v>Ok</v>
      </c>
      <c r="R622" s="1" t="s">
        <v>36</v>
      </c>
      <c r="S622">
        <f>Excel_Advanced_Sales_Dataset_2000__3[[#This Row],[Quantity]]*Excel_Advanced_Sales_Dataset_2000__3[[#This Row],[Unit Price]]*Excel_Advanced_Sales_Dataset_2000__3[[#This Row],[Discount %]]/100</f>
        <v>27703.012405000001</v>
      </c>
      <c r="T622" s="4">
        <f>Excel_Advanced_Sales_Dataset_2000__3[[#This Row],[Quantity]]*Excel_Advanced_Sales_Dataset_2000__3[[#This Row],[Unit Price]]-Excel_Advanced_Sales_Dataset_2000__3[[#This Row],[Discount Amount]]</f>
        <v>128194.63759500002</v>
      </c>
    </row>
    <row r="623" spans="1:20" x14ac:dyDescent="0.25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>
        <v>8</v>
      </c>
      <c r="J623" s="4">
        <v>29159.02</v>
      </c>
      <c r="K623" s="6">
        <v>14.83</v>
      </c>
      <c r="L623" s="4">
        <v>198677.9</v>
      </c>
      <c r="M623" s="4" t="str" cm="1">
        <f t="array" ref="M623">IF(Excel_Advanced_Sales_Dataset_2000__3[[#This Row],[Total Sales]]&gt;50000,{"Yes"},{"No"})</f>
        <v>Yes</v>
      </c>
      <c r="N623" s="5">
        <v>46293</v>
      </c>
      <c r="O623" s="1" t="s">
        <v>113</v>
      </c>
      <c r="P623" t="s">
        <v>35</v>
      </c>
      <c r="Q623" t="str">
        <f>IF(Excel_Advanced_Sales_Dataset_2000__3[[#This Row],[Delivery Status]]="Pending","Follow Up","Ok")</f>
        <v>Ok</v>
      </c>
      <c r="R623" s="1" t="s">
        <v>36</v>
      </c>
      <c r="S623">
        <f>Excel_Advanced_Sales_Dataset_2000__3[[#This Row],[Quantity]]*Excel_Advanced_Sales_Dataset_2000__3[[#This Row],[Unit Price]]*Excel_Advanced_Sales_Dataset_2000__3[[#This Row],[Discount %]]/100</f>
        <v>34594.261328000001</v>
      </c>
      <c r="T623" s="4">
        <f>Excel_Advanced_Sales_Dataset_2000__3[[#This Row],[Quantity]]*Excel_Advanced_Sales_Dataset_2000__3[[#This Row],[Unit Price]]-Excel_Advanced_Sales_Dataset_2000__3[[#This Row],[Discount Amount]]</f>
        <v>198677.89867200001</v>
      </c>
    </row>
    <row r="624" spans="1:20" x14ac:dyDescent="0.25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>
        <v>46</v>
      </c>
      <c r="J624" s="4">
        <v>26587.23</v>
      </c>
      <c r="K624" s="6">
        <v>16.47</v>
      </c>
      <c r="L624" s="4">
        <v>1021582.41</v>
      </c>
      <c r="M624" s="4" t="str" cm="1">
        <f t="array" ref="M624">IF(Excel_Advanced_Sales_Dataset_2000__3[[#This Row],[Total Sales]]&gt;50000,{"Yes"},{"No"})</f>
        <v>Yes</v>
      </c>
      <c r="N624" s="5">
        <v>46300</v>
      </c>
      <c r="O624" s="1" t="s">
        <v>58</v>
      </c>
      <c r="P624" t="s">
        <v>59</v>
      </c>
      <c r="Q624" t="str">
        <f>IF(Excel_Advanced_Sales_Dataset_2000__3[[#This Row],[Delivery Status]]="Pending","Follow Up","Ok")</f>
        <v>Ok</v>
      </c>
      <c r="R624" s="1" t="s">
        <v>26</v>
      </c>
      <c r="S624">
        <f>Excel_Advanced_Sales_Dataset_2000__3[[#This Row],[Quantity]]*Excel_Advanced_Sales_Dataset_2000__3[[#This Row],[Unit Price]]*Excel_Advanced_Sales_Dataset_2000__3[[#This Row],[Discount %]]/100</f>
        <v>201430.17192600001</v>
      </c>
      <c r="T624" s="4">
        <f>Excel_Advanced_Sales_Dataset_2000__3[[#This Row],[Quantity]]*Excel_Advanced_Sales_Dataset_2000__3[[#This Row],[Unit Price]]-Excel_Advanced_Sales_Dataset_2000__3[[#This Row],[Discount Amount]]</f>
        <v>1021582.408074</v>
      </c>
    </row>
    <row r="625" spans="1:20" x14ac:dyDescent="0.25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>
        <v>49</v>
      </c>
      <c r="J625" s="4">
        <v>43646.66</v>
      </c>
      <c r="K625" s="6">
        <v>2.74</v>
      </c>
      <c r="L625" s="4">
        <v>2080086.33</v>
      </c>
      <c r="M625" s="4" t="str" cm="1">
        <f t="array" ref="M625">IF(Excel_Advanced_Sales_Dataset_2000__3[[#This Row],[Total Sales]]&gt;50000,{"Yes"},{"No"})</f>
        <v>Yes</v>
      </c>
      <c r="N625" s="5">
        <v>46191</v>
      </c>
      <c r="O625" s="1" t="s">
        <v>68</v>
      </c>
      <c r="P625" t="s">
        <v>35</v>
      </c>
      <c r="Q625" t="str">
        <f>IF(Excel_Advanced_Sales_Dataset_2000__3[[#This Row],[Delivery Status]]="Pending","Follow Up","Ok")</f>
        <v>Ok</v>
      </c>
      <c r="R625" s="1" t="s">
        <v>36</v>
      </c>
      <c r="S625">
        <f>Excel_Advanced_Sales_Dataset_2000__3[[#This Row],[Quantity]]*Excel_Advanced_Sales_Dataset_2000__3[[#This Row],[Unit Price]]*Excel_Advanced_Sales_Dataset_2000__3[[#This Row],[Discount %]]/100</f>
        <v>58600.005716000014</v>
      </c>
      <c r="T625" s="4">
        <f>Excel_Advanced_Sales_Dataset_2000__3[[#This Row],[Quantity]]*Excel_Advanced_Sales_Dataset_2000__3[[#This Row],[Unit Price]]-Excel_Advanced_Sales_Dataset_2000__3[[#This Row],[Discount Amount]]</f>
        <v>2080086.3342840003</v>
      </c>
    </row>
    <row r="626" spans="1:20" x14ac:dyDescent="0.25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>
        <v>50</v>
      </c>
      <c r="J626" s="4">
        <v>3972.88</v>
      </c>
      <c r="K626" s="6">
        <v>13.77</v>
      </c>
      <c r="L626" s="4">
        <v>171290.72</v>
      </c>
      <c r="M626" s="4" t="str" cm="1">
        <f t="array" ref="M626">IF(Excel_Advanced_Sales_Dataset_2000__3[[#This Row],[Total Sales]]&gt;50000,{"Yes"},{"No"})</f>
        <v>Yes</v>
      </c>
      <c r="N626" s="5">
        <v>46335</v>
      </c>
      <c r="O626" s="1" t="s">
        <v>113</v>
      </c>
      <c r="P626" t="s">
        <v>35</v>
      </c>
      <c r="Q626" t="str">
        <f>IF(Excel_Advanced_Sales_Dataset_2000__3[[#This Row],[Delivery Status]]="Pending","Follow Up","Ok")</f>
        <v>Ok</v>
      </c>
      <c r="R626" s="1" t="s">
        <v>36</v>
      </c>
      <c r="S626">
        <f>Excel_Advanced_Sales_Dataset_2000__3[[#This Row],[Quantity]]*Excel_Advanced_Sales_Dataset_2000__3[[#This Row],[Unit Price]]*Excel_Advanced_Sales_Dataset_2000__3[[#This Row],[Discount %]]/100</f>
        <v>27353.2788</v>
      </c>
      <c r="T626" s="4">
        <f>Excel_Advanced_Sales_Dataset_2000__3[[#This Row],[Quantity]]*Excel_Advanced_Sales_Dataset_2000__3[[#This Row],[Unit Price]]-Excel_Advanced_Sales_Dataset_2000__3[[#This Row],[Discount Amount]]</f>
        <v>171290.7212</v>
      </c>
    </row>
    <row r="627" spans="1:20" x14ac:dyDescent="0.25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>
        <v>33</v>
      </c>
      <c r="J627" s="4">
        <v>8085.55</v>
      </c>
      <c r="K627" s="6">
        <v>11.79</v>
      </c>
      <c r="L627" s="4">
        <v>235364.7</v>
      </c>
      <c r="M627" s="4" t="str" cm="1">
        <f t="array" ref="M627">IF(Excel_Advanced_Sales_Dataset_2000__3[[#This Row],[Total Sales]]&gt;50000,{"Yes"},{"No"})</f>
        <v>Yes</v>
      </c>
      <c r="N627" s="5">
        <v>46360</v>
      </c>
      <c r="O627" s="1" t="s">
        <v>68</v>
      </c>
      <c r="P627" t="s">
        <v>35</v>
      </c>
      <c r="Q627" t="str">
        <f>IF(Excel_Advanced_Sales_Dataset_2000__3[[#This Row],[Delivery Status]]="Pending","Follow Up","Ok")</f>
        <v>Ok</v>
      </c>
      <c r="R627" s="1" t="s">
        <v>53</v>
      </c>
      <c r="S627">
        <f>Excel_Advanced_Sales_Dataset_2000__3[[#This Row],[Quantity]]*Excel_Advanced_Sales_Dataset_2000__3[[#This Row],[Unit Price]]*Excel_Advanced_Sales_Dataset_2000__3[[#This Row],[Discount %]]/100</f>
        <v>31458.449385</v>
      </c>
      <c r="T627" s="4">
        <f>Excel_Advanced_Sales_Dataset_2000__3[[#This Row],[Quantity]]*Excel_Advanced_Sales_Dataset_2000__3[[#This Row],[Unit Price]]-Excel_Advanced_Sales_Dataset_2000__3[[#This Row],[Discount Amount]]</f>
        <v>235364.70061500004</v>
      </c>
    </row>
    <row r="628" spans="1:20" x14ac:dyDescent="0.25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>
        <v>35</v>
      </c>
      <c r="J628" s="4">
        <v>31277.86</v>
      </c>
      <c r="K628" s="6">
        <v>19.149999999999999</v>
      </c>
      <c r="L628" s="4">
        <v>885085.24</v>
      </c>
      <c r="M628" s="4" t="str" cm="1">
        <f t="array" ref="M628">IF(Excel_Advanced_Sales_Dataset_2000__3[[#This Row],[Total Sales]]&gt;50000,{"Yes"},{"No"})</f>
        <v>Yes</v>
      </c>
      <c r="N628" s="5">
        <v>46341</v>
      </c>
      <c r="O628" s="1" t="s">
        <v>24</v>
      </c>
      <c r="P628" t="s">
        <v>35</v>
      </c>
      <c r="Q628" t="str">
        <f>IF(Excel_Advanced_Sales_Dataset_2000__3[[#This Row],[Delivery Status]]="Pending","Follow Up","Ok")</f>
        <v>Ok</v>
      </c>
      <c r="R628" s="1" t="s">
        <v>53</v>
      </c>
      <c r="S628">
        <f>Excel_Advanced_Sales_Dataset_2000__3[[#This Row],[Quantity]]*Excel_Advanced_Sales_Dataset_2000__3[[#This Row],[Unit Price]]*Excel_Advanced_Sales_Dataset_2000__3[[#This Row],[Discount %]]/100</f>
        <v>209639.85665</v>
      </c>
      <c r="T628" s="4">
        <f>Excel_Advanced_Sales_Dataset_2000__3[[#This Row],[Quantity]]*Excel_Advanced_Sales_Dataset_2000__3[[#This Row],[Unit Price]]-Excel_Advanced_Sales_Dataset_2000__3[[#This Row],[Discount Amount]]</f>
        <v>885085.24335000012</v>
      </c>
    </row>
    <row r="629" spans="1:20" x14ac:dyDescent="0.25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>
        <v>21</v>
      </c>
      <c r="J629" s="4">
        <v>6276.28</v>
      </c>
      <c r="K629" s="6">
        <v>0.86</v>
      </c>
      <c r="L629" s="4">
        <v>130668.38</v>
      </c>
      <c r="M629" s="4" t="str" cm="1">
        <f t="array" ref="M629">IF(Excel_Advanced_Sales_Dataset_2000__3[[#This Row],[Total Sales]]&gt;50000,{"Yes"},{"No"})</f>
        <v>Yes</v>
      </c>
      <c r="N629" s="5">
        <v>46117</v>
      </c>
      <c r="O629" s="1" t="s">
        <v>58</v>
      </c>
      <c r="P629" t="s">
        <v>35</v>
      </c>
      <c r="Q629" t="str">
        <f>IF(Excel_Advanced_Sales_Dataset_2000__3[[#This Row],[Delivery Status]]="Pending","Follow Up","Ok")</f>
        <v>Ok</v>
      </c>
      <c r="R629" s="1" t="s">
        <v>36</v>
      </c>
      <c r="S629">
        <f>Excel_Advanced_Sales_Dataset_2000__3[[#This Row],[Quantity]]*Excel_Advanced_Sales_Dataset_2000__3[[#This Row],[Unit Price]]*Excel_Advanced_Sales_Dataset_2000__3[[#This Row],[Discount %]]/100</f>
        <v>1133.4961680000001</v>
      </c>
      <c r="T629" s="4">
        <f>Excel_Advanced_Sales_Dataset_2000__3[[#This Row],[Quantity]]*Excel_Advanced_Sales_Dataset_2000__3[[#This Row],[Unit Price]]-Excel_Advanced_Sales_Dataset_2000__3[[#This Row],[Discount Amount]]</f>
        <v>130668.38383200001</v>
      </c>
    </row>
    <row r="630" spans="1:20" x14ac:dyDescent="0.25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>
        <v>43</v>
      </c>
      <c r="J630" s="4">
        <v>22031.37</v>
      </c>
      <c r="K630" s="6">
        <v>10.26</v>
      </c>
      <c r="L630" s="4">
        <v>850150.91</v>
      </c>
      <c r="M630" s="4" t="str" cm="1">
        <f t="array" ref="M630">IF(Excel_Advanced_Sales_Dataset_2000__3[[#This Row],[Total Sales]]&gt;50000,{"Yes"},{"No"})</f>
        <v>Yes</v>
      </c>
      <c r="N630" s="5">
        <v>46038</v>
      </c>
      <c r="O630" s="1" t="s">
        <v>68</v>
      </c>
      <c r="P630" t="s">
        <v>25</v>
      </c>
      <c r="Q630" t="str">
        <f>IF(Excel_Advanced_Sales_Dataset_2000__3[[#This Row],[Delivery Status]]="Pending","Follow Up","Ok")</f>
        <v>Follow Up</v>
      </c>
      <c r="R630" s="1" t="s">
        <v>36</v>
      </c>
      <c r="S630">
        <f>Excel_Advanced_Sales_Dataset_2000__3[[#This Row],[Quantity]]*Excel_Advanced_Sales_Dataset_2000__3[[#This Row],[Unit Price]]*Excel_Advanced_Sales_Dataset_2000__3[[#This Row],[Discount %]]/100</f>
        <v>97197.99816599999</v>
      </c>
      <c r="T630" s="4">
        <f>Excel_Advanced_Sales_Dataset_2000__3[[#This Row],[Quantity]]*Excel_Advanced_Sales_Dataset_2000__3[[#This Row],[Unit Price]]-Excel_Advanced_Sales_Dataset_2000__3[[#This Row],[Discount Amount]]</f>
        <v>850150.91183399991</v>
      </c>
    </row>
    <row r="631" spans="1:20" x14ac:dyDescent="0.25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>
        <v>45</v>
      </c>
      <c r="J631" s="4">
        <v>21814.47</v>
      </c>
      <c r="K631" s="6">
        <v>17.53</v>
      </c>
      <c r="L631" s="4">
        <v>809567.7</v>
      </c>
      <c r="M631" s="4" t="str" cm="1">
        <f t="array" ref="M631">IF(Excel_Advanced_Sales_Dataset_2000__3[[#This Row],[Total Sales]]&gt;50000,{"Yes"},{"No"})</f>
        <v>Yes</v>
      </c>
      <c r="N631" s="5">
        <v>46352</v>
      </c>
      <c r="O631" s="1" t="s">
        <v>45</v>
      </c>
      <c r="P631" t="s">
        <v>35</v>
      </c>
      <c r="Q631" t="str">
        <f>IF(Excel_Advanced_Sales_Dataset_2000__3[[#This Row],[Delivery Status]]="Pending","Follow Up","Ok")</f>
        <v>Ok</v>
      </c>
      <c r="R631" s="1" t="s">
        <v>53</v>
      </c>
      <c r="S631">
        <f>Excel_Advanced_Sales_Dataset_2000__3[[#This Row],[Quantity]]*Excel_Advanced_Sales_Dataset_2000__3[[#This Row],[Unit Price]]*Excel_Advanced_Sales_Dataset_2000__3[[#This Row],[Discount %]]/100</f>
        <v>172083.44659500002</v>
      </c>
      <c r="T631" s="4">
        <f>Excel_Advanced_Sales_Dataset_2000__3[[#This Row],[Quantity]]*Excel_Advanced_Sales_Dataset_2000__3[[#This Row],[Unit Price]]-Excel_Advanced_Sales_Dataset_2000__3[[#This Row],[Discount Amount]]</f>
        <v>809567.70340500004</v>
      </c>
    </row>
    <row r="632" spans="1:20" x14ac:dyDescent="0.25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>
        <v>28</v>
      </c>
      <c r="J632" s="4">
        <v>23163.06</v>
      </c>
      <c r="K632" s="6">
        <v>8.56</v>
      </c>
      <c r="L632" s="4">
        <v>593048.46</v>
      </c>
      <c r="M632" s="4" t="str" cm="1">
        <f t="array" ref="M632">IF(Excel_Advanced_Sales_Dataset_2000__3[[#This Row],[Total Sales]]&gt;50000,{"Yes"},{"No"})</f>
        <v>Yes</v>
      </c>
      <c r="N632" s="5">
        <v>46231</v>
      </c>
      <c r="O632" s="1" t="s">
        <v>68</v>
      </c>
      <c r="P632" t="s">
        <v>35</v>
      </c>
      <c r="Q632" t="str">
        <f>IF(Excel_Advanced_Sales_Dataset_2000__3[[#This Row],[Delivery Status]]="Pending","Follow Up","Ok")</f>
        <v>Ok</v>
      </c>
      <c r="R632" s="1" t="s">
        <v>53</v>
      </c>
      <c r="S632">
        <f>Excel_Advanced_Sales_Dataset_2000__3[[#This Row],[Quantity]]*Excel_Advanced_Sales_Dataset_2000__3[[#This Row],[Unit Price]]*Excel_Advanced_Sales_Dataset_2000__3[[#This Row],[Discount %]]/100</f>
        <v>55517.222208000014</v>
      </c>
      <c r="T632" s="4">
        <f>Excel_Advanced_Sales_Dataset_2000__3[[#This Row],[Quantity]]*Excel_Advanced_Sales_Dataset_2000__3[[#This Row],[Unit Price]]-Excel_Advanced_Sales_Dataset_2000__3[[#This Row],[Discount Amount]]</f>
        <v>593048.45779200003</v>
      </c>
    </row>
    <row r="633" spans="1:20" x14ac:dyDescent="0.25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>
        <v>36</v>
      </c>
      <c r="J633" s="4">
        <v>9072.69</v>
      </c>
      <c r="K633" s="6">
        <v>3.76</v>
      </c>
      <c r="L633" s="4">
        <v>314336.05</v>
      </c>
      <c r="M633" s="4" t="str" cm="1">
        <f t="array" ref="M633">IF(Excel_Advanced_Sales_Dataset_2000__3[[#This Row],[Total Sales]]&gt;50000,{"Yes"},{"No"})</f>
        <v>Yes</v>
      </c>
      <c r="N633" s="5">
        <v>46071</v>
      </c>
      <c r="O633" s="1" t="s">
        <v>45</v>
      </c>
      <c r="P633" t="s">
        <v>25</v>
      </c>
      <c r="Q633" t="str">
        <f>IF(Excel_Advanced_Sales_Dataset_2000__3[[#This Row],[Delivery Status]]="Pending","Follow Up","Ok")</f>
        <v>Follow Up</v>
      </c>
      <c r="R633" s="1" t="s">
        <v>26</v>
      </c>
      <c r="S633">
        <f>Excel_Advanced_Sales_Dataset_2000__3[[#This Row],[Quantity]]*Excel_Advanced_Sales_Dataset_2000__3[[#This Row],[Unit Price]]*Excel_Advanced_Sales_Dataset_2000__3[[#This Row],[Discount %]]/100</f>
        <v>12280.793184</v>
      </c>
      <c r="T633" s="4">
        <f>Excel_Advanced_Sales_Dataset_2000__3[[#This Row],[Quantity]]*Excel_Advanced_Sales_Dataset_2000__3[[#This Row],[Unit Price]]-Excel_Advanced_Sales_Dataset_2000__3[[#This Row],[Discount Amount]]</f>
        <v>314336.04681600002</v>
      </c>
    </row>
    <row r="634" spans="1:20" x14ac:dyDescent="0.25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>
        <v>14</v>
      </c>
      <c r="J634" s="4">
        <v>9284.26</v>
      </c>
      <c r="K634" s="6">
        <v>11.56</v>
      </c>
      <c r="L634" s="4">
        <v>114953.99</v>
      </c>
      <c r="M634" s="4" t="str" cm="1">
        <f t="array" ref="M634">IF(Excel_Advanced_Sales_Dataset_2000__3[[#This Row],[Total Sales]]&gt;50000,{"Yes"},{"No"})</f>
        <v>Yes</v>
      </c>
      <c r="N634" s="5">
        <v>46236</v>
      </c>
      <c r="O634" s="1" t="s">
        <v>45</v>
      </c>
      <c r="P634" t="s">
        <v>25</v>
      </c>
      <c r="Q634" t="str">
        <f>IF(Excel_Advanced_Sales_Dataset_2000__3[[#This Row],[Delivery Status]]="Pending","Follow Up","Ok")</f>
        <v>Follow Up</v>
      </c>
      <c r="R634" s="1" t="s">
        <v>36</v>
      </c>
      <c r="S634">
        <f>Excel_Advanced_Sales_Dataset_2000__3[[#This Row],[Quantity]]*Excel_Advanced_Sales_Dataset_2000__3[[#This Row],[Unit Price]]*Excel_Advanced_Sales_Dataset_2000__3[[#This Row],[Discount %]]/100</f>
        <v>15025.646384</v>
      </c>
      <c r="T634" s="4">
        <f>Excel_Advanced_Sales_Dataset_2000__3[[#This Row],[Quantity]]*Excel_Advanced_Sales_Dataset_2000__3[[#This Row],[Unit Price]]-Excel_Advanced_Sales_Dataset_2000__3[[#This Row],[Discount Amount]]</f>
        <v>114953.99361599999</v>
      </c>
    </row>
    <row r="635" spans="1:20" x14ac:dyDescent="0.25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>
        <v>40</v>
      </c>
      <c r="J635" s="4">
        <v>4936.66</v>
      </c>
      <c r="K635" s="6">
        <v>10.27</v>
      </c>
      <c r="L635" s="4">
        <v>177186.6</v>
      </c>
      <c r="M635" s="4" t="str" cm="1">
        <f t="array" ref="M635">IF(Excel_Advanced_Sales_Dataset_2000__3[[#This Row],[Total Sales]]&gt;50000,{"Yes"},{"No"})</f>
        <v>Yes</v>
      </c>
      <c r="N635" s="5">
        <v>46176</v>
      </c>
      <c r="O635" s="1" t="s">
        <v>68</v>
      </c>
      <c r="P635" t="s">
        <v>59</v>
      </c>
      <c r="Q635" t="str">
        <f>IF(Excel_Advanced_Sales_Dataset_2000__3[[#This Row],[Delivery Status]]="Pending","Follow Up","Ok")</f>
        <v>Ok</v>
      </c>
      <c r="R635" s="1" t="s">
        <v>36</v>
      </c>
      <c r="S635">
        <f>Excel_Advanced_Sales_Dataset_2000__3[[#This Row],[Quantity]]*Excel_Advanced_Sales_Dataset_2000__3[[#This Row],[Unit Price]]*Excel_Advanced_Sales_Dataset_2000__3[[#This Row],[Discount %]]/100</f>
        <v>20279.799279999999</v>
      </c>
      <c r="T635" s="4">
        <f>Excel_Advanced_Sales_Dataset_2000__3[[#This Row],[Quantity]]*Excel_Advanced_Sales_Dataset_2000__3[[#This Row],[Unit Price]]-Excel_Advanced_Sales_Dataset_2000__3[[#This Row],[Discount Amount]]</f>
        <v>177186.60071999999</v>
      </c>
    </row>
    <row r="636" spans="1:20" x14ac:dyDescent="0.25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>
        <v>32</v>
      </c>
      <c r="J636" s="4">
        <v>17109.810000000001</v>
      </c>
      <c r="K636" s="6">
        <v>14.15</v>
      </c>
      <c r="L636" s="4">
        <v>470040.7</v>
      </c>
      <c r="M636" s="4" t="str" cm="1">
        <f t="array" ref="M636">IF(Excel_Advanced_Sales_Dataset_2000__3[[#This Row],[Total Sales]]&gt;50000,{"Yes"},{"No"})</f>
        <v>Yes</v>
      </c>
      <c r="N636" s="5">
        <v>46294</v>
      </c>
      <c r="O636" s="1" t="s">
        <v>45</v>
      </c>
      <c r="P636" t="s">
        <v>35</v>
      </c>
      <c r="Q636" t="str">
        <f>IF(Excel_Advanced_Sales_Dataset_2000__3[[#This Row],[Delivery Status]]="Pending","Follow Up","Ok")</f>
        <v>Ok</v>
      </c>
      <c r="R636" s="1" t="s">
        <v>36</v>
      </c>
      <c r="S636">
        <f>Excel_Advanced_Sales_Dataset_2000__3[[#This Row],[Quantity]]*Excel_Advanced_Sales_Dataset_2000__3[[#This Row],[Unit Price]]*Excel_Advanced_Sales_Dataset_2000__3[[#This Row],[Discount %]]/100</f>
        <v>77473.219680000009</v>
      </c>
      <c r="T636" s="4">
        <f>Excel_Advanced_Sales_Dataset_2000__3[[#This Row],[Quantity]]*Excel_Advanced_Sales_Dataset_2000__3[[#This Row],[Unit Price]]-Excel_Advanced_Sales_Dataset_2000__3[[#This Row],[Discount Amount]]</f>
        <v>470040.70032000006</v>
      </c>
    </row>
    <row r="637" spans="1:20" x14ac:dyDescent="0.25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>
        <v>39</v>
      </c>
      <c r="J637" s="4">
        <v>44067.199999999997</v>
      </c>
      <c r="K637" s="6">
        <v>12.02</v>
      </c>
      <c r="L637" s="4">
        <v>1512042.58</v>
      </c>
      <c r="M637" s="4" t="str" cm="1">
        <f t="array" ref="M637">IF(Excel_Advanced_Sales_Dataset_2000__3[[#This Row],[Total Sales]]&gt;50000,{"Yes"},{"No"})</f>
        <v>Yes</v>
      </c>
      <c r="N637" s="5">
        <v>46365</v>
      </c>
      <c r="O637" s="1" t="s">
        <v>24</v>
      </c>
      <c r="P637" t="s">
        <v>25</v>
      </c>
      <c r="Q637" t="str">
        <f>IF(Excel_Advanced_Sales_Dataset_2000__3[[#This Row],[Delivery Status]]="Pending","Follow Up","Ok")</f>
        <v>Follow Up</v>
      </c>
      <c r="R637" s="1" t="s">
        <v>53</v>
      </c>
      <c r="S637">
        <f>Excel_Advanced_Sales_Dataset_2000__3[[#This Row],[Quantity]]*Excel_Advanced_Sales_Dataset_2000__3[[#This Row],[Unit Price]]*Excel_Advanced_Sales_Dataset_2000__3[[#This Row],[Discount %]]/100</f>
        <v>206578.22015999994</v>
      </c>
      <c r="T637" s="4">
        <f>Excel_Advanced_Sales_Dataset_2000__3[[#This Row],[Quantity]]*Excel_Advanced_Sales_Dataset_2000__3[[#This Row],[Unit Price]]-Excel_Advanced_Sales_Dataset_2000__3[[#This Row],[Discount Amount]]</f>
        <v>1512042.5798399998</v>
      </c>
    </row>
    <row r="638" spans="1:20" x14ac:dyDescent="0.25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>
        <v>20</v>
      </c>
      <c r="J638" s="4">
        <v>25496.21</v>
      </c>
      <c r="K638" s="6">
        <v>1.36</v>
      </c>
      <c r="L638" s="4">
        <v>502989.23</v>
      </c>
      <c r="M638" s="4" t="str" cm="1">
        <f t="array" ref="M638">IF(Excel_Advanced_Sales_Dataset_2000__3[[#This Row],[Total Sales]]&gt;50000,{"Yes"},{"No"})</f>
        <v>Yes</v>
      </c>
      <c r="N638" s="5">
        <v>46273</v>
      </c>
      <c r="O638" s="1" t="s">
        <v>24</v>
      </c>
      <c r="P638" t="s">
        <v>35</v>
      </c>
      <c r="Q638" t="str">
        <f>IF(Excel_Advanced_Sales_Dataset_2000__3[[#This Row],[Delivery Status]]="Pending","Follow Up","Ok")</f>
        <v>Ok</v>
      </c>
      <c r="R638" s="1" t="s">
        <v>36</v>
      </c>
      <c r="S638">
        <f>Excel_Advanced_Sales_Dataset_2000__3[[#This Row],[Quantity]]*Excel_Advanced_Sales_Dataset_2000__3[[#This Row],[Unit Price]]*Excel_Advanced_Sales_Dataset_2000__3[[#This Row],[Discount %]]/100</f>
        <v>6934.9691199999997</v>
      </c>
      <c r="T638" s="4">
        <f>Excel_Advanced_Sales_Dataset_2000__3[[#This Row],[Quantity]]*Excel_Advanced_Sales_Dataset_2000__3[[#This Row],[Unit Price]]-Excel_Advanced_Sales_Dataset_2000__3[[#This Row],[Discount Amount]]</f>
        <v>502989.23087999993</v>
      </c>
    </row>
    <row r="639" spans="1:20" x14ac:dyDescent="0.25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>
        <v>23</v>
      </c>
      <c r="J639" s="4">
        <v>40272.19</v>
      </c>
      <c r="K639" s="6">
        <v>13.84</v>
      </c>
      <c r="L639" s="4">
        <v>798065.93</v>
      </c>
      <c r="M639" s="4" t="str" cm="1">
        <f t="array" ref="M639">IF(Excel_Advanced_Sales_Dataset_2000__3[[#This Row],[Total Sales]]&gt;50000,{"Yes"},{"No"})</f>
        <v>Yes</v>
      </c>
      <c r="N639" s="5">
        <v>46109</v>
      </c>
      <c r="O639" s="1" t="s">
        <v>45</v>
      </c>
      <c r="P639" t="s">
        <v>35</v>
      </c>
      <c r="Q639" t="str">
        <f>IF(Excel_Advanced_Sales_Dataset_2000__3[[#This Row],[Delivery Status]]="Pending","Follow Up","Ok")</f>
        <v>Ok</v>
      </c>
      <c r="R639" s="1" t="s">
        <v>36</v>
      </c>
      <c r="S639">
        <f>Excel_Advanced_Sales_Dataset_2000__3[[#This Row],[Quantity]]*Excel_Advanced_Sales_Dataset_2000__3[[#This Row],[Unit Price]]*Excel_Advanced_Sales_Dataset_2000__3[[#This Row],[Discount %]]/100</f>
        <v>128194.43520800002</v>
      </c>
      <c r="T639" s="4">
        <f>Excel_Advanced_Sales_Dataset_2000__3[[#This Row],[Quantity]]*Excel_Advanced_Sales_Dataset_2000__3[[#This Row],[Unit Price]]-Excel_Advanced_Sales_Dataset_2000__3[[#This Row],[Discount Amount]]</f>
        <v>798065.9347920001</v>
      </c>
    </row>
    <row r="640" spans="1:20" x14ac:dyDescent="0.25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>
        <v>34</v>
      </c>
      <c r="J640" s="4">
        <v>9055.8700000000008</v>
      </c>
      <c r="K640" s="6">
        <v>4.17</v>
      </c>
      <c r="L640" s="4">
        <v>295060.17</v>
      </c>
      <c r="M640" s="4" t="str" cm="1">
        <f t="array" ref="M640">IF(Excel_Advanced_Sales_Dataset_2000__3[[#This Row],[Total Sales]]&gt;50000,{"Yes"},{"No"})</f>
        <v>Yes</v>
      </c>
      <c r="N640" s="5">
        <v>46298</v>
      </c>
      <c r="O640" s="1" t="s">
        <v>68</v>
      </c>
      <c r="P640" t="s">
        <v>25</v>
      </c>
      <c r="Q640" t="str">
        <f>IF(Excel_Advanced_Sales_Dataset_2000__3[[#This Row],[Delivery Status]]="Pending","Follow Up","Ok")</f>
        <v>Follow Up</v>
      </c>
      <c r="R640" s="1" t="s">
        <v>36</v>
      </c>
      <c r="S640">
        <f>Excel_Advanced_Sales_Dataset_2000__3[[#This Row],[Quantity]]*Excel_Advanced_Sales_Dataset_2000__3[[#This Row],[Unit Price]]*Excel_Advanced_Sales_Dataset_2000__3[[#This Row],[Discount %]]/100</f>
        <v>12839.412486000001</v>
      </c>
      <c r="T640" s="4">
        <f>Excel_Advanced_Sales_Dataset_2000__3[[#This Row],[Quantity]]*Excel_Advanced_Sales_Dataset_2000__3[[#This Row],[Unit Price]]-Excel_Advanced_Sales_Dataset_2000__3[[#This Row],[Discount Amount]]</f>
        <v>295060.16751400003</v>
      </c>
    </row>
    <row r="641" spans="1:20" x14ac:dyDescent="0.25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>
        <v>42</v>
      </c>
      <c r="J641" s="4">
        <v>47546.1</v>
      </c>
      <c r="K641" s="6">
        <v>18.66</v>
      </c>
      <c r="L641" s="4">
        <v>1624307.91</v>
      </c>
      <c r="M641" s="4" t="str" cm="1">
        <f t="array" ref="M641">IF(Excel_Advanced_Sales_Dataset_2000__3[[#This Row],[Total Sales]]&gt;50000,{"Yes"},{"No"})</f>
        <v>Yes</v>
      </c>
      <c r="N641" s="5">
        <v>46314</v>
      </c>
      <c r="O641" s="1" t="s">
        <v>113</v>
      </c>
      <c r="P641" t="s">
        <v>35</v>
      </c>
      <c r="Q641" t="str">
        <f>IF(Excel_Advanced_Sales_Dataset_2000__3[[#This Row],[Delivery Status]]="Pending","Follow Up","Ok")</f>
        <v>Ok</v>
      </c>
      <c r="R641" s="1" t="s">
        <v>26</v>
      </c>
      <c r="S641">
        <f>Excel_Advanced_Sales_Dataset_2000__3[[#This Row],[Quantity]]*Excel_Advanced_Sales_Dataset_2000__3[[#This Row],[Unit Price]]*Excel_Advanced_Sales_Dataset_2000__3[[#This Row],[Discount %]]/100</f>
        <v>372628.29492000001</v>
      </c>
      <c r="T641" s="4">
        <f>Excel_Advanced_Sales_Dataset_2000__3[[#This Row],[Quantity]]*Excel_Advanced_Sales_Dataset_2000__3[[#This Row],[Unit Price]]-Excel_Advanced_Sales_Dataset_2000__3[[#This Row],[Discount Amount]]</f>
        <v>1624307.9050799999</v>
      </c>
    </row>
    <row r="642" spans="1:20" x14ac:dyDescent="0.25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>
        <v>3</v>
      </c>
      <c r="J642" s="4">
        <v>39263.620000000003</v>
      </c>
      <c r="K642" s="6">
        <v>7.05</v>
      </c>
      <c r="L642" s="4">
        <v>109486.6</v>
      </c>
      <c r="M642" s="4" t="str" cm="1">
        <f t="array" ref="M642">IF(Excel_Advanced_Sales_Dataset_2000__3[[#This Row],[Total Sales]]&gt;50000,{"Yes"},{"No"})</f>
        <v>Yes</v>
      </c>
      <c r="N642" s="5">
        <v>46323</v>
      </c>
      <c r="O642" s="1" t="s">
        <v>58</v>
      </c>
      <c r="P642" t="s">
        <v>35</v>
      </c>
      <c r="Q642" t="str">
        <f>IF(Excel_Advanced_Sales_Dataset_2000__3[[#This Row],[Delivery Status]]="Pending","Follow Up","Ok")</f>
        <v>Ok</v>
      </c>
      <c r="R642" s="1" t="s">
        <v>36</v>
      </c>
      <c r="S642">
        <f>Excel_Advanced_Sales_Dataset_2000__3[[#This Row],[Quantity]]*Excel_Advanced_Sales_Dataset_2000__3[[#This Row],[Unit Price]]*Excel_Advanced_Sales_Dataset_2000__3[[#This Row],[Discount %]]/100</f>
        <v>8304.2556300000015</v>
      </c>
      <c r="T642" s="4">
        <f>Excel_Advanced_Sales_Dataset_2000__3[[#This Row],[Quantity]]*Excel_Advanced_Sales_Dataset_2000__3[[#This Row],[Unit Price]]-Excel_Advanced_Sales_Dataset_2000__3[[#This Row],[Discount Amount]]</f>
        <v>109486.60437000002</v>
      </c>
    </row>
    <row r="643" spans="1:20" x14ac:dyDescent="0.25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>
        <v>43</v>
      </c>
      <c r="J643" s="4">
        <v>23078.05</v>
      </c>
      <c r="K643" s="6">
        <v>12.01</v>
      </c>
      <c r="L643" s="4">
        <v>873174.18</v>
      </c>
      <c r="M643" s="4" t="str" cm="1">
        <f t="array" ref="M643">IF(Excel_Advanced_Sales_Dataset_2000__3[[#This Row],[Total Sales]]&gt;50000,{"Yes"},{"No"})</f>
        <v>Yes</v>
      </c>
      <c r="N643" s="5">
        <v>46057</v>
      </c>
      <c r="O643" s="1" t="s">
        <v>113</v>
      </c>
      <c r="P643" t="s">
        <v>35</v>
      </c>
      <c r="Q643" t="str">
        <f>IF(Excel_Advanced_Sales_Dataset_2000__3[[#This Row],[Delivery Status]]="Pending","Follow Up","Ok")</f>
        <v>Ok</v>
      </c>
      <c r="R643" s="1" t="s">
        <v>26</v>
      </c>
      <c r="S643">
        <f>Excel_Advanced_Sales_Dataset_2000__3[[#This Row],[Quantity]]*Excel_Advanced_Sales_Dataset_2000__3[[#This Row],[Unit Price]]*Excel_Advanced_Sales_Dataset_2000__3[[#This Row],[Discount %]]/100</f>
        <v>119181.97361500001</v>
      </c>
      <c r="T643" s="4">
        <f>Excel_Advanced_Sales_Dataset_2000__3[[#This Row],[Quantity]]*Excel_Advanced_Sales_Dataset_2000__3[[#This Row],[Unit Price]]-Excel_Advanced_Sales_Dataset_2000__3[[#This Row],[Discount Amount]]</f>
        <v>873174.176385</v>
      </c>
    </row>
    <row r="644" spans="1:20" x14ac:dyDescent="0.25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>
        <v>6</v>
      </c>
      <c r="J644" s="4">
        <v>15649.89</v>
      </c>
      <c r="K644" s="6">
        <v>2.0299999999999998</v>
      </c>
      <c r="L644" s="4">
        <v>91993.18</v>
      </c>
      <c r="M644" s="4" t="str" cm="1">
        <f t="array" ref="M644">IF(Excel_Advanced_Sales_Dataset_2000__3[[#This Row],[Total Sales]]&gt;50000,{"Yes"},{"No"})</f>
        <v>Yes</v>
      </c>
      <c r="N644" s="5">
        <v>46176</v>
      </c>
      <c r="O644" s="1" t="s">
        <v>58</v>
      </c>
      <c r="P644" t="s">
        <v>35</v>
      </c>
      <c r="Q644" t="str">
        <f>IF(Excel_Advanced_Sales_Dataset_2000__3[[#This Row],[Delivery Status]]="Pending","Follow Up","Ok")</f>
        <v>Ok</v>
      </c>
      <c r="R644" s="1" t="s">
        <v>53</v>
      </c>
      <c r="S644">
        <f>Excel_Advanced_Sales_Dataset_2000__3[[#This Row],[Quantity]]*Excel_Advanced_Sales_Dataset_2000__3[[#This Row],[Unit Price]]*Excel_Advanced_Sales_Dataset_2000__3[[#This Row],[Discount %]]/100</f>
        <v>1906.1566019999998</v>
      </c>
      <c r="T644" s="4">
        <f>Excel_Advanced_Sales_Dataset_2000__3[[#This Row],[Quantity]]*Excel_Advanced_Sales_Dataset_2000__3[[#This Row],[Unit Price]]-Excel_Advanced_Sales_Dataset_2000__3[[#This Row],[Discount Amount]]</f>
        <v>91993.183397999994</v>
      </c>
    </row>
    <row r="645" spans="1:20" x14ac:dyDescent="0.25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>
        <v>30</v>
      </c>
      <c r="J645" s="4">
        <v>20935.599999999999</v>
      </c>
      <c r="K645" s="6">
        <v>2.95</v>
      </c>
      <c r="L645" s="4">
        <v>609539.99</v>
      </c>
      <c r="M645" s="4" t="str" cm="1">
        <f t="array" ref="M645">IF(Excel_Advanced_Sales_Dataset_2000__3[[#This Row],[Total Sales]]&gt;50000,{"Yes"},{"No"})</f>
        <v>Yes</v>
      </c>
      <c r="N645" s="5">
        <v>46287</v>
      </c>
      <c r="O645" s="1" t="s">
        <v>68</v>
      </c>
      <c r="P645" t="s">
        <v>35</v>
      </c>
      <c r="Q645" t="str">
        <f>IF(Excel_Advanced_Sales_Dataset_2000__3[[#This Row],[Delivery Status]]="Pending","Follow Up","Ok")</f>
        <v>Ok</v>
      </c>
      <c r="R645" s="1" t="s">
        <v>36</v>
      </c>
      <c r="S645">
        <f>Excel_Advanced_Sales_Dataset_2000__3[[#This Row],[Quantity]]*Excel_Advanced_Sales_Dataset_2000__3[[#This Row],[Unit Price]]*Excel_Advanced_Sales_Dataset_2000__3[[#This Row],[Discount %]]/100</f>
        <v>18528.006000000001</v>
      </c>
      <c r="T645" s="4">
        <f>Excel_Advanced_Sales_Dataset_2000__3[[#This Row],[Quantity]]*Excel_Advanced_Sales_Dataset_2000__3[[#This Row],[Unit Price]]-Excel_Advanced_Sales_Dataset_2000__3[[#This Row],[Discount Amount]]</f>
        <v>609539.99399999995</v>
      </c>
    </row>
    <row r="646" spans="1:20" x14ac:dyDescent="0.25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>
        <v>26</v>
      </c>
      <c r="J646" s="4">
        <v>28472.5</v>
      </c>
      <c r="K646" s="6">
        <v>2.67</v>
      </c>
      <c r="L646" s="4">
        <v>720519.39</v>
      </c>
      <c r="M646" s="4" t="str" cm="1">
        <f t="array" ref="M646">IF(Excel_Advanced_Sales_Dataset_2000__3[[#This Row],[Total Sales]]&gt;50000,{"Yes"},{"No"})</f>
        <v>Yes</v>
      </c>
      <c r="N646" s="5">
        <v>46322</v>
      </c>
      <c r="O646" s="1" t="s">
        <v>68</v>
      </c>
      <c r="P646" t="s">
        <v>35</v>
      </c>
      <c r="Q646" t="str">
        <f>IF(Excel_Advanced_Sales_Dataset_2000__3[[#This Row],[Delivery Status]]="Pending","Follow Up","Ok")</f>
        <v>Ok</v>
      </c>
      <c r="R646" s="1" t="s">
        <v>26</v>
      </c>
      <c r="S646">
        <f>Excel_Advanced_Sales_Dataset_2000__3[[#This Row],[Quantity]]*Excel_Advanced_Sales_Dataset_2000__3[[#This Row],[Unit Price]]*Excel_Advanced_Sales_Dataset_2000__3[[#This Row],[Discount %]]/100</f>
        <v>19765.609499999999</v>
      </c>
      <c r="T646" s="4">
        <f>Excel_Advanced_Sales_Dataset_2000__3[[#This Row],[Quantity]]*Excel_Advanced_Sales_Dataset_2000__3[[#This Row],[Unit Price]]-Excel_Advanced_Sales_Dataset_2000__3[[#This Row],[Discount Amount]]</f>
        <v>720519.39049999998</v>
      </c>
    </row>
    <row r="647" spans="1:20" x14ac:dyDescent="0.25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>
        <v>15</v>
      </c>
      <c r="J647" s="4">
        <v>1050</v>
      </c>
      <c r="K647" s="6">
        <v>5.61</v>
      </c>
      <c r="L647" s="4">
        <v>14866.42</v>
      </c>
      <c r="M647" s="4" t="str" cm="1">
        <f t="array" ref="M647">IF(Excel_Advanced_Sales_Dataset_2000__3[[#This Row],[Total Sales]]&gt;50000,{"Yes"},{"No"})</f>
        <v>No</v>
      </c>
      <c r="N647" s="5">
        <v>46215</v>
      </c>
      <c r="O647" s="1" t="s">
        <v>68</v>
      </c>
      <c r="P647" t="s">
        <v>35</v>
      </c>
      <c r="Q647" t="str">
        <f>IF(Excel_Advanced_Sales_Dataset_2000__3[[#This Row],[Delivery Status]]="Pending","Follow Up","Ok")</f>
        <v>Ok</v>
      </c>
      <c r="R647" s="1" t="s">
        <v>36</v>
      </c>
      <c r="S647">
        <f>Excel_Advanced_Sales_Dataset_2000__3[[#This Row],[Quantity]]*Excel_Advanced_Sales_Dataset_2000__3[[#This Row],[Unit Price]]*Excel_Advanced_Sales_Dataset_2000__3[[#This Row],[Discount %]]/100</f>
        <v>883.57500000000005</v>
      </c>
      <c r="T647" s="4">
        <f>Excel_Advanced_Sales_Dataset_2000__3[[#This Row],[Quantity]]*Excel_Advanced_Sales_Dataset_2000__3[[#This Row],[Unit Price]]-Excel_Advanced_Sales_Dataset_2000__3[[#This Row],[Discount Amount]]</f>
        <v>14866.424999999999</v>
      </c>
    </row>
    <row r="648" spans="1:20" x14ac:dyDescent="0.25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>
        <v>42</v>
      </c>
      <c r="J648" s="4">
        <v>21737.61</v>
      </c>
      <c r="K648" s="6">
        <v>0</v>
      </c>
      <c r="L648" s="4">
        <v>912979.62</v>
      </c>
      <c r="M648" s="4" t="str" cm="1">
        <f t="array" ref="M648">IF(Excel_Advanced_Sales_Dataset_2000__3[[#This Row],[Total Sales]]&gt;50000,{"Yes"},{"No"})</f>
        <v>Yes</v>
      </c>
      <c r="N648" s="5">
        <v>46163</v>
      </c>
      <c r="O648" s="1" t="s">
        <v>24</v>
      </c>
      <c r="P648" t="s">
        <v>35</v>
      </c>
      <c r="Q648" t="str">
        <f>IF(Excel_Advanced_Sales_Dataset_2000__3[[#This Row],[Delivery Status]]="Pending","Follow Up","Ok")</f>
        <v>Ok</v>
      </c>
      <c r="R648" s="1" t="s">
        <v>26</v>
      </c>
      <c r="S648">
        <f>Excel_Advanced_Sales_Dataset_2000__3[[#This Row],[Quantity]]*Excel_Advanced_Sales_Dataset_2000__3[[#This Row],[Unit Price]]*Excel_Advanced_Sales_Dataset_2000__3[[#This Row],[Discount %]]/100</f>
        <v>0</v>
      </c>
      <c r="T648" s="4">
        <f>Excel_Advanced_Sales_Dataset_2000__3[[#This Row],[Quantity]]*Excel_Advanced_Sales_Dataset_2000__3[[#This Row],[Unit Price]]-Excel_Advanced_Sales_Dataset_2000__3[[#This Row],[Discount Amount]]</f>
        <v>912979.62</v>
      </c>
    </row>
    <row r="649" spans="1:20" x14ac:dyDescent="0.25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>
        <v>38</v>
      </c>
      <c r="J649" s="4">
        <v>48478.1</v>
      </c>
      <c r="K649" s="6">
        <v>3.79</v>
      </c>
      <c r="L649" s="4">
        <v>1772349.64</v>
      </c>
      <c r="M649" s="4" t="str" cm="1">
        <f t="array" ref="M649">IF(Excel_Advanced_Sales_Dataset_2000__3[[#This Row],[Total Sales]]&gt;50000,{"Yes"},{"No"})</f>
        <v>Yes</v>
      </c>
      <c r="N649" s="5">
        <v>46256</v>
      </c>
      <c r="O649" s="1" t="s">
        <v>45</v>
      </c>
      <c r="P649" t="s">
        <v>35</v>
      </c>
      <c r="Q649" t="str">
        <f>IF(Excel_Advanced_Sales_Dataset_2000__3[[#This Row],[Delivery Status]]="Pending","Follow Up","Ok")</f>
        <v>Ok</v>
      </c>
      <c r="R649" s="1" t="s">
        <v>26</v>
      </c>
      <c r="S649">
        <f>Excel_Advanced_Sales_Dataset_2000__3[[#This Row],[Quantity]]*Excel_Advanced_Sales_Dataset_2000__3[[#This Row],[Unit Price]]*Excel_Advanced_Sales_Dataset_2000__3[[#This Row],[Discount %]]/100</f>
        <v>69818.159620000006</v>
      </c>
      <c r="T649" s="4">
        <f>Excel_Advanced_Sales_Dataset_2000__3[[#This Row],[Quantity]]*Excel_Advanced_Sales_Dataset_2000__3[[#This Row],[Unit Price]]-Excel_Advanced_Sales_Dataset_2000__3[[#This Row],[Discount Amount]]</f>
        <v>1772349.64038</v>
      </c>
    </row>
    <row r="650" spans="1:20" x14ac:dyDescent="0.25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>
        <v>47</v>
      </c>
      <c r="J650" s="4">
        <v>25384.02</v>
      </c>
      <c r="K650" s="6">
        <v>9.33</v>
      </c>
      <c r="L650" s="4">
        <v>1081737.47</v>
      </c>
      <c r="M650" s="4" t="str" cm="1">
        <f t="array" ref="M650">IF(Excel_Advanced_Sales_Dataset_2000__3[[#This Row],[Total Sales]]&gt;50000,{"Yes"},{"No"})</f>
        <v>Yes</v>
      </c>
      <c r="N650" s="5">
        <v>46327</v>
      </c>
      <c r="O650" s="1" t="s">
        <v>113</v>
      </c>
      <c r="P650" t="s">
        <v>35</v>
      </c>
      <c r="Q650" t="str">
        <f>IF(Excel_Advanced_Sales_Dataset_2000__3[[#This Row],[Delivery Status]]="Pending","Follow Up","Ok")</f>
        <v>Ok</v>
      </c>
      <c r="R650" s="1" t="s">
        <v>26</v>
      </c>
      <c r="S650">
        <f>Excel_Advanced_Sales_Dataset_2000__3[[#This Row],[Quantity]]*Excel_Advanced_Sales_Dataset_2000__3[[#This Row],[Unit Price]]*Excel_Advanced_Sales_Dataset_2000__3[[#This Row],[Discount %]]/100</f>
        <v>111311.46610199999</v>
      </c>
      <c r="T650" s="4">
        <f>Excel_Advanced_Sales_Dataset_2000__3[[#This Row],[Quantity]]*Excel_Advanced_Sales_Dataset_2000__3[[#This Row],[Unit Price]]-Excel_Advanced_Sales_Dataset_2000__3[[#This Row],[Discount Amount]]</f>
        <v>1081737.4738979999</v>
      </c>
    </row>
    <row r="651" spans="1:20" x14ac:dyDescent="0.25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>
        <v>41</v>
      </c>
      <c r="J651" s="4">
        <v>1741.29</v>
      </c>
      <c r="K651" s="6">
        <v>4.6100000000000003</v>
      </c>
      <c r="L651" s="4">
        <v>68101.679999999993</v>
      </c>
      <c r="M651" s="4" t="str" cm="1">
        <f t="array" ref="M651">IF(Excel_Advanced_Sales_Dataset_2000__3[[#This Row],[Total Sales]]&gt;50000,{"Yes"},{"No"})</f>
        <v>Yes</v>
      </c>
      <c r="N651" s="5">
        <v>46326</v>
      </c>
      <c r="O651" s="1" t="s">
        <v>58</v>
      </c>
      <c r="P651" t="s">
        <v>35</v>
      </c>
      <c r="Q651" t="str">
        <f>IF(Excel_Advanced_Sales_Dataset_2000__3[[#This Row],[Delivery Status]]="Pending","Follow Up","Ok")</f>
        <v>Ok</v>
      </c>
      <c r="R651" s="1" t="s">
        <v>53</v>
      </c>
      <c r="S651">
        <f>Excel_Advanced_Sales_Dataset_2000__3[[#This Row],[Quantity]]*Excel_Advanced_Sales_Dataset_2000__3[[#This Row],[Unit Price]]*Excel_Advanced_Sales_Dataset_2000__3[[#This Row],[Discount %]]/100</f>
        <v>3291.2122289999998</v>
      </c>
      <c r="T651" s="4">
        <f>Excel_Advanced_Sales_Dataset_2000__3[[#This Row],[Quantity]]*Excel_Advanced_Sales_Dataset_2000__3[[#This Row],[Unit Price]]-Excel_Advanced_Sales_Dataset_2000__3[[#This Row],[Discount Amount]]</f>
        <v>68101.677771000002</v>
      </c>
    </row>
    <row r="652" spans="1:20" x14ac:dyDescent="0.25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>
        <v>46</v>
      </c>
      <c r="J652" s="4">
        <v>48145.89</v>
      </c>
      <c r="K652" s="6">
        <v>6.22</v>
      </c>
      <c r="L652" s="4">
        <v>2076955.92</v>
      </c>
      <c r="M652" s="4" t="str" cm="1">
        <f t="array" ref="M652">IF(Excel_Advanced_Sales_Dataset_2000__3[[#This Row],[Total Sales]]&gt;50000,{"Yes"},{"No"})</f>
        <v>Yes</v>
      </c>
      <c r="N652" s="5">
        <v>46277</v>
      </c>
      <c r="O652" s="1" t="s">
        <v>58</v>
      </c>
      <c r="P652" t="s">
        <v>35</v>
      </c>
      <c r="Q652" t="str">
        <f>IF(Excel_Advanced_Sales_Dataset_2000__3[[#This Row],[Delivery Status]]="Pending","Follow Up","Ok")</f>
        <v>Ok</v>
      </c>
      <c r="R652" s="1" t="s">
        <v>53</v>
      </c>
      <c r="S652">
        <f>Excel_Advanced_Sales_Dataset_2000__3[[#This Row],[Quantity]]*Excel_Advanced_Sales_Dataset_2000__3[[#This Row],[Unit Price]]*Excel_Advanced_Sales_Dataset_2000__3[[#This Row],[Discount %]]/100</f>
        <v>137755.02046799997</v>
      </c>
      <c r="T652" s="4">
        <f>Excel_Advanced_Sales_Dataset_2000__3[[#This Row],[Quantity]]*Excel_Advanced_Sales_Dataset_2000__3[[#This Row],[Unit Price]]-Excel_Advanced_Sales_Dataset_2000__3[[#This Row],[Discount Amount]]</f>
        <v>2076955.9195320001</v>
      </c>
    </row>
    <row r="653" spans="1:20" x14ac:dyDescent="0.25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>
        <v>28</v>
      </c>
      <c r="J653" s="4">
        <v>26690.86</v>
      </c>
      <c r="K653" s="6">
        <v>12.94</v>
      </c>
      <c r="L653" s="4">
        <v>650637.76</v>
      </c>
      <c r="M653" s="4" t="str" cm="1">
        <f t="array" ref="M653">IF(Excel_Advanced_Sales_Dataset_2000__3[[#This Row],[Total Sales]]&gt;50000,{"Yes"},{"No"})</f>
        <v>Yes</v>
      </c>
      <c r="N653" s="5">
        <v>46090</v>
      </c>
      <c r="O653" s="1" t="s">
        <v>24</v>
      </c>
      <c r="P653" t="s">
        <v>35</v>
      </c>
      <c r="Q653" t="str">
        <f>IF(Excel_Advanced_Sales_Dataset_2000__3[[#This Row],[Delivery Status]]="Pending","Follow Up","Ok")</f>
        <v>Ok</v>
      </c>
      <c r="R653" s="1" t="s">
        <v>36</v>
      </c>
      <c r="S653">
        <f>Excel_Advanced_Sales_Dataset_2000__3[[#This Row],[Quantity]]*Excel_Advanced_Sales_Dataset_2000__3[[#This Row],[Unit Price]]*Excel_Advanced_Sales_Dataset_2000__3[[#This Row],[Discount %]]/100</f>
        <v>96706.323952000006</v>
      </c>
      <c r="T653" s="4">
        <f>Excel_Advanced_Sales_Dataset_2000__3[[#This Row],[Quantity]]*Excel_Advanced_Sales_Dataset_2000__3[[#This Row],[Unit Price]]-Excel_Advanced_Sales_Dataset_2000__3[[#This Row],[Discount Amount]]</f>
        <v>650637.75604800007</v>
      </c>
    </row>
    <row r="654" spans="1:20" x14ac:dyDescent="0.25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>
        <v>41</v>
      </c>
      <c r="J654" s="4">
        <v>12039.29</v>
      </c>
      <c r="K654" s="6">
        <v>7.67</v>
      </c>
      <c r="L654" s="4">
        <v>455750.93</v>
      </c>
      <c r="M654" s="4" t="str" cm="1">
        <f t="array" ref="M654">IF(Excel_Advanced_Sales_Dataset_2000__3[[#This Row],[Total Sales]]&gt;50000,{"Yes"},{"No"})</f>
        <v>Yes</v>
      </c>
      <c r="N654" s="5">
        <v>46100</v>
      </c>
      <c r="O654" s="1" t="s">
        <v>58</v>
      </c>
      <c r="P654" t="s">
        <v>35</v>
      </c>
      <c r="Q654" t="str">
        <f>IF(Excel_Advanced_Sales_Dataset_2000__3[[#This Row],[Delivery Status]]="Pending","Follow Up","Ok")</f>
        <v>Ok</v>
      </c>
      <c r="R654" s="1" t="s">
        <v>26</v>
      </c>
      <c r="S654">
        <f>Excel_Advanced_Sales_Dataset_2000__3[[#This Row],[Quantity]]*Excel_Advanced_Sales_Dataset_2000__3[[#This Row],[Unit Price]]*Excel_Advanced_Sales_Dataset_2000__3[[#This Row],[Discount %]]/100</f>
        <v>37859.955263000003</v>
      </c>
      <c r="T654" s="4">
        <f>Excel_Advanced_Sales_Dataset_2000__3[[#This Row],[Quantity]]*Excel_Advanced_Sales_Dataset_2000__3[[#This Row],[Unit Price]]-Excel_Advanced_Sales_Dataset_2000__3[[#This Row],[Discount Amount]]</f>
        <v>455750.93473700003</v>
      </c>
    </row>
    <row r="655" spans="1:20" x14ac:dyDescent="0.25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>
        <v>24</v>
      </c>
      <c r="J655" s="4">
        <v>28432.02</v>
      </c>
      <c r="K655" s="6">
        <v>0.28999999999999998</v>
      </c>
      <c r="L655" s="4">
        <v>680389.61</v>
      </c>
      <c r="M655" s="4" t="str" cm="1">
        <f t="array" ref="M655">IF(Excel_Advanced_Sales_Dataset_2000__3[[#This Row],[Total Sales]]&gt;50000,{"Yes"},{"No"})</f>
        <v>Yes</v>
      </c>
      <c r="N655" s="5">
        <v>46226</v>
      </c>
      <c r="O655" s="1" t="s">
        <v>45</v>
      </c>
      <c r="P655" t="s">
        <v>25</v>
      </c>
      <c r="Q655" t="str">
        <f>IF(Excel_Advanced_Sales_Dataset_2000__3[[#This Row],[Delivery Status]]="Pending","Follow Up","Ok")</f>
        <v>Follow Up</v>
      </c>
      <c r="R655" s="1" t="s">
        <v>36</v>
      </c>
      <c r="S655">
        <f>Excel_Advanced_Sales_Dataset_2000__3[[#This Row],[Quantity]]*Excel_Advanced_Sales_Dataset_2000__3[[#This Row],[Unit Price]]*Excel_Advanced_Sales_Dataset_2000__3[[#This Row],[Discount %]]/100</f>
        <v>1978.8685919999998</v>
      </c>
      <c r="T655" s="4">
        <f>Excel_Advanced_Sales_Dataset_2000__3[[#This Row],[Quantity]]*Excel_Advanced_Sales_Dataset_2000__3[[#This Row],[Unit Price]]-Excel_Advanced_Sales_Dataset_2000__3[[#This Row],[Discount Amount]]</f>
        <v>680389.611408</v>
      </c>
    </row>
    <row r="656" spans="1:20" x14ac:dyDescent="0.25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>
        <v>39</v>
      </c>
      <c r="J656" s="4">
        <v>28512.67</v>
      </c>
      <c r="K656" s="6">
        <v>2.66</v>
      </c>
      <c r="L656" s="4">
        <v>1082415.0900000001</v>
      </c>
      <c r="M656" s="4" t="str" cm="1">
        <f t="array" ref="M656">IF(Excel_Advanced_Sales_Dataset_2000__3[[#This Row],[Total Sales]]&gt;50000,{"Yes"},{"No"})</f>
        <v>Yes</v>
      </c>
      <c r="N656" s="5">
        <v>46123</v>
      </c>
      <c r="O656" s="1" t="s">
        <v>68</v>
      </c>
      <c r="P656" t="s">
        <v>35</v>
      </c>
      <c r="Q656" t="str">
        <f>IF(Excel_Advanced_Sales_Dataset_2000__3[[#This Row],[Delivery Status]]="Pending","Follow Up","Ok")</f>
        <v>Ok</v>
      </c>
      <c r="R656" s="1" t="s">
        <v>26</v>
      </c>
      <c r="S656">
        <f>Excel_Advanced_Sales_Dataset_2000__3[[#This Row],[Quantity]]*Excel_Advanced_Sales_Dataset_2000__3[[#This Row],[Unit Price]]*Excel_Advanced_Sales_Dataset_2000__3[[#This Row],[Discount %]]/100</f>
        <v>29579.043857999997</v>
      </c>
      <c r="T656" s="4">
        <f>Excel_Advanced_Sales_Dataset_2000__3[[#This Row],[Quantity]]*Excel_Advanced_Sales_Dataset_2000__3[[#This Row],[Unit Price]]-Excel_Advanced_Sales_Dataset_2000__3[[#This Row],[Discount Amount]]</f>
        <v>1082415.0861419998</v>
      </c>
    </row>
    <row r="657" spans="1:20" x14ac:dyDescent="0.25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>
        <v>17</v>
      </c>
      <c r="J657" s="4">
        <v>42852.88</v>
      </c>
      <c r="K657" s="6">
        <v>16.86</v>
      </c>
      <c r="L657" s="4">
        <v>605674.04</v>
      </c>
      <c r="M657" s="4" t="str" cm="1">
        <f t="array" ref="M657">IF(Excel_Advanced_Sales_Dataset_2000__3[[#This Row],[Total Sales]]&gt;50000,{"Yes"},{"No"})</f>
        <v>Yes</v>
      </c>
      <c r="N657" s="5">
        <v>46220</v>
      </c>
      <c r="O657" s="1" t="s">
        <v>113</v>
      </c>
      <c r="P657" t="s">
        <v>35</v>
      </c>
      <c r="Q657" t="str">
        <f>IF(Excel_Advanced_Sales_Dataset_2000__3[[#This Row],[Delivery Status]]="Pending","Follow Up","Ok")</f>
        <v>Ok</v>
      </c>
      <c r="R657" s="1" t="s">
        <v>53</v>
      </c>
      <c r="S657">
        <f>Excel_Advanced_Sales_Dataset_2000__3[[#This Row],[Quantity]]*Excel_Advanced_Sales_Dataset_2000__3[[#This Row],[Unit Price]]*Excel_Advanced_Sales_Dataset_2000__3[[#This Row],[Discount %]]/100</f>
        <v>122824.92465599999</v>
      </c>
      <c r="T657" s="4">
        <f>Excel_Advanced_Sales_Dataset_2000__3[[#This Row],[Quantity]]*Excel_Advanced_Sales_Dataset_2000__3[[#This Row],[Unit Price]]-Excel_Advanced_Sales_Dataset_2000__3[[#This Row],[Discount Amount]]</f>
        <v>605674.03534399997</v>
      </c>
    </row>
    <row r="658" spans="1:20" x14ac:dyDescent="0.25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>
        <v>19</v>
      </c>
      <c r="J658" s="4">
        <v>38775.64</v>
      </c>
      <c r="K658" s="6">
        <v>10.85</v>
      </c>
      <c r="L658" s="4">
        <v>656801.18000000005</v>
      </c>
      <c r="M658" s="4" t="str" cm="1">
        <f t="array" ref="M658">IF(Excel_Advanced_Sales_Dataset_2000__3[[#This Row],[Total Sales]]&gt;50000,{"Yes"},{"No"})</f>
        <v>Yes</v>
      </c>
      <c r="N658" s="5">
        <v>46235</v>
      </c>
      <c r="O658" s="1" t="s">
        <v>113</v>
      </c>
      <c r="P658" t="s">
        <v>35</v>
      </c>
      <c r="Q658" t="str">
        <f>IF(Excel_Advanced_Sales_Dataset_2000__3[[#This Row],[Delivery Status]]="Pending","Follow Up","Ok")</f>
        <v>Ok</v>
      </c>
      <c r="R658" s="1" t="s">
        <v>53</v>
      </c>
      <c r="S658">
        <f>Excel_Advanced_Sales_Dataset_2000__3[[#This Row],[Quantity]]*Excel_Advanced_Sales_Dataset_2000__3[[#This Row],[Unit Price]]*Excel_Advanced_Sales_Dataset_2000__3[[#This Row],[Discount %]]/100</f>
        <v>79935.98186</v>
      </c>
      <c r="T658" s="4">
        <f>Excel_Advanced_Sales_Dataset_2000__3[[#This Row],[Quantity]]*Excel_Advanced_Sales_Dataset_2000__3[[#This Row],[Unit Price]]-Excel_Advanced_Sales_Dataset_2000__3[[#This Row],[Discount Amount]]</f>
        <v>656801.17813999997</v>
      </c>
    </row>
    <row r="659" spans="1:20" x14ac:dyDescent="0.25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>
        <v>13</v>
      </c>
      <c r="J659" s="4">
        <v>5723.86</v>
      </c>
      <c r="K659" s="6">
        <v>13.46</v>
      </c>
      <c r="L659" s="4">
        <v>64394.57</v>
      </c>
      <c r="M659" s="4" t="str" cm="1">
        <f t="array" ref="M659">IF(Excel_Advanced_Sales_Dataset_2000__3[[#This Row],[Total Sales]]&gt;50000,{"Yes"},{"No"})</f>
        <v>Yes</v>
      </c>
      <c r="N659" s="5">
        <v>46192</v>
      </c>
      <c r="O659" s="1" t="s">
        <v>58</v>
      </c>
      <c r="P659" t="s">
        <v>35</v>
      </c>
      <c r="Q659" t="str">
        <f>IF(Excel_Advanced_Sales_Dataset_2000__3[[#This Row],[Delivery Status]]="Pending","Follow Up","Ok")</f>
        <v>Ok</v>
      </c>
      <c r="R659" s="1" t="s">
        <v>36</v>
      </c>
      <c r="S659">
        <f>Excel_Advanced_Sales_Dataset_2000__3[[#This Row],[Quantity]]*Excel_Advanced_Sales_Dataset_2000__3[[#This Row],[Unit Price]]*Excel_Advanced_Sales_Dataset_2000__3[[#This Row],[Discount %]]/100</f>
        <v>10015.610228</v>
      </c>
      <c r="T659" s="4">
        <f>Excel_Advanced_Sales_Dataset_2000__3[[#This Row],[Quantity]]*Excel_Advanced_Sales_Dataset_2000__3[[#This Row],[Unit Price]]-Excel_Advanced_Sales_Dataset_2000__3[[#This Row],[Discount Amount]]</f>
        <v>64394.569771999995</v>
      </c>
    </row>
    <row r="660" spans="1:20" x14ac:dyDescent="0.25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>
        <v>28</v>
      </c>
      <c r="J660" s="4">
        <v>46367.46</v>
      </c>
      <c r="K660" s="6">
        <v>17.010000000000002</v>
      </c>
      <c r="L660" s="4">
        <v>1077449.94</v>
      </c>
      <c r="M660" s="4" t="str" cm="1">
        <f t="array" ref="M660">IF(Excel_Advanced_Sales_Dataset_2000__3[[#This Row],[Total Sales]]&gt;50000,{"Yes"},{"No"})</f>
        <v>Yes</v>
      </c>
      <c r="N660" s="5">
        <v>46203</v>
      </c>
      <c r="O660" s="1" t="s">
        <v>58</v>
      </c>
      <c r="P660" t="s">
        <v>35</v>
      </c>
      <c r="Q660" t="str">
        <f>IF(Excel_Advanced_Sales_Dataset_2000__3[[#This Row],[Delivery Status]]="Pending","Follow Up","Ok")</f>
        <v>Ok</v>
      </c>
      <c r="R660" s="1" t="s">
        <v>26</v>
      </c>
      <c r="S660">
        <f>Excel_Advanced_Sales_Dataset_2000__3[[#This Row],[Quantity]]*Excel_Advanced_Sales_Dataset_2000__3[[#This Row],[Unit Price]]*Excel_Advanced_Sales_Dataset_2000__3[[#This Row],[Discount %]]/100</f>
        <v>220838.93848799999</v>
      </c>
      <c r="T660" s="4">
        <f>Excel_Advanced_Sales_Dataset_2000__3[[#This Row],[Quantity]]*Excel_Advanced_Sales_Dataset_2000__3[[#This Row],[Unit Price]]-Excel_Advanced_Sales_Dataset_2000__3[[#This Row],[Discount Amount]]</f>
        <v>1077449.9415119998</v>
      </c>
    </row>
    <row r="661" spans="1:20" x14ac:dyDescent="0.25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>
        <v>42</v>
      </c>
      <c r="J661" s="4">
        <v>28312.42</v>
      </c>
      <c r="K661" s="6">
        <v>14.91</v>
      </c>
      <c r="L661" s="4">
        <v>1011823.6</v>
      </c>
      <c r="M661" s="4" t="str" cm="1">
        <f t="array" ref="M661">IF(Excel_Advanced_Sales_Dataset_2000__3[[#This Row],[Total Sales]]&gt;50000,{"Yes"},{"No"})</f>
        <v>Yes</v>
      </c>
      <c r="N661" s="5">
        <v>46024</v>
      </c>
      <c r="O661" s="1" t="s">
        <v>24</v>
      </c>
      <c r="P661" t="s">
        <v>35</v>
      </c>
      <c r="Q661" t="str">
        <f>IF(Excel_Advanced_Sales_Dataset_2000__3[[#This Row],[Delivery Status]]="Pending","Follow Up","Ok")</f>
        <v>Ok</v>
      </c>
      <c r="R661" s="1" t="s">
        <v>26</v>
      </c>
      <c r="S661">
        <f>Excel_Advanced_Sales_Dataset_2000__3[[#This Row],[Quantity]]*Excel_Advanced_Sales_Dataset_2000__3[[#This Row],[Unit Price]]*Excel_Advanced_Sales_Dataset_2000__3[[#This Row],[Discount %]]/100</f>
        <v>177298.036524</v>
      </c>
      <c r="T661" s="4">
        <f>Excel_Advanced_Sales_Dataset_2000__3[[#This Row],[Quantity]]*Excel_Advanced_Sales_Dataset_2000__3[[#This Row],[Unit Price]]-Excel_Advanced_Sales_Dataset_2000__3[[#This Row],[Discount Amount]]</f>
        <v>1011823.6034759999</v>
      </c>
    </row>
    <row r="662" spans="1:20" x14ac:dyDescent="0.25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>
        <v>8</v>
      </c>
      <c r="J662" s="4">
        <v>5985.06</v>
      </c>
      <c r="K662" s="6">
        <v>4.0999999999999996</v>
      </c>
      <c r="L662" s="4">
        <v>45917.38</v>
      </c>
      <c r="M662" s="4" t="str" cm="1">
        <f t="array" ref="M662">IF(Excel_Advanced_Sales_Dataset_2000__3[[#This Row],[Total Sales]]&gt;50000,{"Yes"},{"No"})</f>
        <v>No</v>
      </c>
      <c r="N662" s="5">
        <v>46287</v>
      </c>
      <c r="O662" s="1" t="s">
        <v>58</v>
      </c>
      <c r="P662" t="s">
        <v>35</v>
      </c>
      <c r="Q662" t="str">
        <f>IF(Excel_Advanced_Sales_Dataset_2000__3[[#This Row],[Delivery Status]]="Pending","Follow Up","Ok")</f>
        <v>Ok</v>
      </c>
      <c r="R662" s="1" t="s">
        <v>26</v>
      </c>
      <c r="S662">
        <f>Excel_Advanced_Sales_Dataset_2000__3[[#This Row],[Quantity]]*Excel_Advanced_Sales_Dataset_2000__3[[#This Row],[Unit Price]]*Excel_Advanced_Sales_Dataset_2000__3[[#This Row],[Discount %]]/100</f>
        <v>1963.09968</v>
      </c>
      <c r="T662" s="4">
        <f>Excel_Advanced_Sales_Dataset_2000__3[[#This Row],[Quantity]]*Excel_Advanced_Sales_Dataset_2000__3[[#This Row],[Unit Price]]-Excel_Advanced_Sales_Dataset_2000__3[[#This Row],[Discount Amount]]</f>
        <v>45917.380320000004</v>
      </c>
    </row>
    <row r="663" spans="1:20" x14ac:dyDescent="0.25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>
        <v>44</v>
      </c>
      <c r="J663" s="4">
        <v>14853.05</v>
      </c>
      <c r="K663" s="6">
        <v>6.89</v>
      </c>
      <c r="L663" s="4">
        <v>608505.68999999994</v>
      </c>
      <c r="M663" s="4" t="str" cm="1">
        <f t="array" ref="M663">IF(Excel_Advanced_Sales_Dataset_2000__3[[#This Row],[Total Sales]]&gt;50000,{"Yes"},{"No"})</f>
        <v>Yes</v>
      </c>
      <c r="N663" s="5">
        <v>46319</v>
      </c>
      <c r="O663" s="1" t="s">
        <v>113</v>
      </c>
      <c r="P663" t="s">
        <v>35</v>
      </c>
      <c r="Q663" t="str">
        <f>IF(Excel_Advanced_Sales_Dataset_2000__3[[#This Row],[Delivery Status]]="Pending","Follow Up","Ok")</f>
        <v>Ok</v>
      </c>
      <c r="R663" s="1" t="s">
        <v>36</v>
      </c>
      <c r="S663">
        <f>Excel_Advanced_Sales_Dataset_2000__3[[#This Row],[Quantity]]*Excel_Advanced_Sales_Dataset_2000__3[[#This Row],[Unit Price]]*Excel_Advanced_Sales_Dataset_2000__3[[#This Row],[Discount %]]/100</f>
        <v>45028.506379999992</v>
      </c>
      <c r="T663" s="4">
        <f>Excel_Advanced_Sales_Dataset_2000__3[[#This Row],[Quantity]]*Excel_Advanced_Sales_Dataset_2000__3[[#This Row],[Unit Price]]-Excel_Advanced_Sales_Dataset_2000__3[[#This Row],[Discount Amount]]</f>
        <v>608505.69361999992</v>
      </c>
    </row>
    <row r="664" spans="1:20" x14ac:dyDescent="0.25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>
        <v>45</v>
      </c>
      <c r="J664" s="4">
        <v>27651.77</v>
      </c>
      <c r="K664" s="6">
        <v>14.05</v>
      </c>
      <c r="L664" s="4">
        <v>1069501.33</v>
      </c>
      <c r="M664" s="4" t="str" cm="1">
        <f t="array" ref="M664">IF(Excel_Advanced_Sales_Dataset_2000__3[[#This Row],[Total Sales]]&gt;50000,{"Yes"},{"No"})</f>
        <v>Yes</v>
      </c>
      <c r="N664" s="5">
        <v>46150</v>
      </c>
      <c r="O664" s="1" t="s">
        <v>24</v>
      </c>
      <c r="P664" t="s">
        <v>35</v>
      </c>
      <c r="Q664" t="str">
        <f>IF(Excel_Advanced_Sales_Dataset_2000__3[[#This Row],[Delivery Status]]="Pending","Follow Up","Ok")</f>
        <v>Ok</v>
      </c>
      <c r="R664" s="1" t="s">
        <v>53</v>
      </c>
      <c r="S664">
        <f>Excel_Advanced_Sales_Dataset_2000__3[[#This Row],[Quantity]]*Excel_Advanced_Sales_Dataset_2000__3[[#This Row],[Unit Price]]*Excel_Advanced_Sales_Dataset_2000__3[[#This Row],[Discount %]]/100</f>
        <v>174828.315825</v>
      </c>
      <c r="T664" s="4">
        <f>Excel_Advanced_Sales_Dataset_2000__3[[#This Row],[Quantity]]*Excel_Advanced_Sales_Dataset_2000__3[[#This Row],[Unit Price]]-Excel_Advanced_Sales_Dataset_2000__3[[#This Row],[Discount Amount]]</f>
        <v>1069501.334175</v>
      </c>
    </row>
    <row r="665" spans="1:20" x14ac:dyDescent="0.25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>
        <v>4</v>
      </c>
      <c r="J665" s="4">
        <v>44838.35</v>
      </c>
      <c r="K665" s="6">
        <v>16.170000000000002</v>
      </c>
      <c r="L665" s="4">
        <v>150351.96</v>
      </c>
      <c r="M665" s="4" t="str" cm="1">
        <f t="array" ref="M665">IF(Excel_Advanced_Sales_Dataset_2000__3[[#This Row],[Total Sales]]&gt;50000,{"Yes"},{"No"})</f>
        <v>Yes</v>
      </c>
      <c r="N665" s="5">
        <v>46176</v>
      </c>
      <c r="O665" s="1" t="s">
        <v>58</v>
      </c>
      <c r="P665" t="s">
        <v>35</v>
      </c>
      <c r="Q665" t="str">
        <f>IF(Excel_Advanced_Sales_Dataset_2000__3[[#This Row],[Delivery Status]]="Pending","Follow Up","Ok")</f>
        <v>Ok</v>
      </c>
      <c r="R665" s="1" t="s">
        <v>36</v>
      </c>
      <c r="S665">
        <f>Excel_Advanced_Sales_Dataset_2000__3[[#This Row],[Quantity]]*Excel_Advanced_Sales_Dataset_2000__3[[#This Row],[Unit Price]]*Excel_Advanced_Sales_Dataset_2000__3[[#This Row],[Discount %]]/100</f>
        <v>29001.444780000002</v>
      </c>
      <c r="T665" s="4">
        <f>Excel_Advanced_Sales_Dataset_2000__3[[#This Row],[Quantity]]*Excel_Advanced_Sales_Dataset_2000__3[[#This Row],[Unit Price]]-Excel_Advanced_Sales_Dataset_2000__3[[#This Row],[Discount Amount]]</f>
        <v>150351.95522</v>
      </c>
    </row>
    <row r="666" spans="1:20" x14ac:dyDescent="0.25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>
        <v>50</v>
      </c>
      <c r="J666" s="4">
        <v>14881.81</v>
      </c>
      <c r="K666" s="6">
        <v>19.87</v>
      </c>
      <c r="L666" s="4">
        <v>596239.72</v>
      </c>
      <c r="M666" s="4" t="str" cm="1">
        <f t="array" ref="M666">IF(Excel_Advanced_Sales_Dataset_2000__3[[#This Row],[Total Sales]]&gt;50000,{"Yes"},{"No"})</f>
        <v>Yes</v>
      </c>
      <c r="N666" s="5">
        <v>46324</v>
      </c>
      <c r="O666" s="1" t="s">
        <v>113</v>
      </c>
      <c r="P666" t="s">
        <v>35</v>
      </c>
      <c r="Q666" t="str">
        <f>IF(Excel_Advanced_Sales_Dataset_2000__3[[#This Row],[Delivery Status]]="Pending","Follow Up","Ok")</f>
        <v>Ok</v>
      </c>
      <c r="R666" s="1" t="s">
        <v>26</v>
      </c>
      <c r="S666">
        <f>Excel_Advanced_Sales_Dataset_2000__3[[#This Row],[Quantity]]*Excel_Advanced_Sales_Dataset_2000__3[[#This Row],[Unit Price]]*Excel_Advanced_Sales_Dataset_2000__3[[#This Row],[Discount %]]/100</f>
        <v>147850.78235000002</v>
      </c>
      <c r="T666" s="4">
        <f>Excel_Advanced_Sales_Dataset_2000__3[[#This Row],[Quantity]]*Excel_Advanced_Sales_Dataset_2000__3[[#This Row],[Unit Price]]-Excel_Advanced_Sales_Dataset_2000__3[[#This Row],[Discount Amount]]</f>
        <v>596239.71765000001</v>
      </c>
    </row>
    <row r="667" spans="1:20" x14ac:dyDescent="0.25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>
        <v>34</v>
      </c>
      <c r="J667" s="4">
        <v>40470.97</v>
      </c>
      <c r="K667" s="6">
        <v>4.9400000000000004</v>
      </c>
      <c r="L667" s="4">
        <v>1308037.94</v>
      </c>
      <c r="M667" s="4" t="str" cm="1">
        <f t="array" ref="M667">IF(Excel_Advanced_Sales_Dataset_2000__3[[#This Row],[Total Sales]]&gt;50000,{"Yes"},{"No"})</f>
        <v>Yes</v>
      </c>
      <c r="N667" s="5">
        <v>46319</v>
      </c>
      <c r="O667" s="1" t="s">
        <v>24</v>
      </c>
      <c r="P667" t="s">
        <v>25</v>
      </c>
      <c r="Q667" t="str">
        <f>IF(Excel_Advanced_Sales_Dataset_2000__3[[#This Row],[Delivery Status]]="Pending","Follow Up","Ok")</f>
        <v>Follow Up</v>
      </c>
      <c r="R667" s="1" t="s">
        <v>53</v>
      </c>
      <c r="S667">
        <f>Excel_Advanced_Sales_Dataset_2000__3[[#This Row],[Quantity]]*Excel_Advanced_Sales_Dataset_2000__3[[#This Row],[Unit Price]]*Excel_Advanced_Sales_Dataset_2000__3[[#This Row],[Discount %]]/100</f>
        <v>67975.041212000011</v>
      </c>
      <c r="T667" s="4">
        <f>Excel_Advanced_Sales_Dataset_2000__3[[#This Row],[Quantity]]*Excel_Advanced_Sales_Dataset_2000__3[[#This Row],[Unit Price]]-Excel_Advanced_Sales_Dataset_2000__3[[#This Row],[Discount Amount]]</f>
        <v>1308037.938788</v>
      </c>
    </row>
    <row r="668" spans="1:20" x14ac:dyDescent="0.25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>
        <v>26</v>
      </c>
      <c r="J668" s="4">
        <v>5777.73</v>
      </c>
      <c r="K668" s="6">
        <v>14.87</v>
      </c>
      <c r="L668" s="4">
        <v>127883.12</v>
      </c>
      <c r="M668" s="4" t="str" cm="1">
        <f t="array" ref="M668">IF(Excel_Advanced_Sales_Dataset_2000__3[[#This Row],[Total Sales]]&gt;50000,{"Yes"},{"No"})</f>
        <v>Yes</v>
      </c>
      <c r="N668" s="5">
        <v>46306</v>
      </c>
      <c r="O668" s="1" t="s">
        <v>113</v>
      </c>
      <c r="P668" t="s">
        <v>35</v>
      </c>
      <c r="Q668" t="str">
        <f>IF(Excel_Advanced_Sales_Dataset_2000__3[[#This Row],[Delivery Status]]="Pending","Follow Up","Ok")</f>
        <v>Ok</v>
      </c>
      <c r="R668" s="1" t="s">
        <v>53</v>
      </c>
      <c r="S668">
        <f>Excel_Advanced_Sales_Dataset_2000__3[[#This Row],[Quantity]]*Excel_Advanced_Sales_Dataset_2000__3[[#This Row],[Unit Price]]*Excel_Advanced_Sales_Dataset_2000__3[[#This Row],[Discount %]]/100</f>
        <v>22337.859725999995</v>
      </c>
      <c r="T668" s="4">
        <f>Excel_Advanced_Sales_Dataset_2000__3[[#This Row],[Quantity]]*Excel_Advanced_Sales_Dataset_2000__3[[#This Row],[Unit Price]]-Excel_Advanced_Sales_Dataset_2000__3[[#This Row],[Discount Amount]]</f>
        <v>127883.12027399999</v>
      </c>
    </row>
    <row r="669" spans="1:20" x14ac:dyDescent="0.25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>
        <v>29</v>
      </c>
      <c r="J669" s="4">
        <v>36483.03</v>
      </c>
      <c r="K669" s="6">
        <v>7.9</v>
      </c>
      <c r="L669" s="4">
        <v>974425.25</v>
      </c>
      <c r="M669" s="4" t="str" cm="1">
        <f t="array" ref="M669">IF(Excel_Advanced_Sales_Dataset_2000__3[[#This Row],[Total Sales]]&gt;50000,{"Yes"},{"No"})</f>
        <v>Yes</v>
      </c>
      <c r="N669" s="5">
        <v>46280</v>
      </c>
      <c r="O669" s="1" t="s">
        <v>58</v>
      </c>
      <c r="P669" t="s">
        <v>35</v>
      </c>
      <c r="Q669" t="str">
        <f>IF(Excel_Advanced_Sales_Dataset_2000__3[[#This Row],[Delivery Status]]="Pending","Follow Up","Ok")</f>
        <v>Ok</v>
      </c>
      <c r="R669" s="1" t="s">
        <v>53</v>
      </c>
      <c r="S669">
        <f>Excel_Advanced_Sales_Dataset_2000__3[[#This Row],[Quantity]]*Excel_Advanced_Sales_Dataset_2000__3[[#This Row],[Unit Price]]*Excel_Advanced_Sales_Dataset_2000__3[[#This Row],[Discount %]]/100</f>
        <v>83582.621729999999</v>
      </c>
      <c r="T669" s="4">
        <f>Excel_Advanced_Sales_Dataset_2000__3[[#This Row],[Quantity]]*Excel_Advanced_Sales_Dataset_2000__3[[#This Row],[Unit Price]]-Excel_Advanced_Sales_Dataset_2000__3[[#This Row],[Discount Amount]]</f>
        <v>974425.24826999987</v>
      </c>
    </row>
    <row r="670" spans="1:20" x14ac:dyDescent="0.25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>
        <v>14</v>
      </c>
      <c r="J670" s="4">
        <v>47632.95</v>
      </c>
      <c r="K670" s="6">
        <v>16.940000000000001</v>
      </c>
      <c r="L670" s="4">
        <v>553895</v>
      </c>
      <c r="M670" s="4" t="str" cm="1">
        <f t="array" ref="M670">IF(Excel_Advanced_Sales_Dataset_2000__3[[#This Row],[Total Sales]]&gt;50000,{"Yes"},{"No"})</f>
        <v>Yes</v>
      </c>
      <c r="N670" s="5">
        <v>46118</v>
      </c>
      <c r="O670" s="1" t="s">
        <v>45</v>
      </c>
      <c r="P670" t="s">
        <v>35</v>
      </c>
      <c r="Q670" t="str">
        <f>IF(Excel_Advanced_Sales_Dataset_2000__3[[#This Row],[Delivery Status]]="Pending","Follow Up","Ok")</f>
        <v>Ok</v>
      </c>
      <c r="R670" s="1" t="s">
        <v>26</v>
      </c>
      <c r="S670">
        <f>Excel_Advanced_Sales_Dataset_2000__3[[#This Row],[Quantity]]*Excel_Advanced_Sales_Dataset_2000__3[[#This Row],[Unit Price]]*Excel_Advanced_Sales_Dataset_2000__3[[#This Row],[Discount %]]/100</f>
        <v>112966.30422000001</v>
      </c>
      <c r="T670" s="4">
        <f>Excel_Advanced_Sales_Dataset_2000__3[[#This Row],[Quantity]]*Excel_Advanced_Sales_Dataset_2000__3[[#This Row],[Unit Price]]-Excel_Advanced_Sales_Dataset_2000__3[[#This Row],[Discount Amount]]</f>
        <v>553894.99577999988</v>
      </c>
    </row>
    <row r="671" spans="1:20" x14ac:dyDescent="0.25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>
        <v>47</v>
      </c>
      <c r="J671" s="4">
        <v>32635.39</v>
      </c>
      <c r="K671" s="6">
        <v>19.32</v>
      </c>
      <c r="L671" s="4">
        <v>1237520.93</v>
      </c>
      <c r="M671" s="4" t="str" cm="1">
        <f t="array" ref="M671">IF(Excel_Advanced_Sales_Dataset_2000__3[[#This Row],[Total Sales]]&gt;50000,{"Yes"},{"No"})</f>
        <v>Yes</v>
      </c>
      <c r="N671" s="5">
        <v>46237</v>
      </c>
      <c r="O671" s="1" t="s">
        <v>58</v>
      </c>
      <c r="P671" t="s">
        <v>35</v>
      </c>
      <c r="Q671" t="str">
        <f>IF(Excel_Advanced_Sales_Dataset_2000__3[[#This Row],[Delivery Status]]="Pending","Follow Up","Ok")</f>
        <v>Ok</v>
      </c>
      <c r="R671" s="1" t="s">
        <v>26</v>
      </c>
      <c r="S671">
        <f>Excel_Advanced_Sales_Dataset_2000__3[[#This Row],[Quantity]]*Excel_Advanced_Sales_Dataset_2000__3[[#This Row],[Unit Price]]*Excel_Advanced_Sales_Dataset_2000__3[[#This Row],[Discount %]]/100</f>
        <v>296342.39535600005</v>
      </c>
      <c r="T671" s="4">
        <f>Excel_Advanced_Sales_Dataset_2000__3[[#This Row],[Quantity]]*Excel_Advanced_Sales_Dataset_2000__3[[#This Row],[Unit Price]]-Excel_Advanced_Sales_Dataset_2000__3[[#This Row],[Discount Amount]]</f>
        <v>1237520.9346440001</v>
      </c>
    </row>
    <row r="672" spans="1:20" x14ac:dyDescent="0.25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>
        <v>6</v>
      </c>
      <c r="J672" s="4">
        <v>13242.59</v>
      </c>
      <c r="K672" s="6">
        <v>3.85</v>
      </c>
      <c r="L672" s="4">
        <v>76396.5</v>
      </c>
      <c r="M672" s="4" t="str" cm="1">
        <f t="array" ref="M672">IF(Excel_Advanced_Sales_Dataset_2000__3[[#This Row],[Total Sales]]&gt;50000,{"Yes"},{"No"})</f>
        <v>Yes</v>
      </c>
      <c r="N672" s="5">
        <v>46030</v>
      </c>
      <c r="O672" s="1" t="s">
        <v>68</v>
      </c>
      <c r="P672" t="s">
        <v>35</v>
      </c>
      <c r="Q672" t="str">
        <f>IF(Excel_Advanced_Sales_Dataset_2000__3[[#This Row],[Delivery Status]]="Pending","Follow Up","Ok")</f>
        <v>Ok</v>
      </c>
      <c r="R672" s="1" t="s">
        <v>53</v>
      </c>
      <c r="S672">
        <f>Excel_Advanced_Sales_Dataset_2000__3[[#This Row],[Quantity]]*Excel_Advanced_Sales_Dataset_2000__3[[#This Row],[Unit Price]]*Excel_Advanced_Sales_Dataset_2000__3[[#This Row],[Discount %]]/100</f>
        <v>3059.0382900000004</v>
      </c>
      <c r="T672" s="4">
        <f>Excel_Advanced_Sales_Dataset_2000__3[[#This Row],[Quantity]]*Excel_Advanced_Sales_Dataset_2000__3[[#This Row],[Unit Price]]-Excel_Advanced_Sales_Dataset_2000__3[[#This Row],[Discount Amount]]</f>
        <v>76396.501710000011</v>
      </c>
    </row>
    <row r="673" spans="1:20" x14ac:dyDescent="0.25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>
        <v>28</v>
      </c>
      <c r="J673" s="4">
        <v>4212.12</v>
      </c>
      <c r="K673" s="6">
        <v>15.78</v>
      </c>
      <c r="L673" s="4">
        <v>99328.53</v>
      </c>
      <c r="M673" s="4" t="str" cm="1">
        <f t="array" ref="M673">IF(Excel_Advanced_Sales_Dataset_2000__3[[#This Row],[Total Sales]]&gt;50000,{"Yes"},{"No"})</f>
        <v>Yes</v>
      </c>
      <c r="N673" s="5">
        <v>46075</v>
      </c>
      <c r="O673" s="1" t="s">
        <v>45</v>
      </c>
      <c r="P673" t="s">
        <v>35</v>
      </c>
      <c r="Q673" t="str">
        <f>IF(Excel_Advanced_Sales_Dataset_2000__3[[#This Row],[Delivery Status]]="Pending","Follow Up","Ok")</f>
        <v>Ok</v>
      </c>
      <c r="R673" s="1" t="s">
        <v>53</v>
      </c>
      <c r="S673">
        <f>Excel_Advanced_Sales_Dataset_2000__3[[#This Row],[Quantity]]*Excel_Advanced_Sales_Dataset_2000__3[[#This Row],[Unit Price]]*Excel_Advanced_Sales_Dataset_2000__3[[#This Row],[Discount %]]/100</f>
        <v>18610.831007999997</v>
      </c>
      <c r="T673" s="4">
        <f>Excel_Advanced_Sales_Dataset_2000__3[[#This Row],[Quantity]]*Excel_Advanced_Sales_Dataset_2000__3[[#This Row],[Unit Price]]-Excel_Advanced_Sales_Dataset_2000__3[[#This Row],[Discount Amount]]</f>
        <v>99328.528992000007</v>
      </c>
    </row>
    <row r="674" spans="1:20" x14ac:dyDescent="0.25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>
        <v>23</v>
      </c>
      <c r="J674" s="4">
        <v>6482.63</v>
      </c>
      <c r="K674" s="6">
        <v>8.67</v>
      </c>
      <c r="L674" s="4">
        <v>136173.48000000001</v>
      </c>
      <c r="M674" s="4" t="str" cm="1">
        <f t="array" ref="M674">IF(Excel_Advanced_Sales_Dataset_2000__3[[#This Row],[Total Sales]]&gt;50000,{"Yes"},{"No"})</f>
        <v>Yes</v>
      </c>
      <c r="N674" s="5">
        <v>46287</v>
      </c>
      <c r="O674" s="1" t="s">
        <v>24</v>
      </c>
      <c r="P674" t="s">
        <v>35</v>
      </c>
      <c r="Q674" t="str">
        <f>IF(Excel_Advanced_Sales_Dataset_2000__3[[#This Row],[Delivery Status]]="Pending","Follow Up","Ok")</f>
        <v>Ok</v>
      </c>
      <c r="R674" s="1" t="s">
        <v>36</v>
      </c>
      <c r="S674">
        <f>Excel_Advanced_Sales_Dataset_2000__3[[#This Row],[Quantity]]*Excel_Advanced_Sales_Dataset_2000__3[[#This Row],[Unit Price]]*Excel_Advanced_Sales_Dataset_2000__3[[#This Row],[Discount %]]/100</f>
        <v>12927.012482999999</v>
      </c>
      <c r="T674" s="4">
        <f>Excel_Advanced_Sales_Dataset_2000__3[[#This Row],[Quantity]]*Excel_Advanced_Sales_Dataset_2000__3[[#This Row],[Unit Price]]-Excel_Advanced_Sales_Dataset_2000__3[[#This Row],[Discount Amount]]</f>
        <v>136173.47751699999</v>
      </c>
    </row>
    <row r="675" spans="1:20" x14ac:dyDescent="0.25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>
        <v>9</v>
      </c>
      <c r="J675" s="4">
        <v>2335.7399999999998</v>
      </c>
      <c r="K675" s="6">
        <v>10.87</v>
      </c>
      <c r="L675" s="4">
        <v>18736.61</v>
      </c>
      <c r="M675" s="4" t="str" cm="1">
        <f t="array" ref="M675">IF(Excel_Advanced_Sales_Dataset_2000__3[[#This Row],[Total Sales]]&gt;50000,{"Yes"},{"No"})</f>
        <v>No</v>
      </c>
      <c r="N675" s="5">
        <v>46319</v>
      </c>
      <c r="O675" s="1" t="s">
        <v>24</v>
      </c>
      <c r="P675" t="s">
        <v>35</v>
      </c>
      <c r="Q675" t="str">
        <f>IF(Excel_Advanced_Sales_Dataset_2000__3[[#This Row],[Delivery Status]]="Pending","Follow Up","Ok")</f>
        <v>Ok</v>
      </c>
      <c r="R675" s="1" t="s">
        <v>36</v>
      </c>
      <c r="S675">
        <f>Excel_Advanced_Sales_Dataset_2000__3[[#This Row],[Quantity]]*Excel_Advanced_Sales_Dataset_2000__3[[#This Row],[Unit Price]]*Excel_Advanced_Sales_Dataset_2000__3[[#This Row],[Discount %]]/100</f>
        <v>2285.0544419999992</v>
      </c>
      <c r="T675" s="4">
        <f>Excel_Advanced_Sales_Dataset_2000__3[[#This Row],[Quantity]]*Excel_Advanced_Sales_Dataset_2000__3[[#This Row],[Unit Price]]-Excel_Advanced_Sales_Dataset_2000__3[[#This Row],[Discount Amount]]</f>
        <v>18736.605557999996</v>
      </c>
    </row>
    <row r="676" spans="1:20" x14ac:dyDescent="0.25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>
        <v>36</v>
      </c>
      <c r="J676" s="4">
        <v>20020.12</v>
      </c>
      <c r="K676" s="6">
        <v>7.74</v>
      </c>
      <c r="L676" s="4">
        <v>664940.26</v>
      </c>
      <c r="M676" s="4" t="str" cm="1">
        <f t="array" ref="M676">IF(Excel_Advanced_Sales_Dataset_2000__3[[#This Row],[Total Sales]]&gt;50000,{"Yes"},{"No"})</f>
        <v>Yes</v>
      </c>
      <c r="N676" s="5">
        <v>46032</v>
      </c>
      <c r="O676" s="1" t="s">
        <v>68</v>
      </c>
      <c r="P676" t="s">
        <v>35</v>
      </c>
      <c r="Q676" t="str">
        <f>IF(Excel_Advanced_Sales_Dataset_2000__3[[#This Row],[Delivery Status]]="Pending","Follow Up","Ok")</f>
        <v>Ok</v>
      </c>
      <c r="R676" s="1" t="s">
        <v>26</v>
      </c>
      <c r="S676">
        <f>Excel_Advanced_Sales_Dataset_2000__3[[#This Row],[Quantity]]*Excel_Advanced_Sales_Dataset_2000__3[[#This Row],[Unit Price]]*Excel_Advanced_Sales_Dataset_2000__3[[#This Row],[Discount %]]/100</f>
        <v>55784.062367999999</v>
      </c>
      <c r="T676" s="4">
        <f>Excel_Advanced_Sales_Dataset_2000__3[[#This Row],[Quantity]]*Excel_Advanced_Sales_Dataset_2000__3[[#This Row],[Unit Price]]-Excel_Advanced_Sales_Dataset_2000__3[[#This Row],[Discount Amount]]</f>
        <v>664940.25763199991</v>
      </c>
    </row>
    <row r="677" spans="1:20" x14ac:dyDescent="0.25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>
        <v>26</v>
      </c>
      <c r="J677" s="4">
        <v>13464.26</v>
      </c>
      <c r="K677" s="6">
        <v>7.0000000000000007E-2</v>
      </c>
      <c r="L677" s="4">
        <v>349825.71</v>
      </c>
      <c r="M677" s="4" t="str" cm="1">
        <f t="array" ref="M677">IF(Excel_Advanced_Sales_Dataset_2000__3[[#This Row],[Total Sales]]&gt;50000,{"Yes"},{"No"})</f>
        <v>Yes</v>
      </c>
      <c r="N677" s="5">
        <v>46064</v>
      </c>
      <c r="O677" s="1" t="s">
        <v>113</v>
      </c>
      <c r="P677" t="s">
        <v>35</v>
      </c>
      <c r="Q677" t="str">
        <f>IF(Excel_Advanced_Sales_Dataset_2000__3[[#This Row],[Delivery Status]]="Pending","Follow Up","Ok")</f>
        <v>Ok</v>
      </c>
      <c r="R677" s="1" t="s">
        <v>26</v>
      </c>
      <c r="S677">
        <f>Excel_Advanced_Sales_Dataset_2000__3[[#This Row],[Quantity]]*Excel_Advanced_Sales_Dataset_2000__3[[#This Row],[Unit Price]]*Excel_Advanced_Sales_Dataset_2000__3[[#This Row],[Discount %]]/100</f>
        <v>245.04953200000003</v>
      </c>
      <c r="T677" s="4">
        <f>Excel_Advanced_Sales_Dataset_2000__3[[#This Row],[Quantity]]*Excel_Advanced_Sales_Dataset_2000__3[[#This Row],[Unit Price]]-Excel_Advanced_Sales_Dataset_2000__3[[#This Row],[Discount Amount]]</f>
        <v>349825.71046800003</v>
      </c>
    </row>
    <row r="678" spans="1:20" x14ac:dyDescent="0.25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>
        <v>36</v>
      </c>
      <c r="J678" s="4">
        <v>27769.01</v>
      </c>
      <c r="K678" s="6">
        <v>16.57</v>
      </c>
      <c r="L678" s="4">
        <v>834036.66</v>
      </c>
      <c r="M678" s="4" t="str" cm="1">
        <f t="array" ref="M678">IF(Excel_Advanced_Sales_Dataset_2000__3[[#This Row],[Total Sales]]&gt;50000,{"Yes"},{"No"})</f>
        <v>Yes</v>
      </c>
      <c r="N678" s="5">
        <v>46168</v>
      </c>
      <c r="O678" s="1" t="s">
        <v>24</v>
      </c>
      <c r="P678" t="s">
        <v>35</v>
      </c>
      <c r="Q678" t="str">
        <f>IF(Excel_Advanced_Sales_Dataset_2000__3[[#This Row],[Delivery Status]]="Pending","Follow Up","Ok")</f>
        <v>Ok</v>
      </c>
      <c r="R678" s="1" t="s">
        <v>53</v>
      </c>
      <c r="S678">
        <f>Excel_Advanced_Sales_Dataset_2000__3[[#This Row],[Quantity]]*Excel_Advanced_Sales_Dataset_2000__3[[#This Row],[Unit Price]]*Excel_Advanced_Sales_Dataset_2000__3[[#This Row],[Discount %]]/100</f>
        <v>165647.69845200001</v>
      </c>
      <c r="T678" s="4">
        <f>Excel_Advanced_Sales_Dataset_2000__3[[#This Row],[Quantity]]*Excel_Advanced_Sales_Dataset_2000__3[[#This Row],[Unit Price]]-Excel_Advanced_Sales_Dataset_2000__3[[#This Row],[Discount Amount]]</f>
        <v>834036.66154799995</v>
      </c>
    </row>
    <row r="679" spans="1:20" x14ac:dyDescent="0.25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>
        <v>44</v>
      </c>
      <c r="J679" s="4">
        <v>11553.25</v>
      </c>
      <c r="K679" s="6">
        <v>0.85</v>
      </c>
      <c r="L679" s="4">
        <v>504022.08</v>
      </c>
      <c r="M679" s="4" t="str" cm="1">
        <f t="array" ref="M679">IF(Excel_Advanced_Sales_Dataset_2000__3[[#This Row],[Total Sales]]&gt;50000,{"Yes"},{"No"})</f>
        <v>Yes</v>
      </c>
      <c r="N679" s="5">
        <v>46233</v>
      </c>
      <c r="O679" s="1" t="s">
        <v>68</v>
      </c>
      <c r="P679" t="s">
        <v>35</v>
      </c>
      <c r="Q679" t="str">
        <f>IF(Excel_Advanced_Sales_Dataset_2000__3[[#This Row],[Delivery Status]]="Pending","Follow Up","Ok")</f>
        <v>Ok</v>
      </c>
      <c r="R679" s="1" t="s">
        <v>53</v>
      </c>
      <c r="S679">
        <f>Excel_Advanced_Sales_Dataset_2000__3[[#This Row],[Quantity]]*Excel_Advanced_Sales_Dataset_2000__3[[#This Row],[Unit Price]]*Excel_Advanced_Sales_Dataset_2000__3[[#This Row],[Discount %]]/100</f>
        <v>4320.9155000000001</v>
      </c>
      <c r="T679" s="4">
        <f>Excel_Advanced_Sales_Dataset_2000__3[[#This Row],[Quantity]]*Excel_Advanced_Sales_Dataset_2000__3[[#This Row],[Unit Price]]-Excel_Advanced_Sales_Dataset_2000__3[[#This Row],[Discount Amount]]</f>
        <v>504022.0845</v>
      </c>
    </row>
    <row r="680" spans="1:20" x14ac:dyDescent="0.25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>
        <v>17</v>
      </c>
      <c r="J680" s="4">
        <v>22025.15</v>
      </c>
      <c r="K680" s="6">
        <v>10.06</v>
      </c>
      <c r="L680" s="4">
        <v>336760.14</v>
      </c>
      <c r="M680" s="4" t="str" cm="1">
        <f t="array" ref="M680">IF(Excel_Advanced_Sales_Dataset_2000__3[[#This Row],[Total Sales]]&gt;50000,{"Yes"},{"No"})</f>
        <v>Yes</v>
      </c>
      <c r="N680" s="5">
        <v>46044</v>
      </c>
      <c r="O680" s="1" t="s">
        <v>68</v>
      </c>
      <c r="P680" t="s">
        <v>35</v>
      </c>
      <c r="Q680" t="str">
        <f>IF(Excel_Advanced_Sales_Dataset_2000__3[[#This Row],[Delivery Status]]="Pending","Follow Up","Ok")</f>
        <v>Ok</v>
      </c>
      <c r="R680" s="1" t="s">
        <v>26</v>
      </c>
      <c r="S680">
        <f>Excel_Advanced_Sales_Dataset_2000__3[[#This Row],[Quantity]]*Excel_Advanced_Sales_Dataset_2000__3[[#This Row],[Unit Price]]*Excel_Advanced_Sales_Dataset_2000__3[[#This Row],[Discount %]]/100</f>
        <v>37667.411530000012</v>
      </c>
      <c r="T680" s="4">
        <f>Excel_Advanced_Sales_Dataset_2000__3[[#This Row],[Quantity]]*Excel_Advanced_Sales_Dataset_2000__3[[#This Row],[Unit Price]]-Excel_Advanced_Sales_Dataset_2000__3[[#This Row],[Discount Amount]]</f>
        <v>336760.13847000001</v>
      </c>
    </row>
    <row r="681" spans="1:20" x14ac:dyDescent="0.25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>
        <v>46</v>
      </c>
      <c r="J681" s="4">
        <v>49155.41</v>
      </c>
      <c r="K681" s="6">
        <v>1.19</v>
      </c>
      <c r="L681" s="4">
        <v>2234241.19</v>
      </c>
      <c r="M681" s="4" t="str" cm="1">
        <f t="array" ref="M681">IF(Excel_Advanced_Sales_Dataset_2000__3[[#This Row],[Total Sales]]&gt;50000,{"Yes"},{"No"})</f>
        <v>Yes</v>
      </c>
      <c r="N681" s="5">
        <v>46164</v>
      </c>
      <c r="O681" s="1" t="s">
        <v>68</v>
      </c>
      <c r="P681" t="s">
        <v>59</v>
      </c>
      <c r="Q681" t="str">
        <f>IF(Excel_Advanced_Sales_Dataset_2000__3[[#This Row],[Delivery Status]]="Pending","Follow Up","Ok")</f>
        <v>Ok</v>
      </c>
      <c r="R681" s="1" t="s">
        <v>36</v>
      </c>
      <c r="S681">
        <f>Excel_Advanced_Sales_Dataset_2000__3[[#This Row],[Quantity]]*Excel_Advanced_Sales_Dataset_2000__3[[#This Row],[Unit Price]]*Excel_Advanced_Sales_Dataset_2000__3[[#This Row],[Discount %]]/100</f>
        <v>26907.671434000004</v>
      </c>
      <c r="T681" s="4">
        <f>Excel_Advanced_Sales_Dataset_2000__3[[#This Row],[Quantity]]*Excel_Advanced_Sales_Dataset_2000__3[[#This Row],[Unit Price]]-Excel_Advanced_Sales_Dataset_2000__3[[#This Row],[Discount Amount]]</f>
        <v>2234241.1885660002</v>
      </c>
    </row>
    <row r="682" spans="1:20" x14ac:dyDescent="0.25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>
        <v>1</v>
      </c>
      <c r="J682" s="4">
        <v>31541.74</v>
      </c>
      <c r="K682" s="6">
        <v>9.49</v>
      </c>
      <c r="L682" s="4">
        <v>28548.43</v>
      </c>
      <c r="M682" s="4" t="str" cm="1">
        <f t="array" ref="M682">IF(Excel_Advanced_Sales_Dataset_2000__3[[#This Row],[Total Sales]]&gt;50000,{"Yes"},{"No"})</f>
        <v>No</v>
      </c>
      <c r="N682" s="5">
        <v>46106</v>
      </c>
      <c r="O682" s="1" t="s">
        <v>113</v>
      </c>
      <c r="P682" t="s">
        <v>35</v>
      </c>
      <c r="Q682" t="str">
        <f>IF(Excel_Advanced_Sales_Dataset_2000__3[[#This Row],[Delivery Status]]="Pending","Follow Up","Ok")</f>
        <v>Ok</v>
      </c>
      <c r="R682" s="1" t="s">
        <v>26</v>
      </c>
      <c r="S682">
        <f>Excel_Advanced_Sales_Dataset_2000__3[[#This Row],[Quantity]]*Excel_Advanced_Sales_Dataset_2000__3[[#This Row],[Unit Price]]*Excel_Advanced_Sales_Dataset_2000__3[[#This Row],[Discount %]]/100</f>
        <v>2993.3111260000001</v>
      </c>
      <c r="T682" s="4">
        <f>Excel_Advanced_Sales_Dataset_2000__3[[#This Row],[Quantity]]*Excel_Advanced_Sales_Dataset_2000__3[[#This Row],[Unit Price]]-Excel_Advanced_Sales_Dataset_2000__3[[#This Row],[Discount Amount]]</f>
        <v>28548.428874000001</v>
      </c>
    </row>
    <row r="683" spans="1:20" x14ac:dyDescent="0.25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>
        <v>23</v>
      </c>
      <c r="J683" s="4">
        <v>10676.04</v>
      </c>
      <c r="K683" s="6">
        <v>11.73</v>
      </c>
      <c r="L683" s="4">
        <v>216746.03</v>
      </c>
      <c r="M683" s="4" t="str" cm="1">
        <f t="array" ref="M683">IF(Excel_Advanced_Sales_Dataset_2000__3[[#This Row],[Total Sales]]&gt;50000,{"Yes"},{"No"})</f>
        <v>Yes</v>
      </c>
      <c r="N683" s="5">
        <v>46036</v>
      </c>
      <c r="O683" s="1" t="s">
        <v>58</v>
      </c>
      <c r="P683" t="s">
        <v>35</v>
      </c>
      <c r="Q683" t="str">
        <f>IF(Excel_Advanced_Sales_Dataset_2000__3[[#This Row],[Delivery Status]]="Pending","Follow Up","Ok")</f>
        <v>Ok</v>
      </c>
      <c r="R683" s="1" t="s">
        <v>36</v>
      </c>
      <c r="S683">
        <f>Excel_Advanced_Sales_Dataset_2000__3[[#This Row],[Quantity]]*Excel_Advanced_Sales_Dataset_2000__3[[#This Row],[Unit Price]]*Excel_Advanced_Sales_Dataset_2000__3[[#This Row],[Discount %]]/100</f>
        <v>28802.888316</v>
      </c>
      <c r="T683" s="4">
        <f>Excel_Advanced_Sales_Dataset_2000__3[[#This Row],[Quantity]]*Excel_Advanced_Sales_Dataset_2000__3[[#This Row],[Unit Price]]-Excel_Advanced_Sales_Dataset_2000__3[[#This Row],[Discount Amount]]</f>
        <v>216746.03168400002</v>
      </c>
    </row>
    <row r="684" spans="1:20" x14ac:dyDescent="0.25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>
        <v>30</v>
      </c>
      <c r="J684" s="4">
        <v>22909.41</v>
      </c>
      <c r="K684" s="6">
        <v>7.4</v>
      </c>
      <c r="L684" s="4">
        <v>636423.41</v>
      </c>
      <c r="M684" s="4" t="str" cm="1">
        <f t="array" ref="M684">IF(Excel_Advanced_Sales_Dataset_2000__3[[#This Row],[Total Sales]]&gt;50000,{"Yes"},{"No"})</f>
        <v>Yes</v>
      </c>
      <c r="N684" s="5">
        <v>46160</v>
      </c>
      <c r="O684" s="1" t="s">
        <v>45</v>
      </c>
      <c r="P684" t="s">
        <v>35</v>
      </c>
      <c r="Q684" t="str">
        <f>IF(Excel_Advanced_Sales_Dataset_2000__3[[#This Row],[Delivery Status]]="Pending","Follow Up","Ok")</f>
        <v>Ok</v>
      </c>
      <c r="R684" s="1" t="s">
        <v>53</v>
      </c>
      <c r="S684">
        <f>Excel_Advanced_Sales_Dataset_2000__3[[#This Row],[Quantity]]*Excel_Advanced_Sales_Dataset_2000__3[[#This Row],[Unit Price]]*Excel_Advanced_Sales_Dataset_2000__3[[#This Row],[Discount %]]/100</f>
        <v>50858.890200000002</v>
      </c>
      <c r="T684" s="4">
        <f>Excel_Advanced_Sales_Dataset_2000__3[[#This Row],[Quantity]]*Excel_Advanced_Sales_Dataset_2000__3[[#This Row],[Unit Price]]-Excel_Advanced_Sales_Dataset_2000__3[[#This Row],[Discount Amount]]</f>
        <v>636423.40980000002</v>
      </c>
    </row>
    <row r="685" spans="1:20" x14ac:dyDescent="0.25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>
        <v>33</v>
      </c>
      <c r="J685" s="4">
        <v>32770.269999999997</v>
      </c>
      <c r="K685" s="6">
        <v>1.02</v>
      </c>
      <c r="L685" s="4">
        <v>1070388.44</v>
      </c>
      <c r="M685" s="4" t="str" cm="1">
        <f t="array" ref="M685">IF(Excel_Advanced_Sales_Dataset_2000__3[[#This Row],[Total Sales]]&gt;50000,{"Yes"},{"No"})</f>
        <v>Yes</v>
      </c>
      <c r="N685" s="5">
        <v>46270</v>
      </c>
      <c r="O685" s="1" t="s">
        <v>45</v>
      </c>
      <c r="P685" t="s">
        <v>35</v>
      </c>
      <c r="Q685" t="str">
        <f>IF(Excel_Advanced_Sales_Dataset_2000__3[[#This Row],[Delivery Status]]="Pending","Follow Up","Ok")</f>
        <v>Ok</v>
      </c>
      <c r="R685" s="1" t="s">
        <v>53</v>
      </c>
      <c r="S685">
        <f>Excel_Advanced_Sales_Dataset_2000__3[[#This Row],[Quantity]]*Excel_Advanced_Sales_Dataset_2000__3[[#This Row],[Unit Price]]*Excel_Advanced_Sales_Dataset_2000__3[[#This Row],[Discount %]]/100</f>
        <v>11030.472881999998</v>
      </c>
      <c r="T685" s="4">
        <f>Excel_Advanced_Sales_Dataset_2000__3[[#This Row],[Quantity]]*Excel_Advanced_Sales_Dataset_2000__3[[#This Row],[Unit Price]]-Excel_Advanced_Sales_Dataset_2000__3[[#This Row],[Discount Amount]]</f>
        <v>1070388.4371179999</v>
      </c>
    </row>
    <row r="686" spans="1:20" x14ac:dyDescent="0.25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>
        <v>26</v>
      </c>
      <c r="J686" s="4">
        <v>45400.26</v>
      </c>
      <c r="K686" s="6">
        <v>11.99</v>
      </c>
      <c r="L686" s="4">
        <v>1038875.99</v>
      </c>
      <c r="M686" s="4" t="str" cm="1">
        <f t="array" ref="M686">IF(Excel_Advanced_Sales_Dataset_2000__3[[#This Row],[Total Sales]]&gt;50000,{"Yes"},{"No"})</f>
        <v>Yes</v>
      </c>
      <c r="N686" s="5">
        <v>46322</v>
      </c>
      <c r="O686" s="1" t="s">
        <v>68</v>
      </c>
      <c r="P686" t="s">
        <v>35</v>
      </c>
      <c r="Q686" t="str">
        <f>IF(Excel_Advanced_Sales_Dataset_2000__3[[#This Row],[Delivery Status]]="Pending","Follow Up","Ok")</f>
        <v>Ok</v>
      </c>
      <c r="R686" s="1" t="s">
        <v>26</v>
      </c>
      <c r="S686">
        <f>Excel_Advanced_Sales_Dataset_2000__3[[#This Row],[Quantity]]*Excel_Advanced_Sales_Dataset_2000__3[[#This Row],[Unit Price]]*Excel_Advanced_Sales_Dataset_2000__3[[#This Row],[Discount %]]/100</f>
        <v>141530.77052399999</v>
      </c>
      <c r="T686" s="4">
        <f>Excel_Advanced_Sales_Dataset_2000__3[[#This Row],[Quantity]]*Excel_Advanced_Sales_Dataset_2000__3[[#This Row],[Unit Price]]-Excel_Advanced_Sales_Dataset_2000__3[[#This Row],[Discount Amount]]</f>
        <v>1038875.989476</v>
      </c>
    </row>
    <row r="687" spans="1:20" x14ac:dyDescent="0.25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>
        <v>43</v>
      </c>
      <c r="J687" s="4">
        <v>32950.33</v>
      </c>
      <c r="K687" s="6">
        <v>5.0599999999999996</v>
      </c>
      <c r="L687" s="4">
        <v>1345170.86</v>
      </c>
      <c r="M687" s="4" t="str" cm="1">
        <f t="array" ref="M687">IF(Excel_Advanced_Sales_Dataset_2000__3[[#This Row],[Total Sales]]&gt;50000,{"Yes"},{"No"})</f>
        <v>Yes</v>
      </c>
      <c r="N687" s="5">
        <v>46358</v>
      </c>
      <c r="O687" s="1" t="s">
        <v>24</v>
      </c>
      <c r="P687" t="s">
        <v>35</v>
      </c>
      <c r="Q687" t="str">
        <f>IF(Excel_Advanced_Sales_Dataset_2000__3[[#This Row],[Delivery Status]]="Pending","Follow Up","Ok")</f>
        <v>Ok</v>
      </c>
      <c r="R687" s="1" t="s">
        <v>26</v>
      </c>
      <c r="S687">
        <f>Excel_Advanced_Sales_Dataset_2000__3[[#This Row],[Quantity]]*Excel_Advanced_Sales_Dataset_2000__3[[#This Row],[Unit Price]]*Excel_Advanced_Sales_Dataset_2000__3[[#This Row],[Discount %]]/100</f>
        <v>71693.328013999999</v>
      </c>
      <c r="T687" s="4">
        <f>Excel_Advanced_Sales_Dataset_2000__3[[#This Row],[Quantity]]*Excel_Advanced_Sales_Dataset_2000__3[[#This Row],[Unit Price]]-Excel_Advanced_Sales_Dataset_2000__3[[#This Row],[Discount Amount]]</f>
        <v>1345170.8619860001</v>
      </c>
    </row>
    <row r="688" spans="1:20" x14ac:dyDescent="0.25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>
        <v>44</v>
      </c>
      <c r="J688" s="4">
        <v>1169.23</v>
      </c>
      <c r="K688" s="6">
        <v>11.54</v>
      </c>
      <c r="L688" s="4">
        <v>45509.24</v>
      </c>
      <c r="M688" s="4" t="str" cm="1">
        <f t="array" ref="M688">IF(Excel_Advanced_Sales_Dataset_2000__3[[#This Row],[Total Sales]]&gt;50000,{"Yes"},{"No"})</f>
        <v>No</v>
      </c>
      <c r="N688" s="5">
        <v>46031</v>
      </c>
      <c r="O688" s="1" t="s">
        <v>113</v>
      </c>
      <c r="P688" t="s">
        <v>35</v>
      </c>
      <c r="Q688" t="str">
        <f>IF(Excel_Advanced_Sales_Dataset_2000__3[[#This Row],[Delivery Status]]="Pending","Follow Up","Ok")</f>
        <v>Ok</v>
      </c>
      <c r="R688" s="1" t="s">
        <v>36</v>
      </c>
      <c r="S688">
        <f>Excel_Advanced_Sales_Dataset_2000__3[[#This Row],[Quantity]]*Excel_Advanced_Sales_Dataset_2000__3[[#This Row],[Unit Price]]*Excel_Advanced_Sales_Dataset_2000__3[[#This Row],[Discount %]]/100</f>
        <v>5936.8822479999999</v>
      </c>
      <c r="T688" s="4">
        <f>Excel_Advanced_Sales_Dataset_2000__3[[#This Row],[Quantity]]*Excel_Advanced_Sales_Dataset_2000__3[[#This Row],[Unit Price]]-Excel_Advanced_Sales_Dataset_2000__3[[#This Row],[Discount Amount]]</f>
        <v>45509.237752000001</v>
      </c>
    </row>
    <row r="689" spans="1:20" x14ac:dyDescent="0.25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>
        <v>12</v>
      </c>
      <c r="J689" s="4">
        <v>1127.28</v>
      </c>
      <c r="K689" s="6">
        <v>3.92</v>
      </c>
      <c r="L689" s="4">
        <v>12997.09</v>
      </c>
      <c r="M689" s="4" t="str" cm="1">
        <f t="array" ref="M689">IF(Excel_Advanced_Sales_Dataset_2000__3[[#This Row],[Total Sales]]&gt;50000,{"Yes"},{"No"})</f>
        <v>No</v>
      </c>
      <c r="N689" s="5">
        <v>46172</v>
      </c>
      <c r="O689" s="1" t="s">
        <v>24</v>
      </c>
      <c r="P689" t="s">
        <v>35</v>
      </c>
      <c r="Q689" t="str">
        <f>IF(Excel_Advanced_Sales_Dataset_2000__3[[#This Row],[Delivery Status]]="Pending","Follow Up","Ok")</f>
        <v>Ok</v>
      </c>
      <c r="R689" s="1" t="s">
        <v>36</v>
      </c>
      <c r="S689">
        <f>Excel_Advanced_Sales_Dataset_2000__3[[#This Row],[Quantity]]*Excel_Advanced_Sales_Dataset_2000__3[[#This Row],[Unit Price]]*Excel_Advanced_Sales_Dataset_2000__3[[#This Row],[Discount %]]/100</f>
        <v>530.27251200000001</v>
      </c>
      <c r="T689" s="4">
        <f>Excel_Advanced_Sales_Dataset_2000__3[[#This Row],[Quantity]]*Excel_Advanced_Sales_Dataset_2000__3[[#This Row],[Unit Price]]-Excel_Advanced_Sales_Dataset_2000__3[[#This Row],[Discount Amount]]</f>
        <v>12997.087488000001</v>
      </c>
    </row>
    <row r="690" spans="1:20" x14ac:dyDescent="0.25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>
        <v>31</v>
      </c>
      <c r="J690" s="4">
        <v>2302.4299999999998</v>
      </c>
      <c r="K690" s="6">
        <v>13.17</v>
      </c>
      <c r="L690" s="4">
        <v>61975.199999999997</v>
      </c>
      <c r="M690" s="4" t="str" cm="1">
        <f t="array" ref="M690">IF(Excel_Advanced_Sales_Dataset_2000__3[[#This Row],[Total Sales]]&gt;50000,{"Yes"},{"No"})</f>
        <v>Yes</v>
      </c>
      <c r="N690" s="5">
        <v>46255</v>
      </c>
      <c r="O690" s="1" t="s">
        <v>58</v>
      </c>
      <c r="P690" t="s">
        <v>35</v>
      </c>
      <c r="Q690" t="str">
        <f>IF(Excel_Advanced_Sales_Dataset_2000__3[[#This Row],[Delivery Status]]="Pending","Follow Up","Ok")</f>
        <v>Ok</v>
      </c>
      <c r="R690" s="1" t="s">
        <v>36</v>
      </c>
      <c r="S690">
        <f>Excel_Advanced_Sales_Dataset_2000__3[[#This Row],[Quantity]]*Excel_Advanced_Sales_Dataset_2000__3[[#This Row],[Unit Price]]*Excel_Advanced_Sales_Dataset_2000__3[[#This Row],[Discount %]]/100</f>
        <v>9400.1309609999989</v>
      </c>
      <c r="T690" s="4">
        <f>Excel_Advanced_Sales_Dataset_2000__3[[#This Row],[Quantity]]*Excel_Advanced_Sales_Dataset_2000__3[[#This Row],[Unit Price]]-Excel_Advanced_Sales_Dataset_2000__3[[#This Row],[Discount Amount]]</f>
        <v>61975.199038999999</v>
      </c>
    </row>
    <row r="691" spans="1:20" x14ac:dyDescent="0.25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>
        <v>18</v>
      </c>
      <c r="J691" s="4">
        <v>2866.26</v>
      </c>
      <c r="K691" s="6">
        <v>2.78</v>
      </c>
      <c r="L691" s="4">
        <v>50158.400000000001</v>
      </c>
      <c r="M691" s="4" t="str" cm="1">
        <f t="array" ref="M691">IF(Excel_Advanced_Sales_Dataset_2000__3[[#This Row],[Total Sales]]&gt;50000,{"Yes"},{"No"})</f>
        <v>Yes</v>
      </c>
      <c r="N691" s="5">
        <v>46100</v>
      </c>
      <c r="O691" s="1" t="s">
        <v>68</v>
      </c>
      <c r="P691" t="s">
        <v>35</v>
      </c>
      <c r="Q691" t="str">
        <f>IF(Excel_Advanced_Sales_Dataset_2000__3[[#This Row],[Delivery Status]]="Pending","Follow Up","Ok")</f>
        <v>Ok</v>
      </c>
      <c r="R691" s="1" t="s">
        <v>26</v>
      </c>
      <c r="S691">
        <f>Excel_Advanced_Sales_Dataset_2000__3[[#This Row],[Quantity]]*Excel_Advanced_Sales_Dataset_2000__3[[#This Row],[Unit Price]]*Excel_Advanced_Sales_Dataset_2000__3[[#This Row],[Discount %]]/100</f>
        <v>1434.2765040000002</v>
      </c>
      <c r="T691" s="4">
        <f>Excel_Advanced_Sales_Dataset_2000__3[[#This Row],[Quantity]]*Excel_Advanced_Sales_Dataset_2000__3[[#This Row],[Unit Price]]-Excel_Advanced_Sales_Dataset_2000__3[[#This Row],[Discount Amount]]</f>
        <v>50158.403496000006</v>
      </c>
    </row>
    <row r="692" spans="1:20" x14ac:dyDescent="0.25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>
        <v>16</v>
      </c>
      <c r="J692" s="4">
        <v>46632.86</v>
      </c>
      <c r="K692" s="6">
        <v>16.600000000000001</v>
      </c>
      <c r="L692" s="4">
        <v>622268.88</v>
      </c>
      <c r="M692" s="4" t="str" cm="1">
        <f t="array" ref="M692">IF(Excel_Advanced_Sales_Dataset_2000__3[[#This Row],[Total Sales]]&gt;50000,{"Yes"},{"No"})</f>
        <v>Yes</v>
      </c>
      <c r="N692" s="5">
        <v>46109</v>
      </c>
      <c r="O692" s="1" t="s">
        <v>113</v>
      </c>
      <c r="P692" t="s">
        <v>35</v>
      </c>
      <c r="Q692" t="str">
        <f>IF(Excel_Advanced_Sales_Dataset_2000__3[[#This Row],[Delivery Status]]="Pending","Follow Up","Ok")</f>
        <v>Ok</v>
      </c>
      <c r="R692" s="1" t="s">
        <v>53</v>
      </c>
      <c r="S692">
        <f>Excel_Advanced_Sales_Dataset_2000__3[[#This Row],[Quantity]]*Excel_Advanced_Sales_Dataset_2000__3[[#This Row],[Unit Price]]*Excel_Advanced_Sales_Dataset_2000__3[[#This Row],[Discount %]]/100</f>
        <v>123856.87616</v>
      </c>
      <c r="T692" s="4">
        <f>Excel_Advanced_Sales_Dataset_2000__3[[#This Row],[Quantity]]*Excel_Advanced_Sales_Dataset_2000__3[[#This Row],[Unit Price]]-Excel_Advanced_Sales_Dataset_2000__3[[#This Row],[Discount Amount]]</f>
        <v>622268.88384000002</v>
      </c>
    </row>
    <row r="693" spans="1:20" x14ac:dyDescent="0.25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>
        <v>16</v>
      </c>
      <c r="J693" s="4">
        <v>26942.06</v>
      </c>
      <c r="K693" s="6">
        <v>0.22</v>
      </c>
      <c r="L693" s="4">
        <v>430124.6</v>
      </c>
      <c r="M693" s="4" t="str" cm="1">
        <f t="array" ref="M693">IF(Excel_Advanced_Sales_Dataset_2000__3[[#This Row],[Total Sales]]&gt;50000,{"Yes"},{"No"})</f>
        <v>Yes</v>
      </c>
      <c r="N693" s="5">
        <v>46057</v>
      </c>
      <c r="O693" s="1" t="s">
        <v>45</v>
      </c>
      <c r="P693" t="s">
        <v>35</v>
      </c>
      <c r="Q693" t="str">
        <f>IF(Excel_Advanced_Sales_Dataset_2000__3[[#This Row],[Delivery Status]]="Pending","Follow Up","Ok")</f>
        <v>Ok</v>
      </c>
      <c r="R693" s="1" t="s">
        <v>53</v>
      </c>
      <c r="S693">
        <f>Excel_Advanced_Sales_Dataset_2000__3[[#This Row],[Quantity]]*Excel_Advanced_Sales_Dataset_2000__3[[#This Row],[Unit Price]]*Excel_Advanced_Sales_Dataset_2000__3[[#This Row],[Discount %]]/100</f>
        <v>948.36051199999997</v>
      </c>
      <c r="T693" s="4">
        <f>Excel_Advanced_Sales_Dataset_2000__3[[#This Row],[Quantity]]*Excel_Advanced_Sales_Dataset_2000__3[[#This Row],[Unit Price]]-Excel_Advanced_Sales_Dataset_2000__3[[#This Row],[Discount Amount]]</f>
        <v>430124.59948800004</v>
      </c>
    </row>
    <row r="694" spans="1:20" x14ac:dyDescent="0.25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>
        <v>49</v>
      </c>
      <c r="J694" s="4">
        <v>34902.58</v>
      </c>
      <c r="K694" s="6">
        <v>5.51</v>
      </c>
      <c r="L694" s="4">
        <v>1615992.94</v>
      </c>
      <c r="M694" s="4" t="str" cm="1">
        <f t="array" ref="M694">IF(Excel_Advanced_Sales_Dataset_2000__3[[#This Row],[Total Sales]]&gt;50000,{"Yes"},{"No"})</f>
        <v>Yes</v>
      </c>
      <c r="N694" s="5">
        <v>46317</v>
      </c>
      <c r="O694" s="1" t="s">
        <v>58</v>
      </c>
      <c r="P694" t="s">
        <v>35</v>
      </c>
      <c r="Q694" t="str">
        <f>IF(Excel_Advanced_Sales_Dataset_2000__3[[#This Row],[Delivery Status]]="Pending","Follow Up","Ok")</f>
        <v>Ok</v>
      </c>
      <c r="R694" s="1" t="s">
        <v>53</v>
      </c>
      <c r="S694">
        <f>Excel_Advanced_Sales_Dataset_2000__3[[#This Row],[Quantity]]*Excel_Advanced_Sales_Dataset_2000__3[[#This Row],[Unit Price]]*Excel_Advanced_Sales_Dataset_2000__3[[#This Row],[Discount %]]/100</f>
        <v>94233.47574200001</v>
      </c>
      <c r="T694" s="4">
        <f>Excel_Advanced_Sales_Dataset_2000__3[[#This Row],[Quantity]]*Excel_Advanced_Sales_Dataset_2000__3[[#This Row],[Unit Price]]-Excel_Advanced_Sales_Dataset_2000__3[[#This Row],[Discount Amount]]</f>
        <v>1615992.9442580002</v>
      </c>
    </row>
    <row r="695" spans="1:20" x14ac:dyDescent="0.25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>
        <v>28</v>
      </c>
      <c r="J695" s="4">
        <v>40287.040000000001</v>
      </c>
      <c r="K695" s="6">
        <v>1.37</v>
      </c>
      <c r="L695" s="4">
        <v>1112583.01</v>
      </c>
      <c r="M695" s="4" t="str" cm="1">
        <f t="array" ref="M695">IF(Excel_Advanced_Sales_Dataset_2000__3[[#This Row],[Total Sales]]&gt;50000,{"Yes"},{"No"})</f>
        <v>Yes</v>
      </c>
      <c r="N695" s="5">
        <v>46058</v>
      </c>
      <c r="O695" s="1" t="s">
        <v>24</v>
      </c>
      <c r="P695" t="s">
        <v>35</v>
      </c>
      <c r="Q695" t="str">
        <f>IF(Excel_Advanced_Sales_Dataset_2000__3[[#This Row],[Delivery Status]]="Pending","Follow Up","Ok")</f>
        <v>Ok</v>
      </c>
      <c r="R695" s="1" t="s">
        <v>26</v>
      </c>
      <c r="S695">
        <f>Excel_Advanced_Sales_Dataset_2000__3[[#This Row],[Quantity]]*Excel_Advanced_Sales_Dataset_2000__3[[#This Row],[Unit Price]]*Excel_Advanced_Sales_Dataset_2000__3[[#This Row],[Discount %]]/100</f>
        <v>15454.108544000002</v>
      </c>
      <c r="T695" s="4">
        <f>Excel_Advanced_Sales_Dataset_2000__3[[#This Row],[Quantity]]*Excel_Advanced_Sales_Dataset_2000__3[[#This Row],[Unit Price]]-Excel_Advanced_Sales_Dataset_2000__3[[#This Row],[Discount Amount]]</f>
        <v>1112583.0114560002</v>
      </c>
    </row>
    <row r="696" spans="1:20" x14ac:dyDescent="0.25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>
        <v>13</v>
      </c>
      <c r="J696" s="4">
        <v>34958.81</v>
      </c>
      <c r="K696" s="6">
        <v>19.3</v>
      </c>
      <c r="L696" s="4">
        <v>366752.88</v>
      </c>
      <c r="M696" s="4" t="str" cm="1">
        <f t="array" ref="M696">IF(Excel_Advanced_Sales_Dataset_2000__3[[#This Row],[Total Sales]]&gt;50000,{"Yes"},{"No"})</f>
        <v>Yes</v>
      </c>
      <c r="N696" s="5">
        <v>46195</v>
      </c>
      <c r="O696" s="1" t="s">
        <v>58</v>
      </c>
      <c r="P696" t="s">
        <v>25</v>
      </c>
      <c r="Q696" t="str">
        <f>IF(Excel_Advanced_Sales_Dataset_2000__3[[#This Row],[Delivery Status]]="Pending","Follow Up","Ok")</f>
        <v>Follow Up</v>
      </c>
      <c r="R696" s="1" t="s">
        <v>36</v>
      </c>
      <c r="S696">
        <f>Excel_Advanced_Sales_Dataset_2000__3[[#This Row],[Quantity]]*Excel_Advanced_Sales_Dataset_2000__3[[#This Row],[Unit Price]]*Excel_Advanced_Sales_Dataset_2000__3[[#This Row],[Discount %]]/100</f>
        <v>87711.654289999991</v>
      </c>
      <c r="T696" s="4">
        <f>Excel_Advanced_Sales_Dataset_2000__3[[#This Row],[Quantity]]*Excel_Advanced_Sales_Dataset_2000__3[[#This Row],[Unit Price]]-Excel_Advanced_Sales_Dataset_2000__3[[#This Row],[Discount Amount]]</f>
        <v>366752.87570999999</v>
      </c>
    </row>
    <row r="697" spans="1:20" x14ac:dyDescent="0.25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>
        <v>22</v>
      </c>
      <c r="J697" s="4">
        <v>23043.38</v>
      </c>
      <c r="K697" s="6">
        <v>13.18</v>
      </c>
      <c r="L697" s="4">
        <v>440137.78</v>
      </c>
      <c r="M697" s="4" t="str" cm="1">
        <f t="array" ref="M697">IF(Excel_Advanced_Sales_Dataset_2000__3[[#This Row],[Total Sales]]&gt;50000,{"Yes"},{"No"})</f>
        <v>Yes</v>
      </c>
      <c r="N697" s="5">
        <v>46104</v>
      </c>
      <c r="O697" s="1" t="s">
        <v>24</v>
      </c>
      <c r="P697" t="s">
        <v>35</v>
      </c>
      <c r="Q697" t="str">
        <f>IF(Excel_Advanced_Sales_Dataset_2000__3[[#This Row],[Delivery Status]]="Pending","Follow Up","Ok")</f>
        <v>Ok</v>
      </c>
      <c r="R697" s="1" t="s">
        <v>26</v>
      </c>
      <c r="S697">
        <f>Excel_Advanced_Sales_Dataset_2000__3[[#This Row],[Quantity]]*Excel_Advanced_Sales_Dataset_2000__3[[#This Row],[Unit Price]]*Excel_Advanced_Sales_Dataset_2000__3[[#This Row],[Discount %]]/100</f>
        <v>66816.584648000004</v>
      </c>
      <c r="T697" s="4">
        <f>Excel_Advanced_Sales_Dataset_2000__3[[#This Row],[Quantity]]*Excel_Advanced_Sales_Dataset_2000__3[[#This Row],[Unit Price]]-Excel_Advanced_Sales_Dataset_2000__3[[#This Row],[Discount Amount]]</f>
        <v>440137.77535200003</v>
      </c>
    </row>
    <row r="698" spans="1:20" x14ac:dyDescent="0.25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>
        <v>38</v>
      </c>
      <c r="J698" s="4">
        <v>26869.27</v>
      </c>
      <c r="K698" s="6">
        <v>15.7</v>
      </c>
      <c r="L698" s="4">
        <v>860730.2</v>
      </c>
      <c r="M698" s="4" t="str" cm="1">
        <f t="array" ref="M698">IF(Excel_Advanced_Sales_Dataset_2000__3[[#This Row],[Total Sales]]&gt;50000,{"Yes"},{"No"})</f>
        <v>Yes</v>
      </c>
      <c r="N698" s="5">
        <v>46102</v>
      </c>
      <c r="O698" s="1" t="s">
        <v>24</v>
      </c>
      <c r="P698" t="s">
        <v>35</v>
      </c>
      <c r="Q698" t="str">
        <f>IF(Excel_Advanced_Sales_Dataset_2000__3[[#This Row],[Delivery Status]]="Pending","Follow Up","Ok")</f>
        <v>Ok</v>
      </c>
      <c r="R698" s="1" t="s">
        <v>53</v>
      </c>
      <c r="S698">
        <f>Excel_Advanced_Sales_Dataset_2000__3[[#This Row],[Quantity]]*Excel_Advanced_Sales_Dataset_2000__3[[#This Row],[Unit Price]]*Excel_Advanced_Sales_Dataset_2000__3[[#This Row],[Discount %]]/100</f>
        <v>160302.06482</v>
      </c>
      <c r="T698" s="4">
        <f>Excel_Advanced_Sales_Dataset_2000__3[[#This Row],[Quantity]]*Excel_Advanced_Sales_Dataset_2000__3[[#This Row],[Unit Price]]-Excel_Advanced_Sales_Dataset_2000__3[[#This Row],[Discount Amount]]</f>
        <v>860730.19518000004</v>
      </c>
    </row>
    <row r="699" spans="1:20" x14ac:dyDescent="0.25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>
        <v>40</v>
      </c>
      <c r="J699" s="4">
        <v>46873.74</v>
      </c>
      <c r="K699" s="6">
        <v>18.39</v>
      </c>
      <c r="L699" s="4">
        <v>1530146.37</v>
      </c>
      <c r="M699" s="4" t="str" cm="1">
        <f t="array" ref="M699">IF(Excel_Advanced_Sales_Dataset_2000__3[[#This Row],[Total Sales]]&gt;50000,{"Yes"},{"No"})</f>
        <v>Yes</v>
      </c>
      <c r="N699" s="5">
        <v>46210</v>
      </c>
      <c r="O699" s="1" t="s">
        <v>58</v>
      </c>
      <c r="P699" t="s">
        <v>35</v>
      </c>
      <c r="Q699" t="str">
        <f>IF(Excel_Advanced_Sales_Dataset_2000__3[[#This Row],[Delivery Status]]="Pending","Follow Up","Ok")</f>
        <v>Ok</v>
      </c>
      <c r="R699" s="1" t="s">
        <v>53</v>
      </c>
      <c r="S699">
        <f>Excel_Advanced_Sales_Dataset_2000__3[[#This Row],[Quantity]]*Excel_Advanced_Sales_Dataset_2000__3[[#This Row],[Unit Price]]*Excel_Advanced_Sales_Dataset_2000__3[[#This Row],[Discount %]]/100</f>
        <v>344803.23144</v>
      </c>
      <c r="T699" s="4">
        <f>Excel_Advanced_Sales_Dataset_2000__3[[#This Row],[Quantity]]*Excel_Advanced_Sales_Dataset_2000__3[[#This Row],[Unit Price]]-Excel_Advanced_Sales_Dataset_2000__3[[#This Row],[Discount Amount]]</f>
        <v>1530146.3685599999</v>
      </c>
    </row>
    <row r="700" spans="1:20" x14ac:dyDescent="0.25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>
        <v>13</v>
      </c>
      <c r="J700" s="4">
        <v>27871.24</v>
      </c>
      <c r="K700" s="6">
        <v>7.5</v>
      </c>
      <c r="L700" s="4">
        <v>335151.65999999997</v>
      </c>
      <c r="M700" s="4" t="str" cm="1">
        <f t="array" ref="M700">IF(Excel_Advanced_Sales_Dataset_2000__3[[#This Row],[Total Sales]]&gt;50000,{"Yes"},{"No"})</f>
        <v>Yes</v>
      </c>
      <c r="N700" s="5">
        <v>46319</v>
      </c>
      <c r="O700" s="1" t="s">
        <v>24</v>
      </c>
      <c r="P700" t="s">
        <v>35</v>
      </c>
      <c r="Q700" t="str">
        <f>IF(Excel_Advanced_Sales_Dataset_2000__3[[#This Row],[Delivery Status]]="Pending","Follow Up","Ok")</f>
        <v>Ok</v>
      </c>
      <c r="R700" s="1" t="s">
        <v>53</v>
      </c>
      <c r="S700">
        <f>Excel_Advanced_Sales_Dataset_2000__3[[#This Row],[Quantity]]*Excel_Advanced_Sales_Dataset_2000__3[[#This Row],[Unit Price]]*Excel_Advanced_Sales_Dataset_2000__3[[#This Row],[Discount %]]/100</f>
        <v>27174.458999999999</v>
      </c>
      <c r="T700" s="4">
        <f>Excel_Advanced_Sales_Dataset_2000__3[[#This Row],[Quantity]]*Excel_Advanced_Sales_Dataset_2000__3[[#This Row],[Unit Price]]-Excel_Advanced_Sales_Dataset_2000__3[[#This Row],[Discount Amount]]</f>
        <v>335151.66100000002</v>
      </c>
    </row>
    <row r="701" spans="1:20" x14ac:dyDescent="0.25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>
        <v>31</v>
      </c>
      <c r="J701" s="4">
        <v>2041.74</v>
      </c>
      <c r="K701" s="6">
        <v>12.61</v>
      </c>
      <c r="L701" s="4">
        <v>55312.57</v>
      </c>
      <c r="M701" s="4" t="str" cm="1">
        <f t="array" ref="M701">IF(Excel_Advanced_Sales_Dataset_2000__3[[#This Row],[Total Sales]]&gt;50000,{"Yes"},{"No"})</f>
        <v>Yes</v>
      </c>
      <c r="N701" s="5">
        <v>46228</v>
      </c>
      <c r="O701" s="1" t="s">
        <v>24</v>
      </c>
      <c r="P701" t="s">
        <v>35</v>
      </c>
      <c r="Q701" t="str">
        <f>IF(Excel_Advanced_Sales_Dataset_2000__3[[#This Row],[Delivery Status]]="Pending","Follow Up","Ok")</f>
        <v>Ok</v>
      </c>
      <c r="R701" s="1" t="s">
        <v>53</v>
      </c>
      <c r="S701">
        <f>Excel_Advanced_Sales_Dataset_2000__3[[#This Row],[Quantity]]*Excel_Advanced_Sales_Dataset_2000__3[[#This Row],[Unit Price]]*Excel_Advanced_Sales_Dataset_2000__3[[#This Row],[Discount %]]/100</f>
        <v>7981.3658340000002</v>
      </c>
      <c r="T701" s="4">
        <f>Excel_Advanced_Sales_Dataset_2000__3[[#This Row],[Quantity]]*Excel_Advanced_Sales_Dataset_2000__3[[#This Row],[Unit Price]]-Excel_Advanced_Sales_Dataset_2000__3[[#This Row],[Discount Amount]]</f>
        <v>55312.574166000006</v>
      </c>
    </row>
    <row r="702" spans="1:20" x14ac:dyDescent="0.25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>
        <v>23</v>
      </c>
      <c r="J702" s="4">
        <v>13803.88</v>
      </c>
      <c r="K702" s="6">
        <v>2.0699999999999998</v>
      </c>
      <c r="L702" s="4">
        <v>310917.21000000002</v>
      </c>
      <c r="M702" s="4" t="str" cm="1">
        <f t="array" ref="M702">IF(Excel_Advanced_Sales_Dataset_2000__3[[#This Row],[Total Sales]]&gt;50000,{"Yes"},{"No"})</f>
        <v>Yes</v>
      </c>
      <c r="N702" s="5">
        <v>46248</v>
      </c>
      <c r="O702" s="1" t="s">
        <v>24</v>
      </c>
      <c r="P702" t="s">
        <v>35</v>
      </c>
      <c r="Q702" t="str">
        <f>IF(Excel_Advanced_Sales_Dataset_2000__3[[#This Row],[Delivery Status]]="Pending","Follow Up","Ok")</f>
        <v>Ok</v>
      </c>
      <c r="R702" s="1" t="s">
        <v>26</v>
      </c>
      <c r="S702">
        <f>Excel_Advanced_Sales_Dataset_2000__3[[#This Row],[Quantity]]*Excel_Advanced_Sales_Dataset_2000__3[[#This Row],[Unit Price]]*Excel_Advanced_Sales_Dataset_2000__3[[#This Row],[Discount %]]/100</f>
        <v>6572.0272679999998</v>
      </c>
      <c r="T702" s="4">
        <f>Excel_Advanced_Sales_Dataset_2000__3[[#This Row],[Quantity]]*Excel_Advanced_Sales_Dataset_2000__3[[#This Row],[Unit Price]]-Excel_Advanced_Sales_Dataset_2000__3[[#This Row],[Discount Amount]]</f>
        <v>310917.21273199999</v>
      </c>
    </row>
    <row r="703" spans="1:20" x14ac:dyDescent="0.25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>
        <v>35</v>
      </c>
      <c r="J703" s="4">
        <v>21907.57</v>
      </c>
      <c r="K703" s="6">
        <v>5.93</v>
      </c>
      <c r="L703" s="4">
        <v>721295.79</v>
      </c>
      <c r="M703" s="4" t="str" cm="1">
        <f t="array" ref="M703">IF(Excel_Advanced_Sales_Dataset_2000__3[[#This Row],[Total Sales]]&gt;50000,{"Yes"},{"No"})</f>
        <v>Yes</v>
      </c>
      <c r="N703" s="5">
        <v>46236</v>
      </c>
      <c r="O703" s="1" t="s">
        <v>68</v>
      </c>
      <c r="P703" t="s">
        <v>59</v>
      </c>
      <c r="Q703" t="str">
        <f>IF(Excel_Advanced_Sales_Dataset_2000__3[[#This Row],[Delivery Status]]="Pending","Follow Up","Ok")</f>
        <v>Ok</v>
      </c>
      <c r="R703" s="1" t="s">
        <v>36</v>
      </c>
      <c r="S703">
        <f>Excel_Advanced_Sales_Dataset_2000__3[[#This Row],[Quantity]]*Excel_Advanced_Sales_Dataset_2000__3[[#This Row],[Unit Price]]*Excel_Advanced_Sales_Dataset_2000__3[[#This Row],[Discount %]]/100</f>
        <v>45469.161534999992</v>
      </c>
      <c r="T703" s="4">
        <f>Excel_Advanced_Sales_Dataset_2000__3[[#This Row],[Quantity]]*Excel_Advanced_Sales_Dataset_2000__3[[#This Row],[Unit Price]]-Excel_Advanced_Sales_Dataset_2000__3[[#This Row],[Discount Amount]]</f>
        <v>721295.78846499999</v>
      </c>
    </row>
    <row r="704" spans="1:20" x14ac:dyDescent="0.25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>
        <v>34</v>
      </c>
      <c r="J704" s="4">
        <v>14722.53</v>
      </c>
      <c r="K704" s="6">
        <v>6.13</v>
      </c>
      <c r="L704" s="4">
        <v>469881.32</v>
      </c>
      <c r="M704" s="4" t="str" cm="1">
        <f t="array" ref="M704">IF(Excel_Advanced_Sales_Dataset_2000__3[[#This Row],[Total Sales]]&gt;50000,{"Yes"},{"No"})</f>
        <v>Yes</v>
      </c>
      <c r="N704" s="5">
        <v>46367</v>
      </c>
      <c r="O704" s="1" t="s">
        <v>45</v>
      </c>
      <c r="P704" t="s">
        <v>35</v>
      </c>
      <c r="Q704" t="str">
        <f>IF(Excel_Advanced_Sales_Dataset_2000__3[[#This Row],[Delivery Status]]="Pending","Follow Up","Ok")</f>
        <v>Ok</v>
      </c>
      <c r="R704" s="1" t="s">
        <v>26</v>
      </c>
      <c r="S704">
        <f>Excel_Advanced_Sales_Dataset_2000__3[[#This Row],[Quantity]]*Excel_Advanced_Sales_Dataset_2000__3[[#This Row],[Unit Price]]*Excel_Advanced_Sales_Dataset_2000__3[[#This Row],[Discount %]]/100</f>
        <v>30684.697025999998</v>
      </c>
      <c r="T704" s="4">
        <f>Excel_Advanced_Sales_Dataset_2000__3[[#This Row],[Quantity]]*Excel_Advanced_Sales_Dataset_2000__3[[#This Row],[Unit Price]]-Excel_Advanced_Sales_Dataset_2000__3[[#This Row],[Discount Amount]]</f>
        <v>469881.32297400001</v>
      </c>
    </row>
    <row r="705" spans="1:20" x14ac:dyDescent="0.25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>
        <v>38</v>
      </c>
      <c r="J705" s="4">
        <v>9981.7900000000009</v>
      </c>
      <c r="K705" s="6">
        <v>13.15</v>
      </c>
      <c r="L705" s="4">
        <v>329429.02</v>
      </c>
      <c r="M705" s="4" t="str" cm="1">
        <f t="array" ref="M705">IF(Excel_Advanced_Sales_Dataset_2000__3[[#This Row],[Total Sales]]&gt;50000,{"Yes"},{"No"})</f>
        <v>Yes</v>
      </c>
      <c r="N705" s="5">
        <v>46278</v>
      </c>
      <c r="O705" s="1" t="s">
        <v>24</v>
      </c>
      <c r="P705" t="s">
        <v>25</v>
      </c>
      <c r="Q705" t="str">
        <f>IF(Excel_Advanced_Sales_Dataset_2000__3[[#This Row],[Delivery Status]]="Pending","Follow Up","Ok")</f>
        <v>Follow Up</v>
      </c>
      <c r="R705" s="1" t="s">
        <v>53</v>
      </c>
      <c r="S705">
        <f>Excel_Advanced_Sales_Dataset_2000__3[[#This Row],[Quantity]]*Excel_Advanced_Sales_Dataset_2000__3[[#This Row],[Unit Price]]*Excel_Advanced_Sales_Dataset_2000__3[[#This Row],[Discount %]]/100</f>
        <v>49879.004630000003</v>
      </c>
      <c r="T705" s="4">
        <f>Excel_Advanced_Sales_Dataset_2000__3[[#This Row],[Quantity]]*Excel_Advanced_Sales_Dataset_2000__3[[#This Row],[Unit Price]]-Excel_Advanced_Sales_Dataset_2000__3[[#This Row],[Discount Amount]]</f>
        <v>329429.01537000004</v>
      </c>
    </row>
    <row r="706" spans="1:20" x14ac:dyDescent="0.25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>
        <v>22</v>
      </c>
      <c r="J706" s="4">
        <v>28817.33</v>
      </c>
      <c r="K706" s="6">
        <v>18.309999999999999</v>
      </c>
      <c r="L706" s="4">
        <v>517899.29</v>
      </c>
      <c r="M706" s="4" t="str" cm="1">
        <f t="array" ref="M706">IF(Excel_Advanced_Sales_Dataset_2000__3[[#This Row],[Total Sales]]&gt;50000,{"Yes"},{"No"})</f>
        <v>Yes</v>
      </c>
      <c r="N706" s="5">
        <v>46262</v>
      </c>
      <c r="O706" s="1" t="s">
        <v>58</v>
      </c>
      <c r="P706" t="s">
        <v>35</v>
      </c>
      <c r="Q706" t="str">
        <f>IF(Excel_Advanced_Sales_Dataset_2000__3[[#This Row],[Delivery Status]]="Pending","Follow Up","Ok")</f>
        <v>Ok</v>
      </c>
      <c r="R706" s="1" t="s">
        <v>53</v>
      </c>
      <c r="S706">
        <f>Excel_Advanced_Sales_Dataset_2000__3[[#This Row],[Quantity]]*Excel_Advanced_Sales_Dataset_2000__3[[#This Row],[Unit Price]]*Excel_Advanced_Sales_Dataset_2000__3[[#This Row],[Discount %]]/100</f>
        <v>116081.968706</v>
      </c>
      <c r="T706" s="4">
        <f>Excel_Advanced_Sales_Dataset_2000__3[[#This Row],[Quantity]]*Excel_Advanced_Sales_Dataset_2000__3[[#This Row],[Unit Price]]-Excel_Advanced_Sales_Dataset_2000__3[[#This Row],[Discount Amount]]</f>
        <v>517899.291294</v>
      </c>
    </row>
    <row r="707" spans="1:20" x14ac:dyDescent="0.25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>
        <v>29</v>
      </c>
      <c r="J707" s="4">
        <v>996.9</v>
      </c>
      <c r="K707" s="6">
        <v>5.69</v>
      </c>
      <c r="L707" s="4">
        <v>27265.119999999999</v>
      </c>
      <c r="M707" s="4" t="str" cm="1">
        <f t="array" ref="M707">IF(Excel_Advanced_Sales_Dataset_2000__3[[#This Row],[Total Sales]]&gt;50000,{"Yes"},{"No"})</f>
        <v>No</v>
      </c>
      <c r="N707" s="5">
        <v>46284</v>
      </c>
      <c r="O707" s="1" t="s">
        <v>113</v>
      </c>
      <c r="P707" t="s">
        <v>35</v>
      </c>
      <c r="Q707" t="str">
        <f>IF(Excel_Advanced_Sales_Dataset_2000__3[[#This Row],[Delivery Status]]="Pending","Follow Up","Ok")</f>
        <v>Ok</v>
      </c>
      <c r="R707" s="1" t="s">
        <v>26</v>
      </c>
      <c r="S707">
        <f>Excel_Advanced_Sales_Dataset_2000__3[[#This Row],[Quantity]]*Excel_Advanced_Sales_Dataset_2000__3[[#This Row],[Unit Price]]*Excel_Advanced_Sales_Dataset_2000__3[[#This Row],[Discount %]]/100</f>
        <v>1644.9846900000002</v>
      </c>
      <c r="T707" s="4">
        <f>Excel_Advanced_Sales_Dataset_2000__3[[#This Row],[Quantity]]*Excel_Advanced_Sales_Dataset_2000__3[[#This Row],[Unit Price]]-Excel_Advanced_Sales_Dataset_2000__3[[#This Row],[Discount Amount]]</f>
        <v>27265.115309999997</v>
      </c>
    </row>
    <row r="708" spans="1:20" x14ac:dyDescent="0.25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>
        <v>21</v>
      </c>
      <c r="J708" s="4">
        <v>37062.879999999997</v>
      </c>
      <c r="K708" s="6">
        <v>1.33</v>
      </c>
      <c r="L708" s="4">
        <v>767968.82</v>
      </c>
      <c r="M708" s="4" t="str" cm="1">
        <f t="array" ref="M708">IF(Excel_Advanced_Sales_Dataset_2000__3[[#This Row],[Total Sales]]&gt;50000,{"Yes"},{"No"})</f>
        <v>Yes</v>
      </c>
      <c r="N708" s="5">
        <v>46287</v>
      </c>
      <c r="O708" s="1" t="s">
        <v>58</v>
      </c>
      <c r="P708" t="s">
        <v>35</v>
      </c>
      <c r="Q708" t="str">
        <f>IF(Excel_Advanced_Sales_Dataset_2000__3[[#This Row],[Delivery Status]]="Pending","Follow Up","Ok")</f>
        <v>Ok</v>
      </c>
      <c r="R708" s="1" t="s">
        <v>36</v>
      </c>
      <c r="S708">
        <f>Excel_Advanced_Sales_Dataset_2000__3[[#This Row],[Quantity]]*Excel_Advanced_Sales_Dataset_2000__3[[#This Row],[Unit Price]]*Excel_Advanced_Sales_Dataset_2000__3[[#This Row],[Discount %]]/100</f>
        <v>10351.662384000001</v>
      </c>
      <c r="T708" s="4">
        <f>Excel_Advanced_Sales_Dataset_2000__3[[#This Row],[Quantity]]*Excel_Advanced_Sales_Dataset_2000__3[[#This Row],[Unit Price]]-Excel_Advanced_Sales_Dataset_2000__3[[#This Row],[Discount Amount]]</f>
        <v>767968.81761599996</v>
      </c>
    </row>
    <row r="709" spans="1:20" x14ac:dyDescent="0.25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>
        <v>45</v>
      </c>
      <c r="J709" s="4">
        <v>19022.36</v>
      </c>
      <c r="K709" s="6">
        <v>9.16</v>
      </c>
      <c r="L709" s="4">
        <v>777596.03</v>
      </c>
      <c r="M709" s="4" t="str" cm="1">
        <f t="array" ref="M709">IF(Excel_Advanced_Sales_Dataset_2000__3[[#This Row],[Total Sales]]&gt;50000,{"Yes"},{"No"})</f>
        <v>Yes</v>
      </c>
      <c r="N709" s="5">
        <v>46066</v>
      </c>
      <c r="O709" s="1" t="s">
        <v>58</v>
      </c>
      <c r="P709" t="s">
        <v>35</v>
      </c>
      <c r="Q709" t="str">
        <f>IF(Excel_Advanced_Sales_Dataset_2000__3[[#This Row],[Delivery Status]]="Pending","Follow Up","Ok")</f>
        <v>Ok</v>
      </c>
      <c r="R709" s="1" t="s">
        <v>26</v>
      </c>
      <c r="S709">
        <f>Excel_Advanced_Sales_Dataset_2000__3[[#This Row],[Quantity]]*Excel_Advanced_Sales_Dataset_2000__3[[#This Row],[Unit Price]]*Excel_Advanced_Sales_Dataset_2000__3[[#This Row],[Discount %]]/100</f>
        <v>78410.167920000007</v>
      </c>
      <c r="T709" s="4">
        <f>Excel_Advanced_Sales_Dataset_2000__3[[#This Row],[Quantity]]*Excel_Advanced_Sales_Dataset_2000__3[[#This Row],[Unit Price]]-Excel_Advanced_Sales_Dataset_2000__3[[#This Row],[Discount Amount]]</f>
        <v>777596.03208000003</v>
      </c>
    </row>
    <row r="710" spans="1:20" x14ac:dyDescent="0.25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>
        <v>1</v>
      </c>
      <c r="J710" s="4">
        <v>31182.46</v>
      </c>
      <c r="K710" s="6">
        <v>14.41</v>
      </c>
      <c r="L710" s="4">
        <v>26689.07</v>
      </c>
      <c r="M710" s="4" t="str" cm="1">
        <f t="array" ref="M710">IF(Excel_Advanced_Sales_Dataset_2000__3[[#This Row],[Total Sales]]&gt;50000,{"Yes"},{"No"})</f>
        <v>No</v>
      </c>
      <c r="N710" s="5">
        <v>46191</v>
      </c>
      <c r="O710" s="1" t="s">
        <v>24</v>
      </c>
      <c r="P710" t="s">
        <v>35</v>
      </c>
      <c r="Q710" t="str">
        <f>IF(Excel_Advanced_Sales_Dataset_2000__3[[#This Row],[Delivery Status]]="Pending","Follow Up","Ok")</f>
        <v>Ok</v>
      </c>
      <c r="R710" s="1" t="s">
        <v>36</v>
      </c>
      <c r="S710">
        <f>Excel_Advanced_Sales_Dataset_2000__3[[#This Row],[Quantity]]*Excel_Advanced_Sales_Dataset_2000__3[[#This Row],[Unit Price]]*Excel_Advanced_Sales_Dataset_2000__3[[#This Row],[Discount %]]/100</f>
        <v>4493.3924859999997</v>
      </c>
      <c r="T710" s="4">
        <f>Excel_Advanced_Sales_Dataset_2000__3[[#This Row],[Quantity]]*Excel_Advanced_Sales_Dataset_2000__3[[#This Row],[Unit Price]]-Excel_Advanced_Sales_Dataset_2000__3[[#This Row],[Discount Amount]]</f>
        <v>26689.067513999998</v>
      </c>
    </row>
    <row r="711" spans="1:20" x14ac:dyDescent="0.25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>
        <v>15</v>
      </c>
      <c r="J711" s="4">
        <v>34586.61</v>
      </c>
      <c r="K711" s="6">
        <v>12.75</v>
      </c>
      <c r="L711" s="4">
        <v>452652.26</v>
      </c>
      <c r="M711" s="4" t="str" cm="1">
        <f t="array" ref="M711">IF(Excel_Advanced_Sales_Dataset_2000__3[[#This Row],[Total Sales]]&gt;50000,{"Yes"},{"No"})</f>
        <v>Yes</v>
      </c>
      <c r="N711" s="5">
        <v>46170</v>
      </c>
      <c r="O711" s="1" t="s">
        <v>58</v>
      </c>
      <c r="P711" t="s">
        <v>35</v>
      </c>
      <c r="Q711" t="str">
        <f>IF(Excel_Advanced_Sales_Dataset_2000__3[[#This Row],[Delivery Status]]="Pending","Follow Up","Ok")</f>
        <v>Ok</v>
      </c>
      <c r="R711" s="1" t="s">
        <v>36</v>
      </c>
      <c r="S711">
        <f>Excel_Advanced_Sales_Dataset_2000__3[[#This Row],[Quantity]]*Excel_Advanced_Sales_Dataset_2000__3[[#This Row],[Unit Price]]*Excel_Advanced_Sales_Dataset_2000__3[[#This Row],[Discount %]]/100</f>
        <v>66146.891625000004</v>
      </c>
      <c r="T711" s="4">
        <f>Excel_Advanced_Sales_Dataset_2000__3[[#This Row],[Quantity]]*Excel_Advanced_Sales_Dataset_2000__3[[#This Row],[Unit Price]]-Excel_Advanced_Sales_Dataset_2000__3[[#This Row],[Discount Amount]]</f>
        <v>452652.25837500003</v>
      </c>
    </row>
    <row r="712" spans="1:20" x14ac:dyDescent="0.25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>
        <v>25</v>
      </c>
      <c r="J712" s="4">
        <v>23802.240000000002</v>
      </c>
      <c r="K712" s="6">
        <v>2.21</v>
      </c>
      <c r="L712" s="4">
        <v>581905.26</v>
      </c>
      <c r="M712" s="4" t="str" cm="1">
        <f t="array" ref="M712">IF(Excel_Advanced_Sales_Dataset_2000__3[[#This Row],[Total Sales]]&gt;50000,{"Yes"},{"No"})</f>
        <v>Yes</v>
      </c>
      <c r="N712" s="5">
        <v>46260</v>
      </c>
      <c r="O712" s="1" t="s">
        <v>68</v>
      </c>
      <c r="P712" t="s">
        <v>25</v>
      </c>
      <c r="Q712" t="str">
        <f>IF(Excel_Advanced_Sales_Dataset_2000__3[[#This Row],[Delivery Status]]="Pending","Follow Up","Ok")</f>
        <v>Follow Up</v>
      </c>
      <c r="R712" s="1" t="s">
        <v>53</v>
      </c>
      <c r="S712">
        <f>Excel_Advanced_Sales_Dataset_2000__3[[#This Row],[Quantity]]*Excel_Advanced_Sales_Dataset_2000__3[[#This Row],[Unit Price]]*Excel_Advanced_Sales_Dataset_2000__3[[#This Row],[Discount %]]/100</f>
        <v>13150.7376</v>
      </c>
      <c r="T712" s="4">
        <f>Excel_Advanced_Sales_Dataset_2000__3[[#This Row],[Quantity]]*Excel_Advanced_Sales_Dataset_2000__3[[#This Row],[Unit Price]]-Excel_Advanced_Sales_Dataset_2000__3[[#This Row],[Discount Amount]]</f>
        <v>581905.26240000001</v>
      </c>
    </row>
    <row r="713" spans="1:20" x14ac:dyDescent="0.25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>
        <v>37</v>
      </c>
      <c r="J713" s="4">
        <v>7741.46</v>
      </c>
      <c r="K713" s="6">
        <v>12.43</v>
      </c>
      <c r="L713" s="4">
        <v>250830.27</v>
      </c>
      <c r="M713" s="4" t="str" cm="1">
        <f t="array" ref="M713">IF(Excel_Advanced_Sales_Dataset_2000__3[[#This Row],[Total Sales]]&gt;50000,{"Yes"},{"No"})</f>
        <v>Yes</v>
      </c>
      <c r="N713" s="5">
        <v>46277</v>
      </c>
      <c r="O713" s="1" t="s">
        <v>68</v>
      </c>
      <c r="P713" t="s">
        <v>35</v>
      </c>
      <c r="Q713" t="str">
        <f>IF(Excel_Advanced_Sales_Dataset_2000__3[[#This Row],[Delivery Status]]="Pending","Follow Up","Ok")</f>
        <v>Ok</v>
      </c>
      <c r="R713" s="1" t="s">
        <v>53</v>
      </c>
      <c r="S713">
        <f>Excel_Advanced_Sales_Dataset_2000__3[[#This Row],[Quantity]]*Excel_Advanced_Sales_Dataset_2000__3[[#This Row],[Unit Price]]*Excel_Advanced_Sales_Dataset_2000__3[[#This Row],[Discount %]]/100</f>
        <v>35603.748685999999</v>
      </c>
      <c r="T713" s="4">
        <f>Excel_Advanced_Sales_Dataset_2000__3[[#This Row],[Quantity]]*Excel_Advanced_Sales_Dataset_2000__3[[#This Row],[Unit Price]]-Excel_Advanced_Sales_Dataset_2000__3[[#This Row],[Discount Amount]]</f>
        <v>250830.27131400001</v>
      </c>
    </row>
    <row r="714" spans="1:20" x14ac:dyDescent="0.25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>
        <v>17</v>
      </c>
      <c r="J714" s="4">
        <v>6587.9</v>
      </c>
      <c r="K714" s="6">
        <v>19.38</v>
      </c>
      <c r="L714" s="4">
        <v>90289.8</v>
      </c>
      <c r="M714" s="4" t="str" cm="1">
        <f t="array" ref="M714">IF(Excel_Advanced_Sales_Dataset_2000__3[[#This Row],[Total Sales]]&gt;50000,{"Yes"},{"No"})</f>
        <v>Yes</v>
      </c>
      <c r="N714" s="5">
        <v>46242</v>
      </c>
      <c r="O714" s="1" t="s">
        <v>24</v>
      </c>
      <c r="P714" t="s">
        <v>35</v>
      </c>
      <c r="Q714" t="str">
        <f>IF(Excel_Advanced_Sales_Dataset_2000__3[[#This Row],[Delivery Status]]="Pending","Follow Up","Ok")</f>
        <v>Ok</v>
      </c>
      <c r="R714" s="1" t="s">
        <v>53</v>
      </c>
      <c r="S714">
        <f>Excel_Advanced_Sales_Dataset_2000__3[[#This Row],[Quantity]]*Excel_Advanced_Sales_Dataset_2000__3[[#This Row],[Unit Price]]*Excel_Advanced_Sales_Dataset_2000__3[[#This Row],[Discount %]]/100</f>
        <v>21704.495339999994</v>
      </c>
      <c r="T714" s="4">
        <f>Excel_Advanced_Sales_Dataset_2000__3[[#This Row],[Quantity]]*Excel_Advanced_Sales_Dataset_2000__3[[#This Row],[Unit Price]]-Excel_Advanced_Sales_Dataset_2000__3[[#This Row],[Discount Amount]]</f>
        <v>90289.804659999994</v>
      </c>
    </row>
    <row r="715" spans="1:20" x14ac:dyDescent="0.25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>
        <v>42</v>
      </c>
      <c r="J715" s="4">
        <v>5001.3599999999997</v>
      </c>
      <c r="K715" s="6">
        <v>6.32</v>
      </c>
      <c r="L715" s="4">
        <v>196781.51</v>
      </c>
      <c r="M715" s="4" t="str" cm="1">
        <f t="array" ref="M715">IF(Excel_Advanced_Sales_Dataset_2000__3[[#This Row],[Total Sales]]&gt;50000,{"Yes"},{"No"})</f>
        <v>Yes</v>
      </c>
      <c r="N715" s="5">
        <v>46083</v>
      </c>
      <c r="O715" s="1" t="s">
        <v>45</v>
      </c>
      <c r="P715" t="s">
        <v>35</v>
      </c>
      <c r="Q715" t="str">
        <f>IF(Excel_Advanced_Sales_Dataset_2000__3[[#This Row],[Delivery Status]]="Pending","Follow Up","Ok")</f>
        <v>Ok</v>
      </c>
      <c r="R715" s="1" t="s">
        <v>36</v>
      </c>
      <c r="S715">
        <f>Excel_Advanced_Sales_Dataset_2000__3[[#This Row],[Quantity]]*Excel_Advanced_Sales_Dataset_2000__3[[#This Row],[Unit Price]]*Excel_Advanced_Sales_Dataset_2000__3[[#This Row],[Discount %]]/100</f>
        <v>13275.609983999999</v>
      </c>
      <c r="T715" s="4">
        <f>Excel_Advanced_Sales_Dataset_2000__3[[#This Row],[Quantity]]*Excel_Advanced_Sales_Dataset_2000__3[[#This Row],[Unit Price]]-Excel_Advanced_Sales_Dataset_2000__3[[#This Row],[Discount Amount]]</f>
        <v>196781.51001599999</v>
      </c>
    </row>
    <row r="716" spans="1:20" x14ac:dyDescent="0.25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>
        <v>44</v>
      </c>
      <c r="J716" s="4">
        <v>26426.06</v>
      </c>
      <c r="K716" s="6">
        <v>8.27</v>
      </c>
      <c r="L716" s="4">
        <v>1066587.49</v>
      </c>
      <c r="M716" s="4" t="str" cm="1">
        <f t="array" ref="M716">IF(Excel_Advanced_Sales_Dataset_2000__3[[#This Row],[Total Sales]]&gt;50000,{"Yes"},{"No"})</f>
        <v>Yes</v>
      </c>
      <c r="N716" s="5">
        <v>46146</v>
      </c>
      <c r="O716" s="1" t="s">
        <v>24</v>
      </c>
      <c r="P716" t="s">
        <v>35</v>
      </c>
      <c r="Q716" t="str">
        <f>IF(Excel_Advanced_Sales_Dataset_2000__3[[#This Row],[Delivery Status]]="Pending","Follow Up","Ok")</f>
        <v>Ok</v>
      </c>
      <c r="R716" s="1" t="s">
        <v>36</v>
      </c>
      <c r="S716">
        <f>Excel_Advanced_Sales_Dataset_2000__3[[#This Row],[Quantity]]*Excel_Advanced_Sales_Dataset_2000__3[[#This Row],[Unit Price]]*Excel_Advanced_Sales_Dataset_2000__3[[#This Row],[Discount %]]/100</f>
        <v>96159.147127999997</v>
      </c>
      <c r="T716" s="4">
        <f>Excel_Advanced_Sales_Dataset_2000__3[[#This Row],[Quantity]]*Excel_Advanced_Sales_Dataset_2000__3[[#This Row],[Unit Price]]-Excel_Advanced_Sales_Dataset_2000__3[[#This Row],[Discount Amount]]</f>
        <v>1066587.4928720002</v>
      </c>
    </row>
    <row r="717" spans="1:20" x14ac:dyDescent="0.25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>
        <v>45</v>
      </c>
      <c r="J717" s="4">
        <v>33928.550000000003</v>
      </c>
      <c r="K717" s="6">
        <v>1.92</v>
      </c>
      <c r="L717" s="4">
        <v>1497470.48</v>
      </c>
      <c r="M717" s="4" t="str" cm="1">
        <f t="array" ref="M717">IF(Excel_Advanced_Sales_Dataset_2000__3[[#This Row],[Total Sales]]&gt;50000,{"Yes"},{"No"})</f>
        <v>Yes</v>
      </c>
      <c r="N717" s="5">
        <v>46279</v>
      </c>
      <c r="O717" s="1" t="s">
        <v>45</v>
      </c>
      <c r="P717" t="s">
        <v>35</v>
      </c>
      <c r="Q717" t="str">
        <f>IF(Excel_Advanced_Sales_Dataset_2000__3[[#This Row],[Delivery Status]]="Pending","Follow Up","Ok")</f>
        <v>Ok</v>
      </c>
      <c r="R717" s="1" t="s">
        <v>36</v>
      </c>
      <c r="S717">
        <f>Excel_Advanced_Sales_Dataset_2000__3[[#This Row],[Quantity]]*Excel_Advanced_Sales_Dataset_2000__3[[#This Row],[Unit Price]]*Excel_Advanced_Sales_Dataset_2000__3[[#This Row],[Discount %]]/100</f>
        <v>29314.267200000002</v>
      </c>
      <c r="T717" s="4">
        <f>Excel_Advanced_Sales_Dataset_2000__3[[#This Row],[Quantity]]*Excel_Advanced_Sales_Dataset_2000__3[[#This Row],[Unit Price]]-Excel_Advanced_Sales_Dataset_2000__3[[#This Row],[Discount Amount]]</f>
        <v>1497470.4828000003</v>
      </c>
    </row>
    <row r="718" spans="1:20" x14ac:dyDescent="0.25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>
        <v>33</v>
      </c>
      <c r="J718" s="4">
        <v>17752.91</v>
      </c>
      <c r="K718" s="6">
        <v>0.32</v>
      </c>
      <c r="L718" s="4">
        <v>583971.31999999995</v>
      </c>
      <c r="M718" s="4" t="str" cm="1">
        <f t="array" ref="M718">IF(Excel_Advanced_Sales_Dataset_2000__3[[#This Row],[Total Sales]]&gt;50000,{"Yes"},{"No"})</f>
        <v>Yes</v>
      </c>
      <c r="N718" s="5">
        <v>46198</v>
      </c>
      <c r="O718" s="1" t="s">
        <v>45</v>
      </c>
      <c r="P718" t="s">
        <v>35</v>
      </c>
      <c r="Q718" t="str">
        <f>IF(Excel_Advanced_Sales_Dataset_2000__3[[#This Row],[Delivery Status]]="Pending","Follow Up","Ok")</f>
        <v>Ok</v>
      </c>
      <c r="R718" s="1" t="s">
        <v>36</v>
      </c>
      <c r="S718">
        <f>Excel_Advanced_Sales_Dataset_2000__3[[#This Row],[Quantity]]*Excel_Advanced_Sales_Dataset_2000__3[[#This Row],[Unit Price]]*Excel_Advanced_Sales_Dataset_2000__3[[#This Row],[Discount %]]/100</f>
        <v>1874.7072960000003</v>
      </c>
      <c r="T718" s="4">
        <f>Excel_Advanced_Sales_Dataset_2000__3[[#This Row],[Quantity]]*Excel_Advanced_Sales_Dataset_2000__3[[#This Row],[Unit Price]]-Excel_Advanced_Sales_Dataset_2000__3[[#This Row],[Discount Amount]]</f>
        <v>583971.32270400005</v>
      </c>
    </row>
    <row r="719" spans="1:20" x14ac:dyDescent="0.25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>
        <v>42</v>
      </c>
      <c r="J719" s="4">
        <v>10133.64</v>
      </c>
      <c r="K719" s="6">
        <v>1.47</v>
      </c>
      <c r="L719" s="4">
        <v>419356.37</v>
      </c>
      <c r="M719" s="4" t="str" cm="1">
        <f t="array" ref="M719">IF(Excel_Advanced_Sales_Dataset_2000__3[[#This Row],[Total Sales]]&gt;50000,{"Yes"},{"No"})</f>
        <v>Yes</v>
      </c>
      <c r="N719" s="5">
        <v>46105</v>
      </c>
      <c r="O719" s="1" t="s">
        <v>24</v>
      </c>
      <c r="P719" t="s">
        <v>35</v>
      </c>
      <c r="Q719" t="str">
        <f>IF(Excel_Advanced_Sales_Dataset_2000__3[[#This Row],[Delivery Status]]="Pending","Follow Up","Ok")</f>
        <v>Ok</v>
      </c>
      <c r="R719" s="1" t="s">
        <v>36</v>
      </c>
      <c r="S719">
        <f>Excel_Advanced_Sales_Dataset_2000__3[[#This Row],[Quantity]]*Excel_Advanced_Sales_Dataset_2000__3[[#This Row],[Unit Price]]*Excel_Advanced_Sales_Dataset_2000__3[[#This Row],[Discount %]]/100</f>
        <v>6256.5093360000001</v>
      </c>
      <c r="T719" s="4">
        <f>Excel_Advanced_Sales_Dataset_2000__3[[#This Row],[Quantity]]*Excel_Advanced_Sales_Dataset_2000__3[[#This Row],[Unit Price]]-Excel_Advanced_Sales_Dataset_2000__3[[#This Row],[Discount Amount]]</f>
        <v>419356.37066399999</v>
      </c>
    </row>
    <row r="720" spans="1:20" x14ac:dyDescent="0.25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>
        <v>49</v>
      </c>
      <c r="J720" s="4">
        <v>7383.21</v>
      </c>
      <c r="K720" s="6">
        <v>0.61</v>
      </c>
      <c r="L720" s="4">
        <v>359570.45</v>
      </c>
      <c r="M720" s="4" t="str" cm="1">
        <f t="array" ref="M720">IF(Excel_Advanced_Sales_Dataset_2000__3[[#This Row],[Total Sales]]&gt;50000,{"Yes"},{"No"})</f>
        <v>Yes</v>
      </c>
      <c r="N720" s="5">
        <v>46147</v>
      </c>
      <c r="O720" s="1" t="s">
        <v>113</v>
      </c>
      <c r="P720" t="s">
        <v>35</v>
      </c>
      <c r="Q720" t="str">
        <f>IF(Excel_Advanced_Sales_Dataset_2000__3[[#This Row],[Delivery Status]]="Pending","Follow Up","Ok")</f>
        <v>Ok</v>
      </c>
      <c r="R720" s="1" t="s">
        <v>36</v>
      </c>
      <c r="S720">
        <f>Excel_Advanced_Sales_Dataset_2000__3[[#This Row],[Quantity]]*Excel_Advanced_Sales_Dataset_2000__3[[#This Row],[Unit Price]]*Excel_Advanced_Sales_Dataset_2000__3[[#This Row],[Discount %]]/100</f>
        <v>2206.841469</v>
      </c>
      <c r="T720" s="4">
        <f>Excel_Advanced_Sales_Dataset_2000__3[[#This Row],[Quantity]]*Excel_Advanced_Sales_Dataset_2000__3[[#This Row],[Unit Price]]-Excel_Advanced_Sales_Dataset_2000__3[[#This Row],[Discount Amount]]</f>
        <v>359570.448531</v>
      </c>
    </row>
    <row r="721" spans="1:20" x14ac:dyDescent="0.25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>
        <v>26</v>
      </c>
      <c r="J721" s="4">
        <v>16834.05</v>
      </c>
      <c r="K721" s="6">
        <v>4.33</v>
      </c>
      <c r="L721" s="4">
        <v>418733.53</v>
      </c>
      <c r="M721" s="4" t="str" cm="1">
        <f t="array" ref="M721">IF(Excel_Advanced_Sales_Dataset_2000__3[[#This Row],[Total Sales]]&gt;50000,{"Yes"},{"No"})</f>
        <v>Yes</v>
      </c>
      <c r="N721" s="5">
        <v>46030</v>
      </c>
      <c r="O721" s="1" t="s">
        <v>24</v>
      </c>
      <c r="P721" t="s">
        <v>35</v>
      </c>
      <c r="Q721" t="str">
        <f>IF(Excel_Advanced_Sales_Dataset_2000__3[[#This Row],[Delivery Status]]="Pending","Follow Up","Ok")</f>
        <v>Ok</v>
      </c>
      <c r="R721" s="1" t="s">
        <v>53</v>
      </c>
      <c r="S721">
        <f>Excel_Advanced_Sales_Dataset_2000__3[[#This Row],[Quantity]]*Excel_Advanced_Sales_Dataset_2000__3[[#This Row],[Unit Price]]*Excel_Advanced_Sales_Dataset_2000__3[[#This Row],[Discount %]]/100</f>
        <v>18951.77349</v>
      </c>
      <c r="T721" s="4">
        <f>Excel_Advanced_Sales_Dataset_2000__3[[#This Row],[Quantity]]*Excel_Advanced_Sales_Dataset_2000__3[[#This Row],[Unit Price]]-Excel_Advanced_Sales_Dataset_2000__3[[#This Row],[Discount Amount]]</f>
        <v>418733.52651</v>
      </c>
    </row>
    <row r="722" spans="1:20" x14ac:dyDescent="0.25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>
        <v>30</v>
      </c>
      <c r="J722" s="4">
        <v>10454.9</v>
      </c>
      <c r="K722" s="6">
        <v>2.4</v>
      </c>
      <c r="L722" s="4">
        <v>306119.46999999997</v>
      </c>
      <c r="M722" s="4" t="str" cm="1">
        <f t="array" ref="M722">IF(Excel_Advanced_Sales_Dataset_2000__3[[#This Row],[Total Sales]]&gt;50000,{"Yes"},{"No"})</f>
        <v>Yes</v>
      </c>
      <c r="N722" s="5">
        <v>46375</v>
      </c>
      <c r="O722" s="1" t="s">
        <v>45</v>
      </c>
      <c r="P722" t="s">
        <v>35</v>
      </c>
      <c r="Q722" t="str">
        <f>IF(Excel_Advanced_Sales_Dataset_2000__3[[#This Row],[Delivery Status]]="Pending","Follow Up","Ok")</f>
        <v>Ok</v>
      </c>
      <c r="R722" s="1" t="s">
        <v>26</v>
      </c>
      <c r="S722">
        <f>Excel_Advanced_Sales_Dataset_2000__3[[#This Row],[Quantity]]*Excel_Advanced_Sales_Dataset_2000__3[[#This Row],[Unit Price]]*Excel_Advanced_Sales_Dataset_2000__3[[#This Row],[Discount %]]/100</f>
        <v>7527.5279999999993</v>
      </c>
      <c r="T722" s="4">
        <f>Excel_Advanced_Sales_Dataset_2000__3[[#This Row],[Quantity]]*Excel_Advanced_Sales_Dataset_2000__3[[#This Row],[Unit Price]]-Excel_Advanced_Sales_Dataset_2000__3[[#This Row],[Discount Amount]]</f>
        <v>306119.47200000001</v>
      </c>
    </row>
    <row r="723" spans="1:20" x14ac:dyDescent="0.25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>
        <v>30</v>
      </c>
      <c r="J723" s="4">
        <v>13276.85</v>
      </c>
      <c r="K723" s="6">
        <v>15.34</v>
      </c>
      <c r="L723" s="4">
        <v>337205.44</v>
      </c>
      <c r="M723" s="4" t="str" cm="1">
        <f t="array" ref="M723">IF(Excel_Advanced_Sales_Dataset_2000__3[[#This Row],[Total Sales]]&gt;50000,{"Yes"},{"No"})</f>
        <v>Yes</v>
      </c>
      <c r="N723" s="5">
        <v>46179</v>
      </c>
      <c r="O723" s="1" t="s">
        <v>68</v>
      </c>
      <c r="P723" t="s">
        <v>35</v>
      </c>
      <c r="Q723" t="str">
        <f>IF(Excel_Advanced_Sales_Dataset_2000__3[[#This Row],[Delivery Status]]="Pending","Follow Up","Ok")</f>
        <v>Ok</v>
      </c>
      <c r="R723" s="1" t="s">
        <v>26</v>
      </c>
      <c r="S723">
        <f>Excel_Advanced_Sales_Dataset_2000__3[[#This Row],[Quantity]]*Excel_Advanced_Sales_Dataset_2000__3[[#This Row],[Unit Price]]*Excel_Advanced_Sales_Dataset_2000__3[[#This Row],[Discount %]]/100</f>
        <v>61100.063699999999</v>
      </c>
      <c r="T723" s="4">
        <f>Excel_Advanced_Sales_Dataset_2000__3[[#This Row],[Quantity]]*Excel_Advanced_Sales_Dataset_2000__3[[#This Row],[Unit Price]]-Excel_Advanced_Sales_Dataset_2000__3[[#This Row],[Discount Amount]]</f>
        <v>337205.4363</v>
      </c>
    </row>
    <row r="724" spans="1:20" x14ac:dyDescent="0.25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>
        <v>22</v>
      </c>
      <c r="J724" s="4">
        <v>20209.11</v>
      </c>
      <c r="K724" s="6">
        <v>6.68</v>
      </c>
      <c r="L724" s="4">
        <v>414901.11</v>
      </c>
      <c r="M724" s="4" t="str" cm="1">
        <f t="array" ref="M724">IF(Excel_Advanced_Sales_Dataset_2000__3[[#This Row],[Total Sales]]&gt;50000,{"Yes"},{"No"})</f>
        <v>Yes</v>
      </c>
      <c r="N724" s="5">
        <v>46200</v>
      </c>
      <c r="O724" s="1" t="s">
        <v>68</v>
      </c>
      <c r="P724" t="s">
        <v>35</v>
      </c>
      <c r="Q724" t="str">
        <f>IF(Excel_Advanced_Sales_Dataset_2000__3[[#This Row],[Delivery Status]]="Pending","Follow Up","Ok")</f>
        <v>Ok</v>
      </c>
      <c r="R724" s="1" t="s">
        <v>36</v>
      </c>
      <c r="S724">
        <f>Excel_Advanced_Sales_Dataset_2000__3[[#This Row],[Quantity]]*Excel_Advanced_Sales_Dataset_2000__3[[#This Row],[Unit Price]]*Excel_Advanced_Sales_Dataset_2000__3[[#This Row],[Discount %]]/100</f>
        <v>29699.308056000002</v>
      </c>
      <c r="T724" s="4">
        <f>Excel_Advanced_Sales_Dataset_2000__3[[#This Row],[Quantity]]*Excel_Advanced_Sales_Dataset_2000__3[[#This Row],[Unit Price]]-Excel_Advanced_Sales_Dataset_2000__3[[#This Row],[Discount Amount]]</f>
        <v>414901.11194400006</v>
      </c>
    </row>
    <row r="725" spans="1:20" x14ac:dyDescent="0.25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>
        <v>30</v>
      </c>
      <c r="J725" s="4">
        <v>2082.5300000000002</v>
      </c>
      <c r="K725" s="6">
        <v>3.43</v>
      </c>
      <c r="L725" s="4">
        <v>60332.98</v>
      </c>
      <c r="M725" s="4" t="str" cm="1">
        <f t="array" ref="M725">IF(Excel_Advanced_Sales_Dataset_2000__3[[#This Row],[Total Sales]]&gt;50000,{"Yes"},{"No"})</f>
        <v>Yes</v>
      </c>
      <c r="N725" s="5">
        <v>46196</v>
      </c>
      <c r="O725" s="1" t="s">
        <v>24</v>
      </c>
      <c r="P725" t="s">
        <v>35</v>
      </c>
      <c r="Q725" t="str">
        <f>IF(Excel_Advanced_Sales_Dataset_2000__3[[#This Row],[Delivery Status]]="Pending","Follow Up","Ok")</f>
        <v>Ok</v>
      </c>
      <c r="R725" s="1" t="s">
        <v>53</v>
      </c>
      <c r="S725">
        <f>Excel_Advanced_Sales_Dataset_2000__3[[#This Row],[Quantity]]*Excel_Advanced_Sales_Dataset_2000__3[[#This Row],[Unit Price]]*Excel_Advanced_Sales_Dataset_2000__3[[#This Row],[Discount %]]/100</f>
        <v>2142.9233700000004</v>
      </c>
      <c r="T725" s="4">
        <f>Excel_Advanced_Sales_Dataset_2000__3[[#This Row],[Quantity]]*Excel_Advanced_Sales_Dataset_2000__3[[#This Row],[Unit Price]]-Excel_Advanced_Sales_Dataset_2000__3[[#This Row],[Discount Amount]]</f>
        <v>60332.976630000005</v>
      </c>
    </row>
    <row r="726" spans="1:20" x14ac:dyDescent="0.25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>
        <v>7</v>
      </c>
      <c r="J726" s="4">
        <v>32917.760000000002</v>
      </c>
      <c r="K726" s="6">
        <v>11.22</v>
      </c>
      <c r="L726" s="4">
        <v>204570.71</v>
      </c>
      <c r="M726" s="4" t="str" cm="1">
        <f t="array" ref="M726">IF(Excel_Advanced_Sales_Dataset_2000__3[[#This Row],[Total Sales]]&gt;50000,{"Yes"},{"No"})</f>
        <v>Yes</v>
      </c>
      <c r="N726" s="5">
        <v>46091</v>
      </c>
      <c r="O726" s="1" t="s">
        <v>58</v>
      </c>
      <c r="P726" t="s">
        <v>25</v>
      </c>
      <c r="Q726" t="str">
        <f>IF(Excel_Advanced_Sales_Dataset_2000__3[[#This Row],[Delivery Status]]="Pending","Follow Up","Ok")</f>
        <v>Follow Up</v>
      </c>
      <c r="R726" s="1" t="s">
        <v>36</v>
      </c>
      <c r="S726">
        <f>Excel_Advanced_Sales_Dataset_2000__3[[#This Row],[Quantity]]*Excel_Advanced_Sales_Dataset_2000__3[[#This Row],[Unit Price]]*Excel_Advanced_Sales_Dataset_2000__3[[#This Row],[Discount %]]/100</f>
        <v>25853.608704000002</v>
      </c>
      <c r="T726" s="4">
        <f>Excel_Advanced_Sales_Dataset_2000__3[[#This Row],[Quantity]]*Excel_Advanced_Sales_Dataset_2000__3[[#This Row],[Unit Price]]-Excel_Advanced_Sales_Dataset_2000__3[[#This Row],[Discount Amount]]</f>
        <v>204570.71129599999</v>
      </c>
    </row>
    <row r="727" spans="1:20" x14ac:dyDescent="0.25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>
        <v>2</v>
      </c>
      <c r="J727" s="4">
        <v>2432.27</v>
      </c>
      <c r="K727" s="6">
        <v>16.64</v>
      </c>
      <c r="L727" s="4">
        <v>4055.08</v>
      </c>
      <c r="M727" s="4" t="str" cm="1">
        <f t="array" ref="M727">IF(Excel_Advanced_Sales_Dataset_2000__3[[#This Row],[Total Sales]]&gt;50000,{"Yes"},{"No"})</f>
        <v>No</v>
      </c>
      <c r="N727" s="5">
        <v>46076</v>
      </c>
      <c r="O727" s="1" t="s">
        <v>45</v>
      </c>
      <c r="P727" t="s">
        <v>25</v>
      </c>
      <c r="Q727" t="str">
        <f>IF(Excel_Advanced_Sales_Dataset_2000__3[[#This Row],[Delivery Status]]="Pending","Follow Up","Ok")</f>
        <v>Follow Up</v>
      </c>
      <c r="R727" s="1" t="s">
        <v>53</v>
      </c>
      <c r="S727">
        <f>Excel_Advanced_Sales_Dataset_2000__3[[#This Row],[Quantity]]*Excel_Advanced_Sales_Dataset_2000__3[[#This Row],[Unit Price]]*Excel_Advanced_Sales_Dataset_2000__3[[#This Row],[Discount %]]/100</f>
        <v>809.45945600000005</v>
      </c>
      <c r="T727" s="4">
        <f>Excel_Advanced_Sales_Dataset_2000__3[[#This Row],[Quantity]]*Excel_Advanced_Sales_Dataset_2000__3[[#This Row],[Unit Price]]-Excel_Advanced_Sales_Dataset_2000__3[[#This Row],[Discount Amount]]</f>
        <v>4055.0805439999999</v>
      </c>
    </row>
    <row r="728" spans="1:20" x14ac:dyDescent="0.25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>
        <v>43</v>
      </c>
      <c r="J728" s="4">
        <v>33293.39</v>
      </c>
      <c r="K728" s="6">
        <v>9.5399999999999991</v>
      </c>
      <c r="L728" s="4">
        <v>1295039.6299999999</v>
      </c>
      <c r="M728" s="4" t="str" cm="1">
        <f t="array" ref="M728">IF(Excel_Advanced_Sales_Dataset_2000__3[[#This Row],[Total Sales]]&gt;50000,{"Yes"},{"No"})</f>
        <v>Yes</v>
      </c>
      <c r="N728" s="5">
        <v>46322</v>
      </c>
      <c r="O728" s="1" t="s">
        <v>45</v>
      </c>
      <c r="P728" t="s">
        <v>35</v>
      </c>
      <c r="Q728" t="str">
        <f>IF(Excel_Advanced_Sales_Dataset_2000__3[[#This Row],[Delivery Status]]="Pending","Follow Up","Ok")</f>
        <v>Ok</v>
      </c>
      <c r="R728" s="1" t="s">
        <v>36</v>
      </c>
      <c r="S728">
        <f>Excel_Advanced_Sales_Dataset_2000__3[[#This Row],[Quantity]]*Excel_Advanced_Sales_Dataset_2000__3[[#This Row],[Unit Price]]*Excel_Advanced_Sales_Dataset_2000__3[[#This Row],[Discount %]]/100</f>
        <v>136576.144458</v>
      </c>
      <c r="T728" s="4">
        <f>Excel_Advanced_Sales_Dataset_2000__3[[#This Row],[Quantity]]*Excel_Advanced_Sales_Dataset_2000__3[[#This Row],[Unit Price]]-Excel_Advanced_Sales_Dataset_2000__3[[#This Row],[Discount Amount]]</f>
        <v>1295039.6255419999</v>
      </c>
    </row>
    <row r="729" spans="1:20" x14ac:dyDescent="0.25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>
        <v>15</v>
      </c>
      <c r="J729" s="4">
        <v>46828.959999999999</v>
      </c>
      <c r="K729" s="6">
        <v>15.47</v>
      </c>
      <c r="L729" s="4">
        <v>593767.80000000005</v>
      </c>
      <c r="M729" s="4" t="str" cm="1">
        <f t="array" ref="M729">IF(Excel_Advanced_Sales_Dataset_2000__3[[#This Row],[Total Sales]]&gt;50000,{"Yes"},{"No"})</f>
        <v>Yes</v>
      </c>
      <c r="N729" s="5">
        <v>46133</v>
      </c>
      <c r="O729" s="1" t="s">
        <v>68</v>
      </c>
      <c r="P729" t="s">
        <v>35</v>
      </c>
      <c r="Q729" t="str">
        <f>IF(Excel_Advanced_Sales_Dataset_2000__3[[#This Row],[Delivery Status]]="Pending","Follow Up","Ok")</f>
        <v>Ok</v>
      </c>
      <c r="R729" s="1" t="s">
        <v>26</v>
      </c>
      <c r="S729">
        <f>Excel_Advanced_Sales_Dataset_2000__3[[#This Row],[Quantity]]*Excel_Advanced_Sales_Dataset_2000__3[[#This Row],[Unit Price]]*Excel_Advanced_Sales_Dataset_2000__3[[#This Row],[Discount %]]/100</f>
        <v>108666.60168000002</v>
      </c>
      <c r="T729" s="4">
        <f>Excel_Advanced_Sales_Dataset_2000__3[[#This Row],[Quantity]]*Excel_Advanced_Sales_Dataset_2000__3[[#This Row],[Unit Price]]-Excel_Advanced_Sales_Dataset_2000__3[[#This Row],[Discount Amount]]</f>
        <v>593767.79832000006</v>
      </c>
    </row>
    <row r="730" spans="1:20" x14ac:dyDescent="0.25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>
        <v>11</v>
      </c>
      <c r="J730" s="4">
        <v>12145.55</v>
      </c>
      <c r="K730" s="6">
        <v>9.99</v>
      </c>
      <c r="L730" s="4">
        <v>120254.31</v>
      </c>
      <c r="M730" s="4" t="str" cm="1">
        <f t="array" ref="M730">IF(Excel_Advanced_Sales_Dataset_2000__3[[#This Row],[Total Sales]]&gt;50000,{"Yes"},{"No"})</f>
        <v>Yes</v>
      </c>
      <c r="N730" s="5">
        <v>46037</v>
      </c>
      <c r="O730" s="1" t="s">
        <v>58</v>
      </c>
      <c r="P730" t="s">
        <v>35</v>
      </c>
      <c r="Q730" t="str">
        <f>IF(Excel_Advanced_Sales_Dataset_2000__3[[#This Row],[Delivery Status]]="Pending","Follow Up","Ok")</f>
        <v>Ok</v>
      </c>
      <c r="R730" s="1" t="s">
        <v>53</v>
      </c>
      <c r="S730">
        <f>Excel_Advanced_Sales_Dataset_2000__3[[#This Row],[Quantity]]*Excel_Advanced_Sales_Dataset_2000__3[[#This Row],[Unit Price]]*Excel_Advanced_Sales_Dataset_2000__3[[#This Row],[Discount %]]/100</f>
        <v>13346.744895</v>
      </c>
      <c r="T730" s="4">
        <f>Excel_Advanced_Sales_Dataset_2000__3[[#This Row],[Quantity]]*Excel_Advanced_Sales_Dataset_2000__3[[#This Row],[Unit Price]]-Excel_Advanced_Sales_Dataset_2000__3[[#This Row],[Discount Amount]]</f>
        <v>120254.30510499999</v>
      </c>
    </row>
    <row r="731" spans="1:20" x14ac:dyDescent="0.25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>
        <v>3</v>
      </c>
      <c r="J731" s="4">
        <v>47816.36</v>
      </c>
      <c r="K731" s="6">
        <v>15.67</v>
      </c>
      <c r="L731" s="4">
        <v>120970.61</v>
      </c>
      <c r="M731" s="4" t="str" cm="1">
        <f t="array" ref="M731">IF(Excel_Advanced_Sales_Dataset_2000__3[[#This Row],[Total Sales]]&gt;50000,{"Yes"},{"No"})</f>
        <v>Yes</v>
      </c>
      <c r="N731" s="5">
        <v>46064</v>
      </c>
      <c r="O731" s="1" t="s">
        <v>24</v>
      </c>
      <c r="P731" t="s">
        <v>35</v>
      </c>
      <c r="Q731" t="str">
        <f>IF(Excel_Advanced_Sales_Dataset_2000__3[[#This Row],[Delivery Status]]="Pending","Follow Up","Ok")</f>
        <v>Ok</v>
      </c>
      <c r="R731" s="1" t="s">
        <v>36</v>
      </c>
      <c r="S731">
        <f>Excel_Advanced_Sales_Dataset_2000__3[[#This Row],[Quantity]]*Excel_Advanced_Sales_Dataset_2000__3[[#This Row],[Unit Price]]*Excel_Advanced_Sales_Dataset_2000__3[[#This Row],[Discount %]]/100</f>
        <v>22478.470836</v>
      </c>
      <c r="T731" s="4">
        <f>Excel_Advanced_Sales_Dataset_2000__3[[#This Row],[Quantity]]*Excel_Advanced_Sales_Dataset_2000__3[[#This Row],[Unit Price]]-Excel_Advanced_Sales_Dataset_2000__3[[#This Row],[Discount Amount]]</f>
        <v>120970.60916400002</v>
      </c>
    </row>
    <row r="732" spans="1:20" x14ac:dyDescent="0.25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>
        <v>48</v>
      </c>
      <c r="J732" s="4">
        <v>30191.62</v>
      </c>
      <c r="K732" s="6">
        <v>0.46</v>
      </c>
      <c r="L732" s="4">
        <v>1442531.45</v>
      </c>
      <c r="M732" s="4" t="str" cm="1">
        <f t="array" ref="M732">IF(Excel_Advanced_Sales_Dataset_2000__3[[#This Row],[Total Sales]]&gt;50000,{"Yes"},{"No"})</f>
        <v>Yes</v>
      </c>
      <c r="N732" s="5">
        <v>46385</v>
      </c>
      <c r="O732" s="1" t="s">
        <v>113</v>
      </c>
      <c r="P732" t="s">
        <v>35</v>
      </c>
      <c r="Q732" t="str">
        <f>IF(Excel_Advanced_Sales_Dataset_2000__3[[#This Row],[Delivery Status]]="Pending","Follow Up","Ok")</f>
        <v>Ok</v>
      </c>
      <c r="R732" s="1" t="s">
        <v>36</v>
      </c>
      <c r="S732">
        <f>Excel_Advanced_Sales_Dataset_2000__3[[#This Row],[Quantity]]*Excel_Advanced_Sales_Dataset_2000__3[[#This Row],[Unit Price]]*Excel_Advanced_Sales_Dataset_2000__3[[#This Row],[Discount %]]/100</f>
        <v>6666.3096960000003</v>
      </c>
      <c r="T732" s="4">
        <f>Excel_Advanced_Sales_Dataset_2000__3[[#This Row],[Quantity]]*Excel_Advanced_Sales_Dataset_2000__3[[#This Row],[Unit Price]]-Excel_Advanced_Sales_Dataset_2000__3[[#This Row],[Discount Amount]]</f>
        <v>1442531.4503039999</v>
      </c>
    </row>
    <row r="733" spans="1:20" x14ac:dyDescent="0.25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>
        <v>4</v>
      </c>
      <c r="J733" s="4">
        <v>48009.7</v>
      </c>
      <c r="K733" s="6">
        <v>19.72</v>
      </c>
      <c r="L733" s="4">
        <v>154168.75</v>
      </c>
      <c r="M733" s="4" t="str" cm="1">
        <f t="array" ref="M733">IF(Excel_Advanced_Sales_Dataset_2000__3[[#This Row],[Total Sales]]&gt;50000,{"Yes"},{"No"})</f>
        <v>Yes</v>
      </c>
      <c r="N733" s="5">
        <v>46312</v>
      </c>
      <c r="O733" s="1" t="s">
        <v>58</v>
      </c>
      <c r="P733" t="s">
        <v>59</v>
      </c>
      <c r="Q733" t="str">
        <f>IF(Excel_Advanced_Sales_Dataset_2000__3[[#This Row],[Delivery Status]]="Pending","Follow Up","Ok")</f>
        <v>Ok</v>
      </c>
      <c r="R733" s="1" t="s">
        <v>53</v>
      </c>
      <c r="S733">
        <f>Excel_Advanced_Sales_Dataset_2000__3[[#This Row],[Quantity]]*Excel_Advanced_Sales_Dataset_2000__3[[#This Row],[Unit Price]]*Excel_Advanced_Sales_Dataset_2000__3[[#This Row],[Discount %]]/100</f>
        <v>37870.051359999998</v>
      </c>
      <c r="T733" s="4">
        <f>Excel_Advanced_Sales_Dataset_2000__3[[#This Row],[Quantity]]*Excel_Advanced_Sales_Dataset_2000__3[[#This Row],[Unit Price]]-Excel_Advanced_Sales_Dataset_2000__3[[#This Row],[Discount Amount]]</f>
        <v>154168.74864000001</v>
      </c>
    </row>
    <row r="734" spans="1:20" x14ac:dyDescent="0.25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>
        <v>43</v>
      </c>
      <c r="J734" s="4">
        <v>18933.7</v>
      </c>
      <c r="K734" s="6">
        <v>8.1</v>
      </c>
      <c r="L734" s="4">
        <v>748203.02</v>
      </c>
      <c r="M734" s="4" t="str" cm="1">
        <f t="array" ref="M734">IF(Excel_Advanced_Sales_Dataset_2000__3[[#This Row],[Total Sales]]&gt;50000,{"Yes"},{"No"})</f>
        <v>Yes</v>
      </c>
      <c r="N734" s="5">
        <v>46181</v>
      </c>
      <c r="O734" s="1" t="s">
        <v>24</v>
      </c>
      <c r="P734" t="s">
        <v>35</v>
      </c>
      <c r="Q734" t="str">
        <f>IF(Excel_Advanced_Sales_Dataset_2000__3[[#This Row],[Delivery Status]]="Pending","Follow Up","Ok")</f>
        <v>Ok</v>
      </c>
      <c r="R734" s="1" t="s">
        <v>53</v>
      </c>
      <c r="S734">
        <f>Excel_Advanced_Sales_Dataset_2000__3[[#This Row],[Quantity]]*Excel_Advanced_Sales_Dataset_2000__3[[#This Row],[Unit Price]]*Excel_Advanced_Sales_Dataset_2000__3[[#This Row],[Discount %]]/100</f>
        <v>65946.077099999995</v>
      </c>
      <c r="T734" s="4">
        <f>Excel_Advanced_Sales_Dataset_2000__3[[#This Row],[Quantity]]*Excel_Advanced_Sales_Dataset_2000__3[[#This Row],[Unit Price]]-Excel_Advanced_Sales_Dataset_2000__3[[#This Row],[Discount Amount]]</f>
        <v>748203.02289999998</v>
      </c>
    </row>
    <row r="735" spans="1:20" x14ac:dyDescent="0.25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>
        <v>30</v>
      </c>
      <c r="J735" s="4">
        <v>13091.85</v>
      </c>
      <c r="K735" s="6">
        <v>0.31</v>
      </c>
      <c r="L735" s="4">
        <v>391537.96</v>
      </c>
      <c r="M735" s="4" t="str" cm="1">
        <f t="array" ref="M735">IF(Excel_Advanced_Sales_Dataset_2000__3[[#This Row],[Total Sales]]&gt;50000,{"Yes"},{"No"})</f>
        <v>Yes</v>
      </c>
      <c r="N735" s="5">
        <v>46074</v>
      </c>
      <c r="O735" s="1" t="s">
        <v>24</v>
      </c>
      <c r="P735" t="s">
        <v>35</v>
      </c>
      <c r="Q735" t="str">
        <f>IF(Excel_Advanced_Sales_Dataset_2000__3[[#This Row],[Delivery Status]]="Pending","Follow Up","Ok")</f>
        <v>Ok</v>
      </c>
      <c r="R735" s="1" t="s">
        <v>36</v>
      </c>
      <c r="S735">
        <f>Excel_Advanced_Sales_Dataset_2000__3[[#This Row],[Quantity]]*Excel_Advanced_Sales_Dataset_2000__3[[#This Row],[Unit Price]]*Excel_Advanced_Sales_Dataset_2000__3[[#This Row],[Discount %]]/100</f>
        <v>1217.54205</v>
      </c>
      <c r="T735" s="4">
        <f>Excel_Advanced_Sales_Dataset_2000__3[[#This Row],[Quantity]]*Excel_Advanced_Sales_Dataset_2000__3[[#This Row],[Unit Price]]-Excel_Advanced_Sales_Dataset_2000__3[[#This Row],[Discount Amount]]</f>
        <v>391537.95795000001</v>
      </c>
    </row>
    <row r="736" spans="1:20" x14ac:dyDescent="0.25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>
        <v>18</v>
      </c>
      <c r="J736" s="4">
        <v>36346.089999999997</v>
      </c>
      <c r="K736" s="6">
        <v>18.11</v>
      </c>
      <c r="L736" s="4">
        <v>535748.64</v>
      </c>
      <c r="M736" s="4" t="str" cm="1">
        <f t="array" ref="M736">IF(Excel_Advanced_Sales_Dataset_2000__3[[#This Row],[Total Sales]]&gt;50000,{"Yes"},{"No"})</f>
        <v>Yes</v>
      </c>
      <c r="N736" s="5">
        <v>46362</v>
      </c>
      <c r="O736" s="1" t="s">
        <v>113</v>
      </c>
      <c r="P736" t="s">
        <v>35</v>
      </c>
      <c r="Q736" t="str">
        <f>IF(Excel_Advanced_Sales_Dataset_2000__3[[#This Row],[Delivery Status]]="Pending","Follow Up","Ok")</f>
        <v>Ok</v>
      </c>
      <c r="R736" s="1" t="s">
        <v>26</v>
      </c>
      <c r="S736">
        <f>Excel_Advanced_Sales_Dataset_2000__3[[#This Row],[Quantity]]*Excel_Advanced_Sales_Dataset_2000__3[[#This Row],[Unit Price]]*Excel_Advanced_Sales_Dataset_2000__3[[#This Row],[Discount %]]/100</f>
        <v>118480.98418199997</v>
      </c>
      <c r="T736" s="4">
        <f>Excel_Advanced_Sales_Dataset_2000__3[[#This Row],[Quantity]]*Excel_Advanced_Sales_Dataset_2000__3[[#This Row],[Unit Price]]-Excel_Advanced_Sales_Dataset_2000__3[[#This Row],[Discount Amount]]</f>
        <v>535748.63581799995</v>
      </c>
    </row>
    <row r="737" spans="1:20" x14ac:dyDescent="0.25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>
        <v>32</v>
      </c>
      <c r="J737" s="4">
        <v>37353.35</v>
      </c>
      <c r="K737" s="6">
        <v>4.22</v>
      </c>
      <c r="L737" s="4">
        <v>1144865.24</v>
      </c>
      <c r="M737" s="4" t="str" cm="1">
        <f t="array" ref="M737">IF(Excel_Advanced_Sales_Dataset_2000__3[[#This Row],[Total Sales]]&gt;50000,{"Yes"},{"No"})</f>
        <v>Yes</v>
      </c>
      <c r="N737" s="5">
        <v>46197</v>
      </c>
      <c r="O737" s="1" t="s">
        <v>68</v>
      </c>
      <c r="P737" t="s">
        <v>35</v>
      </c>
      <c r="Q737" t="str">
        <f>IF(Excel_Advanced_Sales_Dataset_2000__3[[#This Row],[Delivery Status]]="Pending","Follow Up","Ok")</f>
        <v>Ok</v>
      </c>
      <c r="R737" s="1" t="s">
        <v>36</v>
      </c>
      <c r="S737">
        <f>Excel_Advanced_Sales_Dataset_2000__3[[#This Row],[Quantity]]*Excel_Advanced_Sales_Dataset_2000__3[[#This Row],[Unit Price]]*Excel_Advanced_Sales_Dataset_2000__3[[#This Row],[Discount %]]/100</f>
        <v>50441.963839999997</v>
      </c>
      <c r="T737" s="4">
        <f>Excel_Advanced_Sales_Dataset_2000__3[[#This Row],[Quantity]]*Excel_Advanced_Sales_Dataset_2000__3[[#This Row],[Unit Price]]-Excel_Advanced_Sales_Dataset_2000__3[[#This Row],[Discount Amount]]</f>
        <v>1144865.2361599999</v>
      </c>
    </row>
    <row r="738" spans="1:20" x14ac:dyDescent="0.25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>
        <v>35</v>
      </c>
      <c r="J738" s="4">
        <v>47795.68</v>
      </c>
      <c r="K738" s="6">
        <v>11.8</v>
      </c>
      <c r="L738" s="4">
        <v>1475452.64</v>
      </c>
      <c r="M738" s="4" t="str" cm="1">
        <f t="array" ref="M738">IF(Excel_Advanced_Sales_Dataset_2000__3[[#This Row],[Total Sales]]&gt;50000,{"Yes"},{"No"})</f>
        <v>Yes</v>
      </c>
      <c r="N738" s="5">
        <v>46155</v>
      </c>
      <c r="O738" s="1" t="s">
        <v>68</v>
      </c>
      <c r="P738" t="s">
        <v>35</v>
      </c>
      <c r="Q738" t="str">
        <f>IF(Excel_Advanced_Sales_Dataset_2000__3[[#This Row],[Delivery Status]]="Pending","Follow Up","Ok")</f>
        <v>Ok</v>
      </c>
      <c r="R738" s="1" t="s">
        <v>36</v>
      </c>
      <c r="S738">
        <f>Excel_Advanced_Sales_Dataset_2000__3[[#This Row],[Quantity]]*Excel_Advanced_Sales_Dataset_2000__3[[#This Row],[Unit Price]]*Excel_Advanced_Sales_Dataset_2000__3[[#This Row],[Discount %]]/100</f>
        <v>197396.15840000004</v>
      </c>
      <c r="T738" s="4">
        <f>Excel_Advanced_Sales_Dataset_2000__3[[#This Row],[Quantity]]*Excel_Advanced_Sales_Dataset_2000__3[[#This Row],[Unit Price]]-Excel_Advanced_Sales_Dataset_2000__3[[#This Row],[Discount Amount]]</f>
        <v>1475452.6416</v>
      </c>
    </row>
    <row r="739" spans="1:20" x14ac:dyDescent="0.25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>
        <v>3</v>
      </c>
      <c r="J739" s="4">
        <v>16426.89</v>
      </c>
      <c r="K739" s="6">
        <v>4.32</v>
      </c>
      <c r="L739" s="4">
        <v>47151.75</v>
      </c>
      <c r="M739" s="4" t="str" cm="1">
        <f t="array" ref="M739">IF(Excel_Advanced_Sales_Dataset_2000__3[[#This Row],[Total Sales]]&gt;50000,{"Yes"},{"No"})</f>
        <v>No</v>
      </c>
      <c r="N739" s="5">
        <v>46132</v>
      </c>
      <c r="O739" s="1" t="s">
        <v>68</v>
      </c>
      <c r="P739" t="s">
        <v>35</v>
      </c>
      <c r="Q739" t="str">
        <f>IF(Excel_Advanced_Sales_Dataset_2000__3[[#This Row],[Delivery Status]]="Pending","Follow Up","Ok")</f>
        <v>Ok</v>
      </c>
      <c r="R739" s="1" t="s">
        <v>26</v>
      </c>
      <c r="S739">
        <f>Excel_Advanced_Sales_Dataset_2000__3[[#This Row],[Quantity]]*Excel_Advanced_Sales_Dataset_2000__3[[#This Row],[Unit Price]]*Excel_Advanced_Sales_Dataset_2000__3[[#This Row],[Discount %]]/100</f>
        <v>2128.9249439999999</v>
      </c>
      <c r="T739" s="4">
        <f>Excel_Advanced_Sales_Dataset_2000__3[[#This Row],[Quantity]]*Excel_Advanced_Sales_Dataset_2000__3[[#This Row],[Unit Price]]-Excel_Advanced_Sales_Dataset_2000__3[[#This Row],[Discount Amount]]</f>
        <v>47151.745056</v>
      </c>
    </row>
    <row r="740" spans="1:20" x14ac:dyDescent="0.25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>
        <v>1</v>
      </c>
      <c r="J740" s="4">
        <v>13064.04</v>
      </c>
      <c r="K740" s="6">
        <v>2.02</v>
      </c>
      <c r="L740" s="4">
        <v>12800.15</v>
      </c>
      <c r="M740" s="4" t="str" cm="1">
        <f t="array" ref="M740">IF(Excel_Advanced_Sales_Dataset_2000__3[[#This Row],[Total Sales]]&gt;50000,{"Yes"},{"No"})</f>
        <v>No</v>
      </c>
      <c r="N740" s="5">
        <v>46036</v>
      </c>
      <c r="O740" s="1" t="s">
        <v>68</v>
      </c>
      <c r="P740" t="s">
        <v>35</v>
      </c>
      <c r="Q740" t="str">
        <f>IF(Excel_Advanced_Sales_Dataset_2000__3[[#This Row],[Delivery Status]]="Pending","Follow Up","Ok")</f>
        <v>Ok</v>
      </c>
      <c r="R740" s="1" t="s">
        <v>36</v>
      </c>
      <c r="S740">
        <f>Excel_Advanced_Sales_Dataset_2000__3[[#This Row],[Quantity]]*Excel_Advanced_Sales_Dataset_2000__3[[#This Row],[Unit Price]]*Excel_Advanced_Sales_Dataset_2000__3[[#This Row],[Discount %]]/100</f>
        <v>263.89360800000003</v>
      </c>
      <c r="T740" s="4">
        <f>Excel_Advanced_Sales_Dataset_2000__3[[#This Row],[Quantity]]*Excel_Advanced_Sales_Dataset_2000__3[[#This Row],[Unit Price]]-Excel_Advanced_Sales_Dataset_2000__3[[#This Row],[Discount Amount]]</f>
        <v>12800.146392000001</v>
      </c>
    </row>
    <row r="741" spans="1:20" x14ac:dyDescent="0.25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>
        <v>34</v>
      </c>
      <c r="J741" s="4">
        <v>26568.25</v>
      </c>
      <c r="K741" s="6">
        <v>13.29</v>
      </c>
      <c r="L741" s="4">
        <v>783269.21</v>
      </c>
      <c r="M741" s="4" t="str" cm="1">
        <f t="array" ref="M741">IF(Excel_Advanced_Sales_Dataset_2000__3[[#This Row],[Total Sales]]&gt;50000,{"Yes"},{"No"})</f>
        <v>Yes</v>
      </c>
      <c r="N741" s="5">
        <v>46338</v>
      </c>
      <c r="O741" s="1" t="s">
        <v>58</v>
      </c>
      <c r="P741" t="s">
        <v>35</v>
      </c>
      <c r="Q741" t="str">
        <f>IF(Excel_Advanced_Sales_Dataset_2000__3[[#This Row],[Delivery Status]]="Pending","Follow Up","Ok")</f>
        <v>Ok</v>
      </c>
      <c r="R741" s="1" t="s">
        <v>53</v>
      </c>
      <c r="S741">
        <f>Excel_Advanced_Sales_Dataset_2000__3[[#This Row],[Quantity]]*Excel_Advanced_Sales_Dataset_2000__3[[#This Row],[Unit Price]]*Excel_Advanced_Sales_Dataset_2000__3[[#This Row],[Discount %]]/100</f>
        <v>120051.29444999999</v>
      </c>
      <c r="T741" s="4">
        <f>Excel_Advanced_Sales_Dataset_2000__3[[#This Row],[Quantity]]*Excel_Advanced_Sales_Dataset_2000__3[[#This Row],[Unit Price]]-Excel_Advanced_Sales_Dataset_2000__3[[#This Row],[Discount Amount]]</f>
        <v>783269.20555000007</v>
      </c>
    </row>
    <row r="742" spans="1:20" x14ac:dyDescent="0.25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>
        <v>20</v>
      </c>
      <c r="J742" s="4">
        <v>38884.04</v>
      </c>
      <c r="K742" s="6">
        <v>11.81</v>
      </c>
      <c r="L742" s="4">
        <v>685836.7</v>
      </c>
      <c r="M742" s="4" t="str" cm="1">
        <f t="array" ref="M742">IF(Excel_Advanced_Sales_Dataset_2000__3[[#This Row],[Total Sales]]&gt;50000,{"Yes"},{"No"})</f>
        <v>Yes</v>
      </c>
      <c r="N742" s="5">
        <v>46269</v>
      </c>
      <c r="O742" s="1" t="s">
        <v>58</v>
      </c>
      <c r="P742" t="s">
        <v>35</v>
      </c>
      <c r="Q742" t="str">
        <f>IF(Excel_Advanced_Sales_Dataset_2000__3[[#This Row],[Delivery Status]]="Pending","Follow Up","Ok")</f>
        <v>Ok</v>
      </c>
      <c r="R742" s="1" t="s">
        <v>36</v>
      </c>
      <c r="S742">
        <f>Excel_Advanced_Sales_Dataset_2000__3[[#This Row],[Quantity]]*Excel_Advanced_Sales_Dataset_2000__3[[#This Row],[Unit Price]]*Excel_Advanced_Sales_Dataset_2000__3[[#This Row],[Discount %]]/100</f>
        <v>91844.102480000016</v>
      </c>
      <c r="T742" s="4">
        <f>Excel_Advanced_Sales_Dataset_2000__3[[#This Row],[Quantity]]*Excel_Advanced_Sales_Dataset_2000__3[[#This Row],[Unit Price]]-Excel_Advanced_Sales_Dataset_2000__3[[#This Row],[Discount Amount]]</f>
        <v>685836.69752000005</v>
      </c>
    </row>
    <row r="743" spans="1:20" x14ac:dyDescent="0.25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>
        <v>11</v>
      </c>
      <c r="J743" s="4">
        <v>32431.18</v>
      </c>
      <c r="K743" s="6">
        <v>0.7</v>
      </c>
      <c r="L743" s="4">
        <v>354245.78</v>
      </c>
      <c r="M743" s="4" t="str" cm="1">
        <f t="array" ref="M743">IF(Excel_Advanced_Sales_Dataset_2000__3[[#This Row],[Total Sales]]&gt;50000,{"Yes"},{"No"})</f>
        <v>Yes</v>
      </c>
      <c r="N743" s="5">
        <v>46068</v>
      </c>
      <c r="O743" s="1" t="s">
        <v>68</v>
      </c>
      <c r="P743" t="s">
        <v>35</v>
      </c>
      <c r="Q743" t="str">
        <f>IF(Excel_Advanced_Sales_Dataset_2000__3[[#This Row],[Delivery Status]]="Pending","Follow Up","Ok")</f>
        <v>Ok</v>
      </c>
      <c r="R743" s="1" t="s">
        <v>36</v>
      </c>
      <c r="S743">
        <f>Excel_Advanced_Sales_Dataset_2000__3[[#This Row],[Quantity]]*Excel_Advanced_Sales_Dataset_2000__3[[#This Row],[Unit Price]]*Excel_Advanced_Sales_Dataset_2000__3[[#This Row],[Discount %]]/100</f>
        <v>2497.2008599999999</v>
      </c>
      <c r="T743" s="4">
        <f>Excel_Advanced_Sales_Dataset_2000__3[[#This Row],[Quantity]]*Excel_Advanced_Sales_Dataset_2000__3[[#This Row],[Unit Price]]-Excel_Advanced_Sales_Dataset_2000__3[[#This Row],[Discount Amount]]</f>
        <v>354245.77914</v>
      </c>
    </row>
    <row r="744" spans="1:20" x14ac:dyDescent="0.25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>
        <v>45</v>
      </c>
      <c r="J744" s="4">
        <v>40317.21</v>
      </c>
      <c r="K744" s="6">
        <v>18.420000000000002</v>
      </c>
      <c r="L744" s="4">
        <v>1480085.1</v>
      </c>
      <c r="M744" s="4" t="str" cm="1">
        <f t="array" ref="M744">IF(Excel_Advanced_Sales_Dataset_2000__3[[#This Row],[Total Sales]]&gt;50000,{"Yes"},{"No"})</f>
        <v>Yes</v>
      </c>
      <c r="N744" s="5">
        <v>46314</v>
      </c>
      <c r="O744" s="1" t="s">
        <v>68</v>
      </c>
      <c r="P744" t="s">
        <v>35</v>
      </c>
      <c r="Q744" t="str">
        <f>IF(Excel_Advanced_Sales_Dataset_2000__3[[#This Row],[Delivery Status]]="Pending","Follow Up","Ok")</f>
        <v>Ok</v>
      </c>
      <c r="R744" s="1" t="s">
        <v>53</v>
      </c>
      <c r="S744">
        <f>Excel_Advanced_Sales_Dataset_2000__3[[#This Row],[Quantity]]*Excel_Advanced_Sales_Dataset_2000__3[[#This Row],[Unit Price]]*Excel_Advanced_Sales_Dataset_2000__3[[#This Row],[Discount %]]/100</f>
        <v>334189.35369000002</v>
      </c>
      <c r="T744" s="4">
        <f>Excel_Advanced_Sales_Dataset_2000__3[[#This Row],[Quantity]]*Excel_Advanced_Sales_Dataset_2000__3[[#This Row],[Unit Price]]-Excel_Advanced_Sales_Dataset_2000__3[[#This Row],[Discount Amount]]</f>
        <v>1480085.0963099999</v>
      </c>
    </row>
    <row r="745" spans="1:20" x14ac:dyDescent="0.25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>
        <v>43</v>
      </c>
      <c r="J745" s="4">
        <v>614.83000000000004</v>
      </c>
      <c r="K745" s="6">
        <v>9.59</v>
      </c>
      <c r="L745" s="4">
        <v>23902.32</v>
      </c>
      <c r="M745" s="4" t="str" cm="1">
        <f t="array" ref="M745">IF(Excel_Advanced_Sales_Dataset_2000__3[[#This Row],[Total Sales]]&gt;50000,{"Yes"},{"No"})</f>
        <v>No</v>
      </c>
      <c r="N745" s="5">
        <v>46208</v>
      </c>
      <c r="O745" s="1" t="s">
        <v>45</v>
      </c>
      <c r="P745" t="s">
        <v>35</v>
      </c>
      <c r="Q745" t="str">
        <f>IF(Excel_Advanced_Sales_Dataset_2000__3[[#This Row],[Delivery Status]]="Pending","Follow Up","Ok")</f>
        <v>Ok</v>
      </c>
      <c r="R745" s="1" t="s">
        <v>53</v>
      </c>
      <c r="S745">
        <f>Excel_Advanced_Sales_Dataset_2000__3[[#This Row],[Quantity]]*Excel_Advanced_Sales_Dataset_2000__3[[#This Row],[Unit Price]]*Excel_Advanced_Sales_Dataset_2000__3[[#This Row],[Discount %]]/100</f>
        <v>2535.3744710000001</v>
      </c>
      <c r="T745" s="4">
        <f>Excel_Advanced_Sales_Dataset_2000__3[[#This Row],[Quantity]]*Excel_Advanced_Sales_Dataset_2000__3[[#This Row],[Unit Price]]-Excel_Advanced_Sales_Dataset_2000__3[[#This Row],[Discount Amount]]</f>
        <v>23902.315529000003</v>
      </c>
    </row>
    <row r="746" spans="1:20" x14ac:dyDescent="0.25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>
        <v>14</v>
      </c>
      <c r="J746" s="4">
        <v>32023.81</v>
      </c>
      <c r="K746" s="6">
        <v>10.02</v>
      </c>
      <c r="L746" s="4">
        <v>403410.34</v>
      </c>
      <c r="M746" s="4" t="str" cm="1">
        <f t="array" ref="M746">IF(Excel_Advanced_Sales_Dataset_2000__3[[#This Row],[Total Sales]]&gt;50000,{"Yes"},{"No"})</f>
        <v>Yes</v>
      </c>
      <c r="N746" s="5">
        <v>46327</v>
      </c>
      <c r="O746" s="1" t="s">
        <v>24</v>
      </c>
      <c r="P746" t="s">
        <v>59</v>
      </c>
      <c r="Q746" t="str">
        <f>IF(Excel_Advanced_Sales_Dataset_2000__3[[#This Row],[Delivery Status]]="Pending","Follow Up","Ok")</f>
        <v>Ok</v>
      </c>
      <c r="R746" s="1" t="s">
        <v>53</v>
      </c>
      <c r="S746">
        <f>Excel_Advanced_Sales_Dataset_2000__3[[#This Row],[Quantity]]*Excel_Advanced_Sales_Dataset_2000__3[[#This Row],[Unit Price]]*Excel_Advanced_Sales_Dataset_2000__3[[#This Row],[Discount %]]/100</f>
        <v>44923.000668000001</v>
      </c>
      <c r="T746" s="4">
        <f>Excel_Advanced_Sales_Dataset_2000__3[[#This Row],[Quantity]]*Excel_Advanced_Sales_Dataset_2000__3[[#This Row],[Unit Price]]-Excel_Advanced_Sales_Dataset_2000__3[[#This Row],[Discount Amount]]</f>
        <v>403410.339332</v>
      </c>
    </row>
    <row r="747" spans="1:20" x14ac:dyDescent="0.25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>
        <v>39</v>
      </c>
      <c r="J747" s="4">
        <v>32457</v>
      </c>
      <c r="K747" s="6">
        <v>19.7</v>
      </c>
      <c r="L747" s="4">
        <v>1016455.87</v>
      </c>
      <c r="M747" s="4" t="str" cm="1">
        <f t="array" ref="M747">IF(Excel_Advanced_Sales_Dataset_2000__3[[#This Row],[Total Sales]]&gt;50000,{"Yes"},{"No"})</f>
        <v>Yes</v>
      </c>
      <c r="N747" s="5">
        <v>46117</v>
      </c>
      <c r="O747" s="1" t="s">
        <v>24</v>
      </c>
      <c r="P747" t="s">
        <v>35</v>
      </c>
      <c r="Q747" t="str">
        <f>IF(Excel_Advanced_Sales_Dataset_2000__3[[#This Row],[Delivery Status]]="Pending","Follow Up","Ok")</f>
        <v>Ok</v>
      </c>
      <c r="R747" s="1" t="s">
        <v>53</v>
      </c>
      <c r="S747">
        <f>Excel_Advanced_Sales_Dataset_2000__3[[#This Row],[Quantity]]*Excel_Advanced_Sales_Dataset_2000__3[[#This Row],[Unit Price]]*Excel_Advanced_Sales_Dataset_2000__3[[#This Row],[Discount %]]/100</f>
        <v>249367.13099999996</v>
      </c>
      <c r="T747" s="4">
        <f>Excel_Advanced_Sales_Dataset_2000__3[[#This Row],[Quantity]]*Excel_Advanced_Sales_Dataset_2000__3[[#This Row],[Unit Price]]-Excel_Advanced_Sales_Dataset_2000__3[[#This Row],[Discount Amount]]</f>
        <v>1016455.8690000001</v>
      </c>
    </row>
    <row r="748" spans="1:20" x14ac:dyDescent="0.25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>
        <v>5</v>
      </c>
      <c r="J748" s="4">
        <v>32693.95</v>
      </c>
      <c r="K748" s="6">
        <v>10.29</v>
      </c>
      <c r="L748" s="4">
        <v>146648.71</v>
      </c>
      <c r="M748" s="4" t="str" cm="1">
        <f t="array" ref="M748">IF(Excel_Advanced_Sales_Dataset_2000__3[[#This Row],[Total Sales]]&gt;50000,{"Yes"},{"No"})</f>
        <v>Yes</v>
      </c>
      <c r="N748" s="5">
        <v>46069</v>
      </c>
      <c r="O748" s="1" t="s">
        <v>68</v>
      </c>
      <c r="P748" t="s">
        <v>35</v>
      </c>
      <c r="Q748" t="str">
        <f>IF(Excel_Advanced_Sales_Dataset_2000__3[[#This Row],[Delivery Status]]="Pending","Follow Up","Ok")</f>
        <v>Ok</v>
      </c>
      <c r="R748" s="1" t="s">
        <v>36</v>
      </c>
      <c r="S748">
        <f>Excel_Advanced_Sales_Dataset_2000__3[[#This Row],[Quantity]]*Excel_Advanced_Sales_Dataset_2000__3[[#This Row],[Unit Price]]*Excel_Advanced_Sales_Dataset_2000__3[[#This Row],[Discount %]]/100</f>
        <v>16821.037274999999</v>
      </c>
      <c r="T748" s="4">
        <f>Excel_Advanced_Sales_Dataset_2000__3[[#This Row],[Quantity]]*Excel_Advanced_Sales_Dataset_2000__3[[#This Row],[Unit Price]]-Excel_Advanced_Sales_Dataset_2000__3[[#This Row],[Discount Amount]]</f>
        <v>146648.71272499999</v>
      </c>
    </row>
    <row r="749" spans="1:20" x14ac:dyDescent="0.25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>
        <v>48</v>
      </c>
      <c r="J749" s="4">
        <v>5345.23</v>
      </c>
      <c r="K749" s="6">
        <v>10.88</v>
      </c>
      <c r="L749" s="4">
        <v>228656.11</v>
      </c>
      <c r="M749" s="4" t="str" cm="1">
        <f t="array" ref="M749">IF(Excel_Advanced_Sales_Dataset_2000__3[[#This Row],[Total Sales]]&gt;50000,{"Yes"},{"No"})</f>
        <v>Yes</v>
      </c>
      <c r="N749" s="5">
        <v>46162</v>
      </c>
      <c r="O749" s="1" t="s">
        <v>45</v>
      </c>
      <c r="P749" t="s">
        <v>25</v>
      </c>
      <c r="Q749" t="str">
        <f>IF(Excel_Advanced_Sales_Dataset_2000__3[[#This Row],[Delivery Status]]="Pending","Follow Up","Ok")</f>
        <v>Follow Up</v>
      </c>
      <c r="R749" s="1" t="s">
        <v>36</v>
      </c>
      <c r="S749">
        <f>Excel_Advanced_Sales_Dataset_2000__3[[#This Row],[Quantity]]*Excel_Advanced_Sales_Dataset_2000__3[[#This Row],[Unit Price]]*Excel_Advanced_Sales_Dataset_2000__3[[#This Row],[Discount %]]/100</f>
        <v>27914.929152000001</v>
      </c>
      <c r="T749" s="4">
        <f>Excel_Advanced_Sales_Dataset_2000__3[[#This Row],[Quantity]]*Excel_Advanced_Sales_Dataset_2000__3[[#This Row],[Unit Price]]-Excel_Advanced_Sales_Dataset_2000__3[[#This Row],[Discount Amount]]</f>
        <v>228656.11084799998</v>
      </c>
    </row>
    <row r="750" spans="1:20" x14ac:dyDescent="0.25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>
        <v>5</v>
      </c>
      <c r="J750" s="4">
        <v>32820</v>
      </c>
      <c r="K750" s="6">
        <v>4.67</v>
      </c>
      <c r="L750" s="4">
        <v>156436.53</v>
      </c>
      <c r="M750" s="4" t="str" cm="1">
        <f t="array" ref="M750">IF(Excel_Advanced_Sales_Dataset_2000__3[[#This Row],[Total Sales]]&gt;50000,{"Yes"},{"No"})</f>
        <v>Yes</v>
      </c>
      <c r="N750" s="5">
        <v>46048</v>
      </c>
      <c r="O750" s="1" t="s">
        <v>58</v>
      </c>
      <c r="P750" t="s">
        <v>35</v>
      </c>
      <c r="Q750" t="str">
        <f>IF(Excel_Advanced_Sales_Dataset_2000__3[[#This Row],[Delivery Status]]="Pending","Follow Up","Ok")</f>
        <v>Ok</v>
      </c>
      <c r="R750" s="1" t="s">
        <v>53</v>
      </c>
      <c r="S750">
        <f>Excel_Advanced_Sales_Dataset_2000__3[[#This Row],[Quantity]]*Excel_Advanced_Sales_Dataset_2000__3[[#This Row],[Unit Price]]*Excel_Advanced_Sales_Dataset_2000__3[[#This Row],[Discount %]]/100</f>
        <v>7663.47</v>
      </c>
      <c r="T750" s="4">
        <f>Excel_Advanced_Sales_Dataset_2000__3[[#This Row],[Quantity]]*Excel_Advanced_Sales_Dataset_2000__3[[#This Row],[Unit Price]]-Excel_Advanced_Sales_Dataset_2000__3[[#This Row],[Discount Amount]]</f>
        <v>156436.53</v>
      </c>
    </row>
    <row r="751" spans="1:20" x14ac:dyDescent="0.25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>
        <v>25</v>
      </c>
      <c r="J751" s="4">
        <v>25688.68</v>
      </c>
      <c r="K751" s="6">
        <v>13.2</v>
      </c>
      <c r="L751" s="4">
        <v>557444.36</v>
      </c>
      <c r="M751" s="4" t="str" cm="1">
        <f t="array" ref="M751">IF(Excel_Advanced_Sales_Dataset_2000__3[[#This Row],[Total Sales]]&gt;50000,{"Yes"},{"No"})</f>
        <v>Yes</v>
      </c>
      <c r="N751" s="5">
        <v>46098</v>
      </c>
      <c r="O751" s="1" t="s">
        <v>113</v>
      </c>
      <c r="P751" t="s">
        <v>35</v>
      </c>
      <c r="Q751" t="str">
        <f>IF(Excel_Advanced_Sales_Dataset_2000__3[[#This Row],[Delivery Status]]="Pending","Follow Up","Ok")</f>
        <v>Ok</v>
      </c>
      <c r="R751" s="1" t="s">
        <v>53</v>
      </c>
      <c r="S751">
        <f>Excel_Advanced_Sales_Dataset_2000__3[[#This Row],[Quantity]]*Excel_Advanced_Sales_Dataset_2000__3[[#This Row],[Unit Price]]*Excel_Advanced_Sales_Dataset_2000__3[[#This Row],[Discount %]]/100</f>
        <v>84772.644</v>
      </c>
      <c r="T751" s="4">
        <f>Excel_Advanced_Sales_Dataset_2000__3[[#This Row],[Quantity]]*Excel_Advanced_Sales_Dataset_2000__3[[#This Row],[Unit Price]]-Excel_Advanced_Sales_Dataset_2000__3[[#This Row],[Discount Amount]]</f>
        <v>557444.35600000003</v>
      </c>
    </row>
    <row r="752" spans="1:20" x14ac:dyDescent="0.25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>
        <v>33</v>
      </c>
      <c r="J752" s="4">
        <v>841.88</v>
      </c>
      <c r="K752" s="6">
        <v>7.57</v>
      </c>
      <c r="L752" s="4">
        <v>25678.94</v>
      </c>
      <c r="M752" s="4" t="str" cm="1">
        <f t="array" ref="M752">IF(Excel_Advanced_Sales_Dataset_2000__3[[#This Row],[Total Sales]]&gt;50000,{"Yes"},{"No"})</f>
        <v>No</v>
      </c>
      <c r="N752" s="5">
        <v>46201</v>
      </c>
      <c r="O752" s="1" t="s">
        <v>45</v>
      </c>
      <c r="P752" t="s">
        <v>59</v>
      </c>
      <c r="Q752" t="str">
        <f>IF(Excel_Advanced_Sales_Dataset_2000__3[[#This Row],[Delivery Status]]="Pending","Follow Up","Ok")</f>
        <v>Ok</v>
      </c>
      <c r="R752" s="1" t="s">
        <v>36</v>
      </c>
      <c r="S752">
        <f>Excel_Advanced_Sales_Dataset_2000__3[[#This Row],[Quantity]]*Excel_Advanced_Sales_Dataset_2000__3[[#This Row],[Unit Price]]*Excel_Advanced_Sales_Dataset_2000__3[[#This Row],[Discount %]]/100</f>
        <v>2103.1004280000002</v>
      </c>
      <c r="T752" s="4">
        <f>Excel_Advanced_Sales_Dataset_2000__3[[#This Row],[Quantity]]*Excel_Advanced_Sales_Dataset_2000__3[[#This Row],[Unit Price]]-Excel_Advanced_Sales_Dataset_2000__3[[#This Row],[Discount Amount]]</f>
        <v>25678.939571999999</v>
      </c>
    </row>
    <row r="753" spans="1:20" x14ac:dyDescent="0.25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>
        <v>2</v>
      </c>
      <c r="J753" s="4">
        <v>33491.18</v>
      </c>
      <c r="K753" s="6">
        <v>17.28</v>
      </c>
      <c r="L753" s="4">
        <v>55407.81</v>
      </c>
      <c r="M753" s="4" t="str" cm="1">
        <f t="array" ref="M753">IF(Excel_Advanced_Sales_Dataset_2000__3[[#This Row],[Total Sales]]&gt;50000,{"Yes"},{"No"})</f>
        <v>Yes</v>
      </c>
      <c r="N753" s="5">
        <v>46285</v>
      </c>
      <c r="O753" s="1" t="s">
        <v>113</v>
      </c>
      <c r="P753" t="s">
        <v>59</v>
      </c>
      <c r="Q753" t="str">
        <f>IF(Excel_Advanced_Sales_Dataset_2000__3[[#This Row],[Delivery Status]]="Pending","Follow Up","Ok")</f>
        <v>Ok</v>
      </c>
      <c r="R753" s="1" t="s">
        <v>26</v>
      </c>
      <c r="S753">
        <f>Excel_Advanced_Sales_Dataset_2000__3[[#This Row],[Quantity]]*Excel_Advanced_Sales_Dataset_2000__3[[#This Row],[Unit Price]]*Excel_Advanced_Sales_Dataset_2000__3[[#This Row],[Discount %]]/100</f>
        <v>11574.551808</v>
      </c>
      <c r="T753" s="4">
        <f>Excel_Advanced_Sales_Dataset_2000__3[[#This Row],[Quantity]]*Excel_Advanced_Sales_Dataset_2000__3[[#This Row],[Unit Price]]-Excel_Advanced_Sales_Dataset_2000__3[[#This Row],[Discount Amount]]</f>
        <v>55407.808191999997</v>
      </c>
    </row>
    <row r="754" spans="1:20" x14ac:dyDescent="0.25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>
        <v>6</v>
      </c>
      <c r="J754" s="4">
        <v>26056.12</v>
      </c>
      <c r="K754" s="6">
        <v>7.01</v>
      </c>
      <c r="L754" s="4">
        <v>145377.51999999999</v>
      </c>
      <c r="M754" s="4" t="str" cm="1">
        <f t="array" ref="M754">IF(Excel_Advanced_Sales_Dataset_2000__3[[#This Row],[Total Sales]]&gt;50000,{"Yes"},{"No"})</f>
        <v>Yes</v>
      </c>
      <c r="N754" s="5">
        <v>46143</v>
      </c>
      <c r="O754" s="1" t="s">
        <v>45</v>
      </c>
      <c r="P754" t="s">
        <v>25</v>
      </c>
      <c r="Q754" t="str">
        <f>IF(Excel_Advanced_Sales_Dataset_2000__3[[#This Row],[Delivery Status]]="Pending","Follow Up","Ok")</f>
        <v>Follow Up</v>
      </c>
      <c r="R754" s="1" t="s">
        <v>36</v>
      </c>
      <c r="S754">
        <f>Excel_Advanced_Sales_Dataset_2000__3[[#This Row],[Quantity]]*Excel_Advanced_Sales_Dataset_2000__3[[#This Row],[Unit Price]]*Excel_Advanced_Sales_Dataset_2000__3[[#This Row],[Discount %]]/100</f>
        <v>10959.204072</v>
      </c>
      <c r="T754" s="4">
        <f>Excel_Advanced_Sales_Dataset_2000__3[[#This Row],[Quantity]]*Excel_Advanced_Sales_Dataset_2000__3[[#This Row],[Unit Price]]-Excel_Advanced_Sales_Dataset_2000__3[[#This Row],[Discount Amount]]</f>
        <v>145377.51592800001</v>
      </c>
    </row>
    <row r="755" spans="1:20" x14ac:dyDescent="0.25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>
        <v>16</v>
      </c>
      <c r="J755" s="4">
        <v>34903.21</v>
      </c>
      <c r="K755" s="6">
        <v>16.899999999999999</v>
      </c>
      <c r="L755" s="4">
        <v>464073.08</v>
      </c>
      <c r="M755" s="4" t="str" cm="1">
        <f t="array" ref="M755">IF(Excel_Advanced_Sales_Dataset_2000__3[[#This Row],[Total Sales]]&gt;50000,{"Yes"},{"No"})</f>
        <v>Yes</v>
      </c>
      <c r="N755" s="5">
        <v>46368</v>
      </c>
      <c r="O755" s="1" t="s">
        <v>24</v>
      </c>
      <c r="P755" t="s">
        <v>35</v>
      </c>
      <c r="Q755" t="str">
        <f>IF(Excel_Advanced_Sales_Dataset_2000__3[[#This Row],[Delivery Status]]="Pending","Follow Up","Ok")</f>
        <v>Ok</v>
      </c>
      <c r="R755" s="1" t="s">
        <v>36</v>
      </c>
      <c r="S755">
        <f>Excel_Advanced_Sales_Dataset_2000__3[[#This Row],[Quantity]]*Excel_Advanced_Sales_Dataset_2000__3[[#This Row],[Unit Price]]*Excel_Advanced_Sales_Dataset_2000__3[[#This Row],[Discount %]]/100</f>
        <v>94378.279839999988</v>
      </c>
      <c r="T755" s="4">
        <f>Excel_Advanced_Sales_Dataset_2000__3[[#This Row],[Quantity]]*Excel_Advanced_Sales_Dataset_2000__3[[#This Row],[Unit Price]]-Excel_Advanced_Sales_Dataset_2000__3[[#This Row],[Discount Amount]]</f>
        <v>464073.08016000001</v>
      </c>
    </row>
    <row r="756" spans="1:20" x14ac:dyDescent="0.25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>
        <v>47</v>
      </c>
      <c r="J756" s="4">
        <v>34044.31</v>
      </c>
      <c r="K756" s="6">
        <v>4.12</v>
      </c>
      <c r="L756" s="4">
        <v>1534159.17</v>
      </c>
      <c r="M756" s="4" t="str" cm="1">
        <f t="array" ref="M756">IF(Excel_Advanced_Sales_Dataset_2000__3[[#This Row],[Total Sales]]&gt;50000,{"Yes"},{"No"})</f>
        <v>Yes</v>
      </c>
      <c r="N756" s="5">
        <v>46270</v>
      </c>
      <c r="O756" s="1" t="s">
        <v>68</v>
      </c>
      <c r="P756" t="s">
        <v>25</v>
      </c>
      <c r="Q756" t="str">
        <f>IF(Excel_Advanced_Sales_Dataset_2000__3[[#This Row],[Delivery Status]]="Pending","Follow Up","Ok")</f>
        <v>Follow Up</v>
      </c>
      <c r="R756" s="1" t="s">
        <v>26</v>
      </c>
      <c r="S756">
        <f>Excel_Advanced_Sales_Dataset_2000__3[[#This Row],[Quantity]]*Excel_Advanced_Sales_Dataset_2000__3[[#This Row],[Unit Price]]*Excel_Advanced_Sales_Dataset_2000__3[[#This Row],[Discount %]]/100</f>
        <v>65923.401883999992</v>
      </c>
      <c r="T756" s="4">
        <f>Excel_Advanced_Sales_Dataset_2000__3[[#This Row],[Quantity]]*Excel_Advanced_Sales_Dataset_2000__3[[#This Row],[Unit Price]]-Excel_Advanced_Sales_Dataset_2000__3[[#This Row],[Discount Amount]]</f>
        <v>1534159.1681159998</v>
      </c>
    </row>
    <row r="757" spans="1:20" x14ac:dyDescent="0.25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>
        <v>17</v>
      </c>
      <c r="J757" s="4">
        <v>48954.65</v>
      </c>
      <c r="K757" s="6">
        <v>6.93</v>
      </c>
      <c r="L757" s="4">
        <v>774555.58</v>
      </c>
      <c r="M757" s="4" t="str" cm="1">
        <f t="array" ref="M757">IF(Excel_Advanced_Sales_Dataset_2000__3[[#This Row],[Total Sales]]&gt;50000,{"Yes"},{"No"})</f>
        <v>Yes</v>
      </c>
      <c r="N757" s="5">
        <v>46032</v>
      </c>
      <c r="O757" s="1" t="s">
        <v>113</v>
      </c>
      <c r="P757" t="s">
        <v>35</v>
      </c>
      <c r="Q757" t="str">
        <f>IF(Excel_Advanced_Sales_Dataset_2000__3[[#This Row],[Delivery Status]]="Pending","Follow Up","Ok")</f>
        <v>Ok</v>
      </c>
      <c r="R757" s="1" t="s">
        <v>26</v>
      </c>
      <c r="S757">
        <f>Excel_Advanced_Sales_Dataset_2000__3[[#This Row],[Quantity]]*Excel_Advanced_Sales_Dataset_2000__3[[#This Row],[Unit Price]]*Excel_Advanced_Sales_Dataset_2000__3[[#This Row],[Discount %]]/100</f>
        <v>57673.473164999996</v>
      </c>
      <c r="T757" s="4">
        <f>Excel_Advanced_Sales_Dataset_2000__3[[#This Row],[Quantity]]*Excel_Advanced_Sales_Dataset_2000__3[[#This Row],[Unit Price]]-Excel_Advanced_Sales_Dataset_2000__3[[#This Row],[Discount Amount]]</f>
        <v>774555.57683500007</v>
      </c>
    </row>
    <row r="758" spans="1:20" x14ac:dyDescent="0.25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>
        <v>44</v>
      </c>
      <c r="J758" s="4">
        <v>26520.400000000001</v>
      </c>
      <c r="K758" s="6">
        <v>13.01</v>
      </c>
      <c r="L758" s="4">
        <v>1015084.22</v>
      </c>
      <c r="M758" s="4" t="str" cm="1">
        <f t="array" ref="M758">IF(Excel_Advanced_Sales_Dataset_2000__3[[#This Row],[Total Sales]]&gt;50000,{"Yes"},{"No"})</f>
        <v>Yes</v>
      </c>
      <c r="N758" s="5">
        <v>46280</v>
      </c>
      <c r="O758" s="1" t="s">
        <v>24</v>
      </c>
      <c r="P758" t="s">
        <v>25</v>
      </c>
      <c r="Q758" t="str">
        <f>IF(Excel_Advanced_Sales_Dataset_2000__3[[#This Row],[Delivery Status]]="Pending","Follow Up","Ok")</f>
        <v>Follow Up</v>
      </c>
      <c r="R758" s="1" t="s">
        <v>36</v>
      </c>
      <c r="S758">
        <f>Excel_Advanced_Sales_Dataset_2000__3[[#This Row],[Quantity]]*Excel_Advanced_Sales_Dataset_2000__3[[#This Row],[Unit Price]]*Excel_Advanced_Sales_Dataset_2000__3[[#This Row],[Discount %]]/100</f>
        <v>151813.37776</v>
      </c>
      <c r="T758" s="4">
        <f>Excel_Advanced_Sales_Dataset_2000__3[[#This Row],[Quantity]]*Excel_Advanced_Sales_Dataset_2000__3[[#This Row],[Unit Price]]-Excel_Advanced_Sales_Dataset_2000__3[[#This Row],[Discount Amount]]</f>
        <v>1015084.22224</v>
      </c>
    </row>
    <row r="759" spans="1:20" x14ac:dyDescent="0.25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>
        <v>25</v>
      </c>
      <c r="J759" s="4">
        <v>14170.7</v>
      </c>
      <c r="K759" s="6">
        <v>18.010000000000002</v>
      </c>
      <c r="L759" s="4">
        <v>290463.92</v>
      </c>
      <c r="M759" s="4" t="str" cm="1">
        <f t="array" ref="M759">IF(Excel_Advanced_Sales_Dataset_2000__3[[#This Row],[Total Sales]]&gt;50000,{"Yes"},{"No"})</f>
        <v>Yes</v>
      </c>
      <c r="N759" s="5">
        <v>46366</v>
      </c>
      <c r="O759" s="1" t="s">
        <v>58</v>
      </c>
      <c r="P759" t="s">
        <v>25</v>
      </c>
      <c r="Q759" t="str">
        <f>IF(Excel_Advanced_Sales_Dataset_2000__3[[#This Row],[Delivery Status]]="Pending","Follow Up","Ok")</f>
        <v>Follow Up</v>
      </c>
      <c r="R759" s="1" t="s">
        <v>26</v>
      </c>
      <c r="S759">
        <f>Excel_Advanced_Sales_Dataset_2000__3[[#This Row],[Quantity]]*Excel_Advanced_Sales_Dataset_2000__3[[#This Row],[Unit Price]]*Excel_Advanced_Sales_Dataset_2000__3[[#This Row],[Discount %]]/100</f>
        <v>63803.576750000007</v>
      </c>
      <c r="T759" s="4">
        <f>Excel_Advanced_Sales_Dataset_2000__3[[#This Row],[Quantity]]*Excel_Advanced_Sales_Dataset_2000__3[[#This Row],[Unit Price]]-Excel_Advanced_Sales_Dataset_2000__3[[#This Row],[Discount Amount]]</f>
        <v>290463.92324999999</v>
      </c>
    </row>
    <row r="760" spans="1:20" x14ac:dyDescent="0.25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>
        <v>49</v>
      </c>
      <c r="J760" s="4">
        <v>46797.61</v>
      </c>
      <c r="K760" s="6">
        <v>4.5599999999999996</v>
      </c>
      <c r="L760" s="4">
        <v>2188518.31</v>
      </c>
      <c r="M760" s="4" t="str" cm="1">
        <f t="array" ref="M760">IF(Excel_Advanced_Sales_Dataset_2000__3[[#This Row],[Total Sales]]&gt;50000,{"Yes"},{"No"})</f>
        <v>Yes</v>
      </c>
      <c r="N760" s="5">
        <v>46214</v>
      </c>
      <c r="O760" s="1" t="s">
        <v>24</v>
      </c>
      <c r="P760" t="s">
        <v>35</v>
      </c>
      <c r="Q760" t="str">
        <f>IF(Excel_Advanced_Sales_Dataset_2000__3[[#This Row],[Delivery Status]]="Pending","Follow Up","Ok")</f>
        <v>Ok</v>
      </c>
      <c r="R760" s="1" t="s">
        <v>53</v>
      </c>
      <c r="S760">
        <f>Excel_Advanced_Sales_Dataset_2000__3[[#This Row],[Quantity]]*Excel_Advanced_Sales_Dataset_2000__3[[#This Row],[Unit Price]]*Excel_Advanced_Sales_Dataset_2000__3[[#This Row],[Discount %]]/100</f>
        <v>104564.579784</v>
      </c>
      <c r="T760" s="4">
        <f>Excel_Advanced_Sales_Dataset_2000__3[[#This Row],[Quantity]]*Excel_Advanced_Sales_Dataset_2000__3[[#This Row],[Unit Price]]-Excel_Advanced_Sales_Dataset_2000__3[[#This Row],[Discount Amount]]</f>
        <v>2188518.3102160003</v>
      </c>
    </row>
    <row r="761" spans="1:20" x14ac:dyDescent="0.25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>
        <v>16</v>
      </c>
      <c r="J761" s="4">
        <v>9471.2099999999991</v>
      </c>
      <c r="K761" s="6">
        <v>2.31</v>
      </c>
      <c r="L761" s="4">
        <v>148038.79999999999</v>
      </c>
      <c r="M761" s="4" t="str" cm="1">
        <f t="array" ref="M761">IF(Excel_Advanced_Sales_Dataset_2000__3[[#This Row],[Total Sales]]&gt;50000,{"Yes"},{"No"})</f>
        <v>Yes</v>
      </c>
      <c r="N761" s="5">
        <v>46120</v>
      </c>
      <c r="O761" s="1" t="s">
        <v>45</v>
      </c>
      <c r="P761" t="s">
        <v>35</v>
      </c>
      <c r="Q761" t="str">
        <f>IF(Excel_Advanced_Sales_Dataset_2000__3[[#This Row],[Delivery Status]]="Pending","Follow Up","Ok")</f>
        <v>Ok</v>
      </c>
      <c r="R761" s="1" t="s">
        <v>36</v>
      </c>
      <c r="S761">
        <f>Excel_Advanced_Sales_Dataset_2000__3[[#This Row],[Quantity]]*Excel_Advanced_Sales_Dataset_2000__3[[#This Row],[Unit Price]]*Excel_Advanced_Sales_Dataset_2000__3[[#This Row],[Discount %]]/100</f>
        <v>3500.5592160000001</v>
      </c>
      <c r="T761" s="4">
        <f>Excel_Advanced_Sales_Dataset_2000__3[[#This Row],[Quantity]]*Excel_Advanced_Sales_Dataset_2000__3[[#This Row],[Unit Price]]-Excel_Advanced_Sales_Dataset_2000__3[[#This Row],[Discount Amount]]</f>
        <v>148038.80078399999</v>
      </c>
    </row>
    <row r="762" spans="1:20" x14ac:dyDescent="0.25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>
        <v>13</v>
      </c>
      <c r="J762" s="4">
        <v>19834.38</v>
      </c>
      <c r="K762" s="6">
        <v>4.43</v>
      </c>
      <c r="L762" s="4">
        <v>246424.32000000001</v>
      </c>
      <c r="M762" s="4" t="str" cm="1">
        <f t="array" ref="M762">IF(Excel_Advanced_Sales_Dataset_2000__3[[#This Row],[Total Sales]]&gt;50000,{"Yes"},{"No"})</f>
        <v>Yes</v>
      </c>
      <c r="N762" s="5">
        <v>46216</v>
      </c>
      <c r="O762" s="1" t="s">
        <v>58</v>
      </c>
      <c r="P762" t="s">
        <v>35</v>
      </c>
      <c r="Q762" t="str">
        <f>IF(Excel_Advanced_Sales_Dataset_2000__3[[#This Row],[Delivery Status]]="Pending","Follow Up","Ok")</f>
        <v>Ok</v>
      </c>
      <c r="R762" s="1" t="s">
        <v>36</v>
      </c>
      <c r="S762">
        <f>Excel_Advanced_Sales_Dataset_2000__3[[#This Row],[Quantity]]*Excel_Advanced_Sales_Dataset_2000__3[[#This Row],[Unit Price]]*Excel_Advanced_Sales_Dataset_2000__3[[#This Row],[Discount %]]/100</f>
        <v>11422.619442000001</v>
      </c>
      <c r="T762" s="4">
        <f>Excel_Advanced_Sales_Dataset_2000__3[[#This Row],[Quantity]]*Excel_Advanced_Sales_Dataset_2000__3[[#This Row],[Unit Price]]-Excel_Advanced_Sales_Dataset_2000__3[[#This Row],[Discount Amount]]</f>
        <v>246424.32055800001</v>
      </c>
    </row>
    <row r="763" spans="1:20" x14ac:dyDescent="0.25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>
        <v>4</v>
      </c>
      <c r="J763" s="4">
        <v>3438.53</v>
      </c>
      <c r="K763" s="6">
        <v>12.62</v>
      </c>
      <c r="L763" s="4">
        <v>12018.35</v>
      </c>
      <c r="M763" s="4" t="str" cm="1">
        <f t="array" ref="M763">IF(Excel_Advanced_Sales_Dataset_2000__3[[#This Row],[Total Sales]]&gt;50000,{"Yes"},{"No"})</f>
        <v>No</v>
      </c>
      <c r="N763" s="5">
        <v>46050</v>
      </c>
      <c r="O763" s="1" t="s">
        <v>68</v>
      </c>
      <c r="P763" t="s">
        <v>35</v>
      </c>
      <c r="Q763" t="str">
        <f>IF(Excel_Advanced_Sales_Dataset_2000__3[[#This Row],[Delivery Status]]="Pending","Follow Up","Ok")</f>
        <v>Ok</v>
      </c>
      <c r="R763" s="1" t="s">
        <v>53</v>
      </c>
      <c r="S763">
        <f>Excel_Advanced_Sales_Dataset_2000__3[[#This Row],[Quantity]]*Excel_Advanced_Sales_Dataset_2000__3[[#This Row],[Unit Price]]*Excel_Advanced_Sales_Dataset_2000__3[[#This Row],[Discount %]]/100</f>
        <v>1735.7699439999999</v>
      </c>
      <c r="T763" s="4">
        <f>Excel_Advanced_Sales_Dataset_2000__3[[#This Row],[Quantity]]*Excel_Advanced_Sales_Dataset_2000__3[[#This Row],[Unit Price]]-Excel_Advanced_Sales_Dataset_2000__3[[#This Row],[Discount Amount]]</f>
        <v>12018.350056000001</v>
      </c>
    </row>
    <row r="764" spans="1:20" x14ac:dyDescent="0.25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>
        <v>9</v>
      </c>
      <c r="J764" s="4">
        <v>5354.23</v>
      </c>
      <c r="K764" s="6">
        <v>11</v>
      </c>
      <c r="L764" s="4">
        <v>42887.38</v>
      </c>
      <c r="M764" s="4" t="str" cm="1">
        <f t="array" ref="M764">IF(Excel_Advanced_Sales_Dataset_2000__3[[#This Row],[Total Sales]]&gt;50000,{"Yes"},{"No"})</f>
        <v>No</v>
      </c>
      <c r="N764" s="5">
        <v>46181</v>
      </c>
      <c r="O764" s="1" t="s">
        <v>24</v>
      </c>
      <c r="P764" t="s">
        <v>35</v>
      </c>
      <c r="Q764" t="str">
        <f>IF(Excel_Advanced_Sales_Dataset_2000__3[[#This Row],[Delivery Status]]="Pending","Follow Up","Ok")</f>
        <v>Ok</v>
      </c>
      <c r="R764" s="1" t="s">
        <v>53</v>
      </c>
      <c r="S764">
        <f>Excel_Advanced_Sales_Dataset_2000__3[[#This Row],[Quantity]]*Excel_Advanced_Sales_Dataset_2000__3[[#This Row],[Unit Price]]*Excel_Advanced_Sales_Dataset_2000__3[[#This Row],[Discount %]]/100</f>
        <v>5300.6876999999986</v>
      </c>
      <c r="T764" s="4">
        <f>Excel_Advanced_Sales_Dataset_2000__3[[#This Row],[Quantity]]*Excel_Advanced_Sales_Dataset_2000__3[[#This Row],[Unit Price]]-Excel_Advanced_Sales_Dataset_2000__3[[#This Row],[Discount Amount]]</f>
        <v>42887.382299999997</v>
      </c>
    </row>
    <row r="765" spans="1:20" x14ac:dyDescent="0.25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>
        <v>26</v>
      </c>
      <c r="J765" s="4">
        <v>2822.53</v>
      </c>
      <c r="K765" s="6">
        <v>11.55</v>
      </c>
      <c r="L765" s="4">
        <v>64909.72</v>
      </c>
      <c r="M765" s="4" t="str" cm="1">
        <f t="array" ref="M765">IF(Excel_Advanced_Sales_Dataset_2000__3[[#This Row],[Total Sales]]&gt;50000,{"Yes"},{"No"})</f>
        <v>Yes</v>
      </c>
      <c r="N765" s="5">
        <v>46258</v>
      </c>
      <c r="O765" s="1" t="s">
        <v>45</v>
      </c>
      <c r="P765" t="s">
        <v>59</v>
      </c>
      <c r="Q765" t="str">
        <f>IF(Excel_Advanced_Sales_Dataset_2000__3[[#This Row],[Delivery Status]]="Pending","Follow Up","Ok")</f>
        <v>Ok</v>
      </c>
      <c r="R765" s="1" t="s">
        <v>53</v>
      </c>
      <c r="S765">
        <f>Excel_Advanced_Sales_Dataset_2000__3[[#This Row],[Quantity]]*Excel_Advanced_Sales_Dataset_2000__3[[#This Row],[Unit Price]]*Excel_Advanced_Sales_Dataset_2000__3[[#This Row],[Discount %]]/100</f>
        <v>8476.0575900000003</v>
      </c>
      <c r="T765" s="4">
        <f>Excel_Advanced_Sales_Dataset_2000__3[[#This Row],[Quantity]]*Excel_Advanced_Sales_Dataset_2000__3[[#This Row],[Unit Price]]-Excel_Advanced_Sales_Dataset_2000__3[[#This Row],[Discount Amount]]</f>
        <v>64909.722410000002</v>
      </c>
    </row>
    <row r="766" spans="1:20" x14ac:dyDescent="0.25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>
        <v>41</v>
      </c>
      <c r="J766" s="4">
        <v>12114.03</v>
      </c>
      <c r="K766" s="6">
        <v>18.239999999999998</v>
      </c>
      <c r="L766" s="4">
        <v>406081.67</v>
      </c>
      <c r="M766" s="4" t="str" cm="1">
        <f t="array" ref="M766">IF(Excel_Advanced_Sales_Dataset_2000__3[[#This Row],[Total Sales]]&gt;50000,{"Yes"},{"No"})</f>
        <v>Yes</v>
      </c>
      <c r="N766" s="5">
        <v>46320</v>
      </c>
      <c r="O766" s="1" t="s">
        <v>113</v>
      </c>
      <c r="P766" t="s">
        <v>35</v>
      </c>
      <c r="Q766" t="str">
        <f>IF(Excel_Advanced_Sales_Dataset_2000__3[[#This Row],[Delivery Status]]="Pending","Follow Up","Ok")</f>
        <v>Ok</v>
      </c>
      <c r="R766" s="1" t="s">
        <v>36</v>
      </c>
      <c r="S766">
        <f>Excel_Advanced_Sales_Dataset_2000__3[[#This Row],[Quantity]]*Excel_Advanced_Sales_Dataset_2000__3[[#This Row],[Unit Price]]*Excel_Advanced_Sales_Dataset_2000__3[[#This Row],[Discount %]]/100</f>
        <v>90593.561952000004</v>
      </c>
      <c r="T766" s="4">
        <f>Excel_Advanced_Sales_Dataset_2000__3[[#This Row],[Quantity]]*Excel_Advanced_Sales_Dataset_2000__3[[#This Row],[Unit Price]]-Excel_Advanced_Sales_Dataset_2000__3[[#This Row],[Discount Amount]]</f>
        <v>406081.66804800002</v>
      </c>
    </row>
    <row r="767" spans="1:20" x14ac:dyDescent="0.25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>
        <v>45</v>
      </c>
      <c r="J767" s="4">
        <v>26973.7</v>
      </c>
      <c r="K767" s="6">
        <v>5.37</v>
      </c>
      <c r="L767" s="4">
        <v>1148634.55</v>
      </c>
      <c r="M767" s="4" t="str" cm="1">
        <f t="array" ref="M767">IF(Excel_Advanced_Sales_Dataset_2000__3[[#This Row],[Total Sales]]&gt;50000,{"Yes"},{"No"})</f>
        <v>Yes</v>
      </c>
      <c r="N767" s="5">
        <v>46216</v>
      </c>
      <c r="O767" s="1" t="s">
        <v>113</v>
      </c>
      <c r="P767" t="s">
        <v>35</v>
      </c>
      <c r="Q767" t="str">
        <f>IF(Excel_Advanced_Sales_Dataset_2000__3[[#This Row],[Delivery Status]]="Pending","Follow Up","Ok")</f>
        <v>Ok</v>
      </c>
      <c r="R767" s="1" t="s">
        <v>26</v>
      </c>
      <c r="S767">
        <f>Excel_Advanced_Sales_Dataset_2000__3[[#This Row],[Quantity]]*Excel_Advanced_Sales_Dataset_2000__3[[#This Row],[Unit Price]]*Excel_Advanced_Sales_Dataset_2000__3[[#This Row],[Discount %]]/100</f>
        <v>65181.946050000006</v>
      </c>
      <c r="T767" s="4">
        <f>Excel_Advanced_Sales_Dataset_2000__3[[#This Row],[Quantity]]*Excel_Advanced_Sales_Dataset_2000__3[[#This Row],[Unit Price]]-Excel_Advanced_Sales_Dataset_2000__3[[#This Row],[Discount Amount]]</f>
        <v>1148634.5539500001</v>
      </c>
    </row>
    <row r="768" spans="1:20" x14ac:dyDescent="0.25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>
        <v>34</v>
      </c>
      <c r="J768" s="4">
        <v>4158.32</v>
      </c>
      <c r="K768" s="6">
        <v>18.649999999999999</v>
      </c>
      <c r="L768" s="4">
        <v>115014.97</v>
      </c>
      <c r="M768" s="4" t="str" cm="1">
        <f t="array" ref="M768">IF(Excel_Advanced_Sales_Dataset_2000__3[[#This Row],[Total Sales]]&gt;50000,{"Yes"},{"No"})</f>
        <v>Yes</v>
      </c>
      <c r="N768" s="5">
        <v>46118</v>
      </c>
      <c r="O768" s="1" t="s">
        <v>45</v>
      </c>
      <c r="P768" t="s">
        <v>35</v>
      </c>
      <c r="Q768" t="str">
        <f>IF(Excel_Advanced_Sales_Dataset_2000__3[[#This Row],[Delivery Status]]="Pending","Follow Up","Ok")</f>
        <v>Ok</v>
      </c>
      <c r="R768" s="1" t="s">
        <v>26</v>
      </c>
      <c r="S768">
        <f>Excel_Advanced_Sales_Dataset_2000__3[[#This Row],[Quantity]]*Excel_Advanced_Sales_Dataset_2000__3[[#This Row],[Unit Price]]*Excel_Advanced_Sales_Dataset_2000__3[[#This Row],[Discount %]]/100</f>
        <v>26367.90712</v>
      </c>
      <c r="T768" s="4">
        <f>Excel_Advanced_Sales_Dataset_2000__3[[#This Row],[Quantity]]*Excel_Advanced_Sales_Dataset_2000__3[[#This Row],[Unit Price]]-Excel_Advanced_Sales_Dataset_2000__3[[#This Row],[Discount Amount]]</f>
        <v>115014.97288</v>
      </c>
    </row>
    <row r="769" spans="1:20" x14ac:dyDescent="0.25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>
        <v>23</v>
      </c>
      <c r="J769" s="4">
        <v>2937</v>
      </c>
      <c r="K769" s="6">
        <v>11.1</v>
      </c>
      <c r="L769" s="4">
        <v>60052.84</v>
      </c>
      <c r="M769" s="4" t="str" cm="1">
        <f t="array" ref="M769">IF(Excel_Advanced_Sales_Dataset_2000__3[[#This Row],[Total Sales]]&gt;50000,{"Yes"},{"No"})</f>
        <v>Yes</v>
      </c>
      <c r="N769" s="5">
        <v>46124</v>
      </c>
      <c r="O769" s="1" t="s">
        <v>113</v>
      </c>
      <c r="P769" t="s">
        <v>35</v>
      </c>
      <c r="Q769" t="str">
        <f>IF(Excel_Advanced_Sales_Dataset_2000__3[[#This Row],[Delivery Status]]="Pending","Follow Up","Ok")</f>
        <v>Ok</v>
      </c>
      <c r="R769" s="1" t="s">
        <v>53</v>
      </c>
      <c r="S769">
        <f>Excel_Advanced_Sales_Dataset_2000__3[[#This Row],[Quantity]]*Excel_Advanced_Sales_Dataset_2000__3[[#This Row],[Unit Price]]*Excel_Advanced_Sales_Dataset_2000__3[[#This Row],[Discount %]]/100</f>
        <v>7498.1610000000001</v>
      </c>
      <c r="T769" s="4">
        <f>Excel_Advanced_Sales_Dataset_2000__3[[#This Row],[Quantity]]*Excel_Advanced_Sales_Dataset_2000__3[[#This Row],[Unit Price]]-Excel_Advanced_Sales_Dataset_2000__3[[#This Row],[Discount Amount]]</f>
        <v>60052.839</v>
      </c>
    </row>
    <row r="770" spans="1:20" x14ac:dyDescent="0.25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>
        <v>16</v>
      </c>
      <c r="J770" s="4">
        <v>2839.14</v>
      </c>
      <c r="K770" s="6">
        <v>16.11</v>
      </c>
      <c r="L770" s="4">
        <v>38108.07</v>
      </c>
      <c r="M770" s="4" t="str" cm="1">
        <f t="array" ref="M770">IF(Excel_Advanced_Sales_Dataset_2000__3[[#This Row],[Total Sales]]&gt;50000,{"Yes"},{"No"})</f>
        <v>No</v>
      </c>
      <c r="N770" s="5">
        <v>46151</v>
      </c>
      <c r="O770" s="1" t="s">
        <v>24</v>
      </c>
      <c r="P770" t="s">
        <v>25</v>
      </c>
      <c r="Q770" t="str">
        <f>IF(Excel_Advanced_Sales_Dataset_2000__3[[#This Row],[Delivery Status]]="Pending","Follow Up","Ok")</f>
        <v>Follow Up</v>
      </c>
      <c r="R770" s="1" t="s">
        <v>36</v>
      </c>
      <c r="S770">
        <f>Excel_Advanced_Sales_Dataset_2000__3[[#This Row],[Quantity]]*Excel_Advanced_Sales_Dataset_2000__3[[#This Row],[Unit Price]]*Excel_Advanced_Sales_Dataset_2000__3[[#This Row],[Discount %]]/100</f>
        <v>7318.1672639999997</v>
      </c>
      <c r="T770" s="4">
        <f>Excel_Advanced_Sales_Dataset_2000__3[[#This Row],[Quantity]]*Excel_Advanced_Sales_Dataset_2000__3[[#This Row],[Unit Price]]-Excel_Advanced_Sales_Dataset_2000__3[[#This Row],[Discount Amount]]</f>
        <v>38108.072736000002</v>
      </c>
    </row>
    <row r="771" spans="1:20" x14ac:dyDescent="0.25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>
        <v>37</v>
      </c>
      <c r="J771" s="4">
        <v>18260.810000000001</v>
      </c>
      <c r="K771" s="6">
        <v>4.05</v>
      </c>
      <c r="L771" s="4">
        <v>648286.15</v>
      </c>
      <c r="M771" s="4" t="str" cm="1">
        <f t="array" ref="M771">IF(Excel_Advanced_Sales_Dataset_2000__3[[#This Row],[Total Sales]]&gt;50000,{"Yes"},{"No"})</f>
        <v>Yes</v>
      </c>
      <c r="N771" s="5">
        <v>46046</v>
      </c>
      <c r="O771" s="1" t="s">
        <v>68</v>
      </c>
      <c r="P771" t="s">
        <v>25</v>
      </c>
      <c r="Q771" t="str">
        <f>IF(Excel_Advanced_Sales_Dataset_2000__3[[#This Row],[Delivery Status]]="Pending","Follow Up","Ok")</f>
        <v>Follow Up</v>
      </c>
      <c r="R771" s="1" t="s">
        <v>53</v>
      </c>
      <c r="S771">
        <f>Excel_Advanced_Sales_Dataset_2000__3[[#This Row],[Quantity]]*Excel_Advanced_Sales_Dataset_2000__3[[#This Row],[Unit Price]]*Excel_Advanced_Sales_Dataset_2000__3[[#This Row],[Discount %]]/100</f>
        <v>27363.823785</v>
      </c>
      <c r="T771" s="4">
        <f>Excel_Advanced_Sales_Dataset_2000__3[[#This Row],[Quantity]]*Excel_Advanced_Sales_Dataset_2000__3[[#This Row],[Unit Price]]-Excel_Advanced_Sales_Dataset_2000__3[[#This Row],[Discount Amount]]</f>
        <v>648286.14621500007</v>
      </c>
    </row>
    <row r="772" spans="1:20" x14ac:dyDescent="0.25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>
        <v>36</v>
      </c>
      <c r="J772" s="4">
        <v>36869.760000000002</v>
      </c>
      <c r="K772" s="6">
        <v>13.62</v>
      </c>
      <c r="L772" s="4">
        <v>1146531.55</v>
      </c>
      <c r="M772" s="4" t="str" cm="1">
        <f t="array" ref="M772">IF(Excel_Advanced_Sales_Dataset_2000__3[[#This Row],[Total Sales]]&gt;50000,{"Yes"},{"No"})</f>
        <v>Yes</v>
      </c>
      <c r="N772" s="5">
        <v>46233</v>
      </c>
      <c r="O772" s="1" t="s">
        <v>45</v>
      </c>
      <c r="P772" t="s">
        <v>35</v>
      </c>
      <c r="Q772" t="str">
        <f>IF(Excel_Advanced_Sales_Dataset_2000__3[[#This Row],[Delivery Status]]="Pending","Follow Up","Ok")</f>
        <v>Ok</v>
      </c>
      <c r="R772" s="1" t="s">
        <v>26</v>
      </c>
      <c r="S772">
        <f>Excel_Advanced_Sales_Dataset_2000__3[[#This Row],[Quantity]]*Excel_Advanced_Sales_Dataset_2000__3[[#This Row],[Unit Price]]*Excel_Advanced_Sales_Dataset_2000__3[[#This Row],[Discount %]]/100</f>
        <v>180779.80723200002</v>
      </c>
      <c r="T772" s="4">
        <f>Excel_Advanced_Sales_Dataset_2000__3[[#This Row],[Quantity]]*Excel_Advanced_Sales_Dataset_2000__3[[#This Row],[Unit Price]]-Excel_Advanced_Sales_Dataset_2000__3[[#This Row],[Discount Amount]]</f>
        <v>1146531.5527680002</v>
      </c>
    </row>
    <row r="773" spans="1:20" x14ac:dyDescent="0.25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>
        <v>19</v>
      </c>
      <c r="J773" s="4">
        <v>46820.59</v>
      </c>
      <c r="K773" s="6">
        <v>15.76</v>
      </c>
      <c r="L773" s="4">
        <v>749391.64</v>
      </c>
      <c r="M773" s="4" t="str" cm="1">
        <f t="array" ref="M773">IF(Excel_Advanced_Sales_Dataset_2000__3[[#This Row],[Total Sales]]&gt;50000,{"Yes"},{"No"})</f>
        <v>Yes</v>
      </c>
      <c r="N773" s="5">
        <v>46251</v>
      </c>
      <c r="O773" s="1" t="s">
        <v>45</v>
      </c>
      <c r="P773" t="s">
        <v>35</v>
      </c>
      <c r="Q773" t="str">
        <f>IF(Excel_Advanced_Sales_Dataset_2000__3[[#This Row],[Delivery Status]]="Pending","Follow Up","Ok")</f>
        <v>Ok</v>
      </c>
      <c r="R773" s="1" t="s">
        <v>36</v>
      </c>
      <c r="S773">
        <f>Excel_Advanced_Sales_Dataset_2000__3[[#This Row],[Quantity]]*Excel_Advanced_Sales_Dataset_2000__3[[#This Row],[Unit Price]]*Excel_Advanced_Sales_Dataset_2000__3[[#This Row],[Discount %]]/100</f>
        <v>140199.574696</v>
      </c>
      <c r="T773" s="4">
        <f>Excel_Advanced_Sales_Dataset_2000__3[[#This Row],[Quantity]]*Excel_Advanced_Sales_Dataset_2000__3[[#This Row],[Unit Price]]-Excel_Advanced_Sales_Dataset_2000__3[[#This Row],[Discount Amount]]</f>
        <v>749391.635304</v>
      </c>
    </row>
    <row r="774" spans="1:20" x14ac:dyDescent="0.25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>
        <v>48</v>
      </c>
      <c r="J774" s="4">
        <v>9608.2099999999991</v>
      </c>
      <c r="K774" s="6">
        <v>3.95</v>
      </c>
      <c r="L774" s="4">
        <v>442976.91</v>
      </c>
      <c r="M774" s="4" t="str" cm="1">
        <f t="array" ref="M774">IF(Excel_Advanced_Sales_Dataset_2000__3[[#This Row],[Total Sales]]&gt;50000,{"Yes"},{"No"})</f>
        <v>Yes</v>
      </c>
      <c r="N774" s="5">
        <v>46027</v>
      </c>
      <c r="O774" s="1" t="s">
        <v>24</v>
      </c>
      <c r="P774" t="s">
        <v>35</v>
      </c>
      <c r="Q774" t="str">
        <f>IF(Excel_Advanced_Sales_Dataset_2000__3[[#This Row],[Delivery Status]]="Pending","Follow Up","Ok")</f>
        <v>Ok</v>
      </c>
      <c r="R774" s="1" t="s">
        <v>36</v>
      </c>
      <c r="S774">
        <f>Excel_Advanced_Sales_Dataset_2000__3[[#This Row],[Quantity]]*Excel_Advanced_Sales_Dataset_2000__3[[#This Row],[Unit Price]]*Excel_Advanced_Sales_Dataset_2000__3[[#This Row],[Discount %]]/100</f>
        <v>18217.166160000001</v>
      </c>
      <c r="T774" s="4">
        <f>Excel_Advanced_Sales_Dataset_2000__3[[#This Row],[Quantity]]*Excel_Advanced_Sales_Dataset_2000__3[[#This Row],[Unit Price]]-Excel_Advanced_Sales_Dataset_2000__3[[#This Row],[Discount Amount]]</f>
        <v>442976.91383999994</v>
      </c>
    </row>
    <row r="775" spans="1:20" x14ac:dyDescent="0.25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>
        <v>15</v>
      </c>
      <c r="J775" s="4">
        <v>30895.46</v>
      </c>
      <c r="K775" s="6">
        <v>1.35</v>
      </c>
      <c r="L775" s="4">
        <v>457175.57</v>
      </c>
      <c r="M775" s="4" t="str" cm="1">
        <f t="array" ref="M775">IF(Excel_Advanced_Sales_Dataset_2000__3[[#This Row],[Total Sales]]&gt;50000,{"Yes"},{"No"})</f>
        <v>Yes</v>
      </c>
      <c r="N775" s="5">
        <v>46046</v>
      </c>
      <c r="O775" s="1" t="s">
        <v>113</v>
      </c>
      <c r="P775" t="s">
        <v>35</v>
      </c>
      <c r="Q775" t="str">
        <f>IF(Excel_Advanced_Sales_Dataset_2000__3[[#This Row],[Delivery Status]]="Pending","Follow Up","Ok")</f>
        <v>Ok</v>
      </c>
      <c r="R775" s="1" t="s">
        <v>53</v>
      </c>
      <c r="S775">
        <f>Excel_Advanced_Sales_Dataset_2000__3[[#This Row],[Quantity]]*Excel_Advanced_Sales_Dataset_2000__3[[#This Row],[Unit Price]]*Excel_Advanced_Sales_Dataset_2000__3[[#This Row],[Discount %]]/100</f>
        <v>6256.3306499999999</v>
      </c>
      <c r="T775" s="4">
        <f>Excel_Advanced_Sales_Dataset_2000__3[[#This Row],[Quantity]]*Excel_Advanced_Sales_Dataset_2000__3[[#This Row],[Unit Price]]-Excel_Advanced_Sales_Dataset_2000__3[[#This Row],[Discount Amount]]</f>
        <v>457175.56934999995</v>
      </c>
    </row>
    <row r="776" spans="1:20" x14ac:dyDescent="0.25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>
        <v>27</v>
      </c>
      <c r="J776" s="4">
        <v>43955.06</v>
      </c>
      <c r="K776" s="6">
        <v>6.79</v>
      </c>
      <c r="L776" s="4">
        <v>1106203.81</v>
      </c>
      <c r="M776" s="4" t="str" cm="1">
        <f t="array" ref="M776">IF(Excel_Advanced_Sales_Dataset_2000__3[[#This Row],[Total Sales]]&gt;50000,{"Yes"},{"No"})</f>
        <v>Yes</v>
      </c>
      <c r="N776" s="5">
        <v>46348</v>
      </c>
      <c r="O776" s="1" t="s">
        <v>113</v>
      </c>
      <c r="P776" t="s">
        <v>35</v>
      </c>
      <c r="Q776" t="str">
        <f>IF(Excel_Advanced_Sales_Dataset_2000__3[[#This Row],[Delivery Status]]="Pending","Follow Up","Ok")</f>
        <v>Ok</v>
      </c>
      <c r="R776" s="1" t="s">
        <v>53</v>
      </c>
      <c r="S776">
        <f>Excel_Advanced_Sales_Dataset_2000__3[[#This Row],[Quantity]]*Excel_Advanced_Sales_Dataset_2000__3[[#This Row],[Unit Price]]*Excel_Advanced_Sales_Dataset_2000__3[[#This Row],[Discount %]]/100</f>
        <v>80582.811497999995</v>
      </c>
      <c r="T776" s="4">
        <f>Excel_Advanced_Sales_Dataset_2000__3[[#This Row],[Quantity]]*Excel_Advanced_Sales_Dataset_2000__3[[#This Row],[Unit Price]]-Excel_Advanced_Sales_Dataset_2000__3[[#This Row],[Discount Amount]]</f>
        <v>1106203.8085019998</v>
      </c>
    </row>
    <row r="777" spans="1:20" x14ac:dyDescent="0.25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>
        <v>24</v>
      </c>
      <c r="J777" s="4">
        <v>21146.47</v>
      </c>
      <c r="K777" s="6">
        <v>4.7</v>
      </c>
      <c r="L777" s="4">
        <v>483662.06</v>
      </c>
      <c r="M777" s="4" t="str" cm="1">
        <f t="array" ref="M777">IF(Excel_Advanced_Sales_Dataset_2000__3[[#This Row],[Total Sales]]&gt;50000,{"Yes"},{"No"})</f>
        <v>Yes</v>
      </c>
      <c r="N777" s="5">
        <v>46346</v>
      </c>
      <c r="O777" s="1" t="s">
        <v>58</v>
      </c>
      <c r="P777" t="s">
        <v>25</v>
      </c>
      <c r="Q777" t="str">
        <f>IF(Excel_Advanced_Sales_Dataset_2000__3[[#This Row],[Delivery Status]]="Pending","Follow Up","Ok")</f>
        <v>Follow Up</v>
      </c>
      <c r="R777" s="1" t="s">
        <v>36</v>
      </c>
      <c r="S777">
        <f>Excel_Advanced_Sales_Dataset_2000__3[[#This Row],[Quantity]]*Excel_Advanced_Sales_Dataset_2000__3[[#This Row],[Unit Price]]*Excel_Advanced_Sales_Dataset_2000__3[[#This Row],[Discount %]]/100</f>
        <v>23853.21816</v>
      </c>
      <c r="T777" s="4">
        <f>Excel_Advanced_Sales_Dataset_2000__3[[#This Row],[Quantity]]*Excel_Advanced_Sales_Dataset_2000__3[[#This Row],[Unit Price]]-Excel_Advanced_Sales_Dataset_2000__3[[#This Row],[Discount Amount]]</f>
        <v>483662.06184000004</v>
      </c>
    </row>
    <row r="778" spans="1:20" x14ac:dyDescent="0.25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>
        <v>17</v>
      </c>
      <c r="J778" s="4">
        <v>18825.22</v>
      </c>
      <c r="K778" s="6">
        <v>5.91</v>
      </c>
      <c r="L778" s="4">
        <v>301115.03999999998</v>
      </c>
      <c r="M778" s="4" t="str" cm="1">
        <f t="array" ref="M778">IF(Excel_Advanced_Sales_Dataset_2000__3[[#This Row],[Total Sales]]&gt;50000,{"Yes"},{"No"})</f>
        <v>Yes</v>
      </c>
      <c r="N778" s="5">
        <v>46252</v>
      </c>
      <c r="O778" s="1" t="s">
        <v>24</v>
      </c>
      <c r="P778" t="s">
        <v>35</v>
      </c>
      <c r="Q778" t="str">
        <f>IF(Excel_Advanced_Sales_Dataset_2000__3[[#This Row],[Delivery Status]]="Pending","Follow Up","Ok")</f>
        <v>Ok</v>
      </c>
      <c r="R778" s="1" t="s">
        <v>26</v>
      </c>
      <c r="S778">
        <f>Excel_Advanced_Sales_Dataset_2000__3[[#This Row],[Quantity]]*Excel_Advanced_Sales_Dataset_2000__3[[#This Row],[Unit Price]]*Excel_Advanced_Sales_Dataset_2000__3[[#This Row],[Discount %]]/100</f>
        <v>18913.698533999999</v>
      </c>
      <c r="T778" s="4">
        <f>Excel_Advanced_Sales_Dataset_2000__3[[#This Row],[Quantity]]*Excel_Advanced_Sales_Dataset_2000__3[[#This Row],[Unit Price]]-Excel_Advanced_Sales_Dataset_2000__3[[#This Row],[Discount Amount]]</f>
        <v>301115.04146599997</v>
      </c>
    </row>
    <row r="779" spans="1:20" x14ac:dyDescent="0.25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>
        <v>17</v>
      </c>
      <c r="J779" s="4">
        <v>4177.05</v>
      </c>
      <c r="K779" s="6">
        <v>12.92</v>
      </c>
      <c r="L779" s="4">
        <v>61835.38</v>
      </c>
      <c r="M779" s="4" t="str" cm="1">
        <f t="array" ref="M779">IF(Excel_Advanced_Sales_Dataset_2000__3[[#This Row],[Total Sales]]&gt;50000,{"Yes"},{"No"})</f>
        <v>Yes</v>
      </c>
      <c r="N779" s="5">
        <v>46037</v>
      </c>
      <c r="O779" s="1" t="s">
        <v>113</v>
      </c>
      <c r="P779" t="s">
        <v>35</v>
      </c>
      <c r="Q779" t="str">
        <f>IF(Excel_Advanced_Sales_Dataset_2000__3[[#This Row],[Delivery Status]]="Pending","Follow Up","Ok")</f>
        <v>Ok</v>
      </c>
      <c r="R779" s="1" t="s">
        <v>26</v>
      </c>
      <c r="S779">
        <f>Excel_Advanced_Sales_Dataset_2000__3[[#This Row],[Quantity]]*Excel_Advanced_Sales_Dataset_2000__3[[#This Row],[Unit Price]]*Excel_Advanced_Sales_Dataset_2000__3[[#This Row],[Discount %]]/100</f>
        <v>9174.4726200000005</v>
      </c>
      <c r="T779" s="4">
        <f>Excel_Advanced_Sales_Dataset_2000__3[[#This Row],[Quantity]]*Excel_Advanced_Sales_Dataset_2000__3[[#This Row],[Unit Price]]-Excel_Advanced_Sales_Dataset_2000__3[[#This Row],[Discount Amount]]</f>
        <v>61835.377380000005</v>
      </c>
    </row>
    <row r="780" spans="1:20" x14ac:dyDescent="0.25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>
        <v>42</v>
      </c>
      <c r="J780" s="4">
        <v>48016.52</v>
      </c>
      <c r="K780" s="6">
        <v>15.05</v>
      </c>
      <c r="L780" s="4">
        <v>1713181.42</v>
      </c>
      <c r="M780" s="4" t="str" cm="1">
        <f t="array" ref="M780">IF(Excel_Advanced_Sales_Dataset_2000__3[[#This Row],[Total Sales]]&gt;50000,{"Yes"},{"No"})</f>
        <v>Yes</v>
      </c>
      <c r="N780" s="5">
        <v>46202</v>
      </c>
      <c r="O780" s="1" t="s">
        <v>45</v>
      </c>
      <c r="P780" t="s">
        <v>25</v>
      </c>
      <c r="Q780" t="str">
        <f>IF(Excel_Advanced_Sales_Dataset_2000__3[[#This Row],[Delivery Status]]="Pending","Follow Up","Ok")</f>
        <v>Follow Up</v>
      </c>
      <c r="R780" s="1" t="s">
        <v>53</v>
      </c>
      <c r="S780">
        <f>Excel_Advanced_Sales_Dataset_2000__3[[#This Row],[Quantity]]*Excel_Advanced_Sales_Dataset_2000__3[[#This Row],[Unit Price]]*Excel_Advanced_Sales_Dataset_2000__3[[#This Row],[Discount %]]/100</f>
        <v>303512.42291999998</v>
      </c>
      <c r="T780" s="4">
        <f>Excel_Advanced_Sales_Dataset_2000__3[[#This Row],[Quantity]]*Excel_Advanced_Sales_Dataset_2000__3[[#This Row],[Unit Price]]-Excel_Advanced_Sales_Dataset_2000__3[[#This Row],[Discount Amount]]</f>
        <v>1713181.4170799998</v>
      </c>
    </row>
    <row r="781" spans="1:20" x14ac:dyDescent="0.25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>
        <v>41</v>
      </c>
      <c r="J781" s="4">
        <v>34734.03</v>
      </c>
      <c r="K781" s="6">
        <v>12.76</v>
      </c>
      <c r="L781" s="4">
        <v>1242380.68</v>
      </c>
      <c r="M781" s="4" t="str" cm="1">
        <f t="array" ref="M781">IF(Excel_Advanced_Sales_Dataset_2000__3[[#This Row],[Total Sales]]&gt;50000,{"Yes"},{"No"})</f>
        <v>Yes</v>
      </c>
      <c r="N781" s="5">
        <v>46103</v>
      </c>
      <c r="O781" s="1" t="s">
        <v>24</v>
      </c>
      <c r="P781" t="s">
        <v>35</v>
      </c>
      <c r="Q781" t="str">
        <f>IF(Excel_Advanced_Sales_Dataset_2000__3[[#This Row],[Delivery Status]]="Pending","Follow Up","Ok")</f>
        <v>Ok</v>
      </c>
      <c r="R781" s="1" t="s">
        <v>36</v>
      </c>
      <c r="S781">
        <f>Excel_Advanced_Sales_Dataset_2000__3[[#This Row],[Quantity]]*Excel_Advanced_Sales_Dataset_2000__3[[#This Row],[Unit Price]]*Excel_Advanced_Sales_Dataset_2000__3[[#This Row],[Discount %]]/100</f>
        <v>181714.55134799998</v>
      </c>
      <c r="T781" s="4">
        <f>Excel_Advanced_Sales_Dataset_2000__3[[#This Row],[Quantity]]*Excel_Advanced_Sales_Dataset_2000__3[[#This Row],[Unit Price]]-Excel_Advanced_Sales_Dataset_2000__3[[#This Row],[Discount Amount]]</f>
        <v>1242380.6786519999</v>
      </c>
    </row>
    <row r="782" spans="1:20" x14ac:dyDescent="0.25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>
        <v>50</v>
      </c>
      <c r="J782" s="4">
        <v>27176.63</v>
      </c>
      <c r="K782" s="6">
        <v>16.14</v>
      </c>
      <c r="L782" s="4">
        <v>1139516.1000000001</v>
      </c>
      <c r="M782" s="4" t="str" cm="1">
        <f t="array" ref="M782">IF(Excel_Advanced_Sales_Dataset_2000__3[[#This Row],[Total Sales]]&gt;50000,{"Yes"},{"No"})</f>
        <v>Yes</v>
      </c>
      <c r="N782" s="5">
        <v>46260</v>
      </c>
      <c r="O782" s="1" t="s">
        <v>45</v>
      </c>
      <c r="P782" t="s">
        <v>35</v>
      </c>
      <c r="Q782" t="str">
        <f>IF(Excel_Advanced_Sales_Dataset_2000__3[[#This Row],[Delivery Status]]="Pending","Follow Up","Ok")</f>
        <v>Ok</v>
      </c>
      <c r="R782" s="1" t="s">
        <v>36</v>
      </c>
      <c r="S782">
        <f>Excel_Advanced_Sales_Dataset_2000__3[[#This Row],[Quantity]]*Excel_Advanced_Sales_Dataset_2000__3[[#This Row],[Unit Price]]*Excel_Advanced_Sales_Dataset_2000__3[[#This Row],[Discount %]]/100</f>
        <v>219315.40410000001</v>
      </c>
      <c r="T782" s="4">
        <f>Excel_Advanced_Sales_Dataset_2000__3[[#This Row],[Quantity]]*Excel_Advanced_Sales_Dataset_2000__3[[#This Row],[Unit Price]]-Excel_Advanced_Sales_Dataset_2000__3[[#This Row],[Discount Amount]]</f>
        <v>1139516.0959000001</v>
      </c>
    </row>
    <row r="783" spans="1:20" x14ac:dyDescent="0.25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>
        <v>7</v>
      </c>
      <c r="J783" s="4">
        <v>1839.65</v>
      </c>
      <c r="K783" s="6">
        <v>14.03</v>
      </c>
      <c r="L783" s="4">
        <v>11070.83</v>
      </c>
      <c r="M783" s="4" t="str" cm="1">
        <f t="array" ref="M783">IF(Excel_Advanced_Sales_Dataset_2000__3[[#This Row],[Total Sales]]&gt;50000,{"Yes"},{"No"})</f>
        <v>No</v>
      </c>
      <c r="N783" s="5">
        <v>46132</v>
      </c>
      <c r="O783" s="1" t="s">
        <v>58</v>
      </c>
      <c r="P783" t="s">
        <v>35</v>
      </c>
      <c r="Q783" t="str">
        <f>IF(Excel_Advanced_Sales_Dataset_2000__3[[#This Row],[Delivery Status]]="Pending","Follow Up","Ok")</f>
        <v>Ok</v>
      </c>
      <c r="R783" s="1" t="s">
        <v>36</v>
      </c>
      <c r="S783">
        <f>Excel_Advanced_Sales_Dataset_2000__3[[#This Row],[Quantity]]*Excel_Advanced_Sales_Dataset_2000__3[[#This Row],[Unit Price]]*Excel_Advanced_Sales_Dataset_2000__3[[#This Row],[Discount %]]/100</f>
        <v>1806.7202650000002</v>
      </c>
      <c r="T783" s="4">
        <f>Excel_Advanced_Sales_Dataset_2000__3[[#This Row],[Quantity]]*Excel_Advanced_Sales_Dataset_2000__3[[#This Row],[Unit Price]]-Excel_Advanced_Sales_Dataset_2000__3[[#This Row],[Discount Amount]]</f>
        <v>11070.829735000001</v>
      </c>
    </row>
    <row r="784" spans="1:20" x14ac:dyDescent="0.25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>
        <v>24</v>
      </c>
      <c r="J784" s="4">
        <v>35709.919999999998</v>
      </c>
      <c r="K784" s="6">
        <v>6.54</v>
      </c>
      <c r="L784" s="4">
        <v>800987.79</v>
      </c>
      <c r="M784" s="4" t="str" cm="1">
        <f t="array" ref="M784">IF(Excel_Advanced_Sales_Dataset_2000__3[[#This Row],[Total Sales]]&gt;50000,{"Yes"},{"No"})</f>
        <v>Yes</v>
      </c>
      <c r="N784" s="5">
        <v>46282</v>
      </c>
      <c r="O784" s="1" t="s">
        <v>58</v>
      </c>
      <c r="P784" t="s">
        <v>35</v>
      </c>
      <c r="Q784" t="str">
        <f>IF(Excel_Advanced_Sales_Dataset_2000__3[[#This Row],[Delivery Status]]="Pending","Follow Up","Ok")</f>
        <v>Ok</v>
      </c>
      <c r="R784" s="1" t="s">
        <v>36</v>
      </c>
      <c r="S784">
        <f>Excel_Advanced_Sales_Dataset_2000__3[[#This Row],[Quantity]]*Excel_Advanced_Sales_Dataset_2000__3[[#This Row],[Unit Price]]*Excel_Advanced_Sales_Dataset_2000__3[[#This Row],[Discount %]]/100</f>
        <v>56050.290432000002</v>
      </c>
      <c r="T784" s="4">
        <f>Excel_Advanced_Sales_Dataset_2000__3[[#This Row],[Quantity]]*Excel_Advanced_Sales_Dataset_2000__3[[#This Row],[Unit Price]]-Excel_Advanced_Sales_Dataset_2000__3[[#This Row],[Discount Amount]]</f>
        <v>800987.78956800001</v>
      </c>
    </row>
    <row r="785" spans="1:20" x14ac:dyDescent="0.25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>
        <v>19</v>
      </c>
      <c r="J785" s="4">
        <v>30188.33</v>
      </c>
      <c r="K785" s="6">
        <v>11.16</v>
      </c>
      <c r="L785" s="4">
        <v>509566.94</v>
      </c>
      <c r="M785" s="4" t="str" cm="1">
        <f t="array" ref="M785">IF(Excel_Advanced_Sales_Dataset_2000__3[[#This Row],[Total Sales]]&gt;50000,{"Yes"},{"No"})</f>
        <v>Yes</v>
      </c>
      <c r="N785" s="5">
        <v>46215</v>
      </c>
      <c r="O785" s="1" t="s">
        <v>58</v>
      </c>
      <c r="P785" t="s">
        <v>35</v>
      </c>
      <c r="Q785" t="str">
        <f>IF(Excel_Advanced_Sales_Dataset_2000__3[[#This Row],[Delivery Status]]="Pending","Follow Up","Ok")</f>
        <v>Ok</v>
      </c>
      <c r="R785" s="1" t="s">
        <v>36</v>
      </c>
      <c r="S785">
        <f>Excel_Advanced_Sales_Dataset_2000__3[[#This Row],[Quantity]]*Excel_Advanced_Sales_Dataset_2000__3[[#This Row],[Unit Price]]*Excel_Advanced_Sales_Dataset_2000__3[[#This Row],[Discount %]]/100</f>
        <v>64011.334932000005</v>
      </c>
      <c r="T785" s="4">
        <f>Excel_Advanced_Sales_Dataset_2000__3[[#This Row],[Quantity]]*Excel_Advanced_Sales_Dataset_2000__3[[#This Row],[Unit Price]]-Excel_Advanced_Sales_Dataset_2000__3[[#This Row],[Discount Amount]]</f>
        <v>509566.93506799999</v>
      </c>
    </row>
    <row r="786" spans="1:20" x14ac:dyDescent="0.25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>
        <v>30</v>
      </c>
      <c r="J786" s="4">
        <v>9596.82</v>
      </c>
      <c r="K786" s="6">
        <v>14.66</v>
      </c>
      <c r="L786" s="4">
        <v>245697.79</v>
      </c>
      <c r="M786" s="4" t="str" cm="1">
        <f t="array" ref="M786">IF(Excel_Advanced_Sales_Dataset_2000__3[[#This Row],[Total Sales]]&gt;50000,{"Yes"},{"No"})</f>
        <v>Yes</v>
      </c>
      <c r="N786" s="5">
        <v>46227</v>
      </c>
      <c r="O786" s="1" t="s">
        <v>24</v>
      </c>
      <c r="P786" t="s">
        <v>35</v>
      </c>
      <c r="Q786" t="str">
        <f>IF(Excel_Advanced_Sales_Dataset_2000__3[[#This Row],[Delivery Status]]="Pending","Follow Up","Ok")</f>
        <v>Ok</v>
      </c>
      <c r="R786" s="1" t="s">
        <v>53</v>
      </c>
      <c r="S786">
        <f>Excel_Advanced_Sales_Dataset_2000__3[[#This Row],[Quantity]]*Excel_Advanced_Sales_Dataset_2000__3[[#This Row],[Unit Price]]*Excel_Advanced_Sales_Dataset_2000__3[[#This Row],[Discount %]]/100</f>
        <v>42206.814359999997</v>
      </c>
      <c r="T786" s="4">
        <f>Excel_Advanced_Sales_Dataset_2000__3[[#This Row],[Quantity]]*Excel_Advanced_Sales_Dataset_2000__3[[#This Row],[Unit Price]]-Excel_Advanced_Sales_Dataset_2000__3[[#This Row],[Discount Amount]]</f>
        <v>245697.78563999999</v>
      </c>
    </row>
    <row r="787" spans="1:20" x14ac:dyDescent="0.25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>
        <v>35</v>
      </c>
      <c r="J787" s="4">
        <v>19800.2</v>
      </c>
      <c r="K787" s="6">
        <v>6.01</v>
      </c>
      <c r="L787" s="4">
        <v>651357.28</v>
      </c>
      <c r="M787" s="4" t="str" cm="1">
        <f t="array" ref="M787">IF(Excel_Advanced_Sales_Dataset_2000__3[[#This Row],[Total Sales]]&gt;50000,{"Yes"},{"No"})</f>
        <v>Yes</v>
      </c>
      <c r="N787" s="5">
        <v>46241</v>
      </c>
      <c r="O787" s="1" t="s">
        <v>45</v>
      </c>
      <c r="P787" t="s">
        <v>35</v>
      </c>
      <c r="Q787" t="str">
        <f>IF(Excel_Advanced_Sales_Dataset_2000__3[[#This Row],[Delivery Status]]="Pending","Follow Up","Ok")</f>
        <v>Ok</v>
      </c>
      <c r="R787" s="1" t="s">
        <v>36</v>
      </c>
      <c r="S787">
        <f>Excel_Advanced_Sales_Dataset_2000__3[[#This Row],[Quantity]]*Excel_Advanced_Sales_Dataset_2000__3[[#This Row],[Unit Price]]*Excel_Advanced_Sales_Dataset_2000__3[[#This Row],[Discount %]]/100</f>
        <v>41649.720699999998</v>
      </c>
      <c r="T787" s="4">
        <f>Excel_Advanced_Sales_Dataset_2000__3[[#This Row],[Quantity]]*Excel_Advanced_Sales_Dataset_2000__3[[#This Row],[Unit Price]]-Excel_Advanced_Sales_Dataset_2000__3[[#This Row],[Discount Amount]]</f>
        <v>651357.27930000005</v>
      </c>
    </row>
    <row r="788" spans="1:20" x14ac:dyDescent="0.25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>
        <v>38</v>
      </c>
      <c r="J788" s="4">
        <v>25785.77</v>
      </c>
      <c r="K788" s="6">
        <v>11.24</v>
      </c>
      <c r="L788" s="4">
        <v>869723.08</v>
      </c>
      <c r="M788" s="4" t="str" cm="1">
        <f t="array" ref="M788">IF(Excel_Advanced_Sales_Dataset_2000__3[[#This Row],[Total Sales]]&gt;50000,{"Yes"},{"No"})</f>
        <v>Yes</v>
      </c>
      <c r="N788" s="5">
        <v>46201</v>
      </c>
      <c r="O788" s="1" t="s">
        <v>68</v>
      </c>
      <c r="P788" t="s">
        <v>35</v>
      </c>
      <c r="Q788" t="str">
        <f>IF(Excel_Advanced_Sales_Dataset_2000__3[[#This Row],[Delivery Status]]="Pending","Follow Up","Ok")</f>
        <v>Ok</v>
      </c>
      <c r="R788" s="1" t="s">
        <v>36</v>
      </c>
      <c r="S788">
        <f>Excel_Advanced_Sales_Dataset_2000__3[[#This Row],[Quantity]]*Excel_Advanced_Sales_Dataset_2000__3[[#This Row],[Unit Price]]*Excel_Advanced_Sales_Dataset_2000__3[[#This Row],[Discount %]]/100</f>
        <v>110136.180824</v>
      </c>
      <c r="T788" s="4">
        <f>Excel_Advanced_Sales_Dataset_2000__3[[#This Row],[Quantity]]*Excel_Advanced_Sales_Dataset_2000__3[[#This Row],[Unit Price]]-Excel_Advanced_Sales_Dataset_2000__3[[#This Row],[Discount Amount]]</f>
        <v>869723.07917599997</v>
      </c>
    </row>
    <row r="789" spans="1:20" x14ac:dyDescent="0.25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>
        <v>36</v>
      </c>
      <c r="J789" s="4">
        <v>47469.02</v>
      </c>
      <c r="K789" s="6">
        <v>12.13</v>
      </c>
      <c r="L789" s="4">
        <v>1501597</v>
      </c>
      <c r="M789" s="4" t="str" cm="1">
        <f t="array" ref="M789">IF(Excel_Advanced_Sales_Dataset_2000__3[[#This Row],[Total Sales]]&gt;50000,{"Yes"},{"No"})</f>
        <v>Yes</v>
      </c>
      <c r="N789" s="5">
        <v>46054</v>
      </c>
      <c r="O789" s="1" t="s">
        <v>24</v>
      </c>
      <c r="P789" t="s">
        <v>35</v>
      </c>
      <c r="Q789" t="str">
        <f>IF(Excel_Advanced_Sales_Dataset_2000__3[[#This Row],[Delivery Status]]="Pending","Follow Up","Ok")</f>
        <v>Ok</v>
      </c>
      <c r="R789" s="1" t="s">
        <v>26</v>
      </c>
      <c r="S789">
        <f>Excel_Advanced_Sales_Dataset_2000__3[[#This Row],[Quantity]]*Excel_Advanced_Sales_Dataset_2000__3[[#This Row],[Unit Price]]*Excel_Advanced_Sales_Dataset_2000__3[[#This Row],[Discount %]]/100</f>
        <v>207287.71653599999</v>
      </c>
      <c r="T789" s="4">
        <f>Excel_Advanced_Sales_Dataset_2000__3[[#This Row],[Quantity]]*Excel_Advanced_Sales_Dataset_2000__3[[#This Row],[Unit Price]]-Excel_Advanced_Sales_Dataset_2000__3[[#This Row],[Discount Amount]]</f>
        <v>1501597.0034640001</v>
      </c>
    </row>
    <row r="790" spans="1:20" x14ac:dyDescent="0.25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>
        <v>31</v>
      </c>
      <c r="J790" s="4">
        <v>11769.89</v>
      </c>
      <c r="K790" s="6">
        <v>14.47</v>
      </c>
      <c r="L790" s="4">
        <v>312070.39</v>
      </c>
      <c r="M790" s="4" t="str" cm="1">
        <f t="array" ref="M790">IF(Excel_Advanced_Sales_Dataset_2000__3[[#This Row],[Total Sales]]&gt;50000,{"Yes"},{"No"})</f>
        <v>Yes</v>
      </c>
      <c r="N790" s="5">
        <v>46357</v>
      </c>
      <c r="O790" s="1" t="s">
        <v>45</v>
      </c>
      <c r="P790" t="s">
        <v>35</v>
      </c>
      <c r="Q790" t="str">
        <f>IF(Excel_Advanced_Sales_Dataset_2000__3[[#This Row],[Delivery Status]]="Pending","Follow Up","Ok")</f>
        <v>Ok</v>
      </c>
      <c r="R790" s="1" t="s">
        <v>53</v>
      </c>
      <c r="S790">
        <f>Excel_Advanced_Sales_Dataset_2000__3[[#This Row],[Quantity]]*Excel_Advanced_Sales_Dataset_2000__3[[#This Row],[Unit Price]]*Excel_Advanced_Sales_Dataset_2000__3[[#This Row],[Discount %]]/100</f>
        <v>52796.195572999997</v>
      </c>
      <c r="T790" s="4">
        <f>Excel_Advanced_Sales_Dataset_2000__3[[#This Row],[Quantity]]*Excel_Advanced_Sales_Dataset_2000__3[[#This Row],[Unit Price]]-Excel_Advanced_Sales_Dataset_2000__3[[#This Row],[Discount Amount]]</f>
        <v>312070.39442699996</v>
      </c>
    </row>
    <row r="791" spans="1:20" x14ac:dyDescent="0.25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>
        <v>38</v>
      </c>
      <c r="J791" s="4">
        <v>15937.33</v>
      </c>
      <c r="K791" s="6">
        <v>3.4</v>
      </c>
      <c r="L791" s="4">
        <v>585027.51</v>
      </c>
      <c r="M791" s="4" t="str" cm="1">
        <f t="array" ref="M791">IF(Excel_Advanced_Sales_Dataset_2000__3[[#This Row],[Total Sales]]&gt;50000,{"Yes"},{"No"})</f>
        <v>Yes</v>
      </c>
      <c r="N791" s="5">
        <v>46092</v>
      </c>
      <c r="O791" s="1" t="s">
        <v>68</v>
      </c>
      <c r="P791" t="s">
        <v>35</v>
      </c>
      <c r="Q791" t="str">
        <f>IF(Excel_Advanced_Sales_Dataset_2000__3[[#This Row],[Delivery Status]]="Pending","Follow Up","Ok")</f>
        <v>Ok</v>
      </c>
      <c r="R791" s="1" t="s">
        <v>36</v>
      </c>
      <c r="S791">
        <f>Excel_Advanced_Sales_Dataset_2000__3[[#This Row],[Quantity]]*Excel_Advanced_Sales_Dataset_2000__3[[#This Row],[Unit Price]]*Excel_Advanced_Sales_Dataset_2000__3[[#This Row],[Discount %]]/100</f>
        <v>20591.030360000001</v>
      </c>
      <c r="T791" s="4">
        <f>Excel_Advanced_Sales_Dataset_2000__3[[#This Row],[Quantity]]*Excel_Advanced_Sales_Dataset_2000__3[[#This Row],[Unit Price]]-Excel_Advanced_Sales_Dataset_2000__3[[#This Row],[Discount Amount]]</f>
        <v>585027.50964000006</v>
      </c>
    </row>
    <row r="792" spans="1:20" x14ac:dyDescent="0.25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>
        <v>33</v>
      </c>
      <c r="J792" s="4">
        <v>6377.45</v>
      </c>
      <c r="K792" s="6">
        <v>1.35</v>
      </c>
      <c r="L792" s="4">
        <v>207614.7</v>
      </c>
      <c r="M792" s="4" t="str" cm="1">
        <f t="array" ref="M792">IF(Excel_Advanced_Sales_Dataset_2000__3[[#This Row],[Total Sales]]&gt;50000,{"Yes"},{"No"})</f>
        <v>Yes</v>
      </c>
      <c r="N792" s="5">
        <v>46163</v>
      </c>
      <c r="O792" s="1" t="s">
        <v>58</v>
      </c>
      <c r="P792" t="s">
        <v>35</v>
      </c>
      <c r="Q792" t="str">
        <f>IF(Excel_Advanced_Sales_Dataset_2000__3[[#This Row],[Delivery Status]]="Pending","Follow Up","Ok")</f>
        <v>Ok</v>
      </c>
      <c r="R792" s="1" t="s">
        <v>36</v>
      </c>
      <c r="S792">
        <f>Excel_Advanced_Sales_Dataset_2000__3[[#This Row],[Quantity]]*Excel_Advanced_Sales_Dataset_2000__3[[#This Row],[Unit Price]]*Excel_Advanced_Sales_Dataset_2000__3[[#This Row],[Discount %]]/100</f>
        <v>2841.1539750000002</v>
      </c>
      <c r="T792" s="4">
        <f>Excel_Advanced_Sales_Dataset_2000__3[[#This Row],[Quantity]]*Excel_Advanced_Sales_Dataset_2000__3[[#This Row],[Unit Price]]-Excel_Advanced_Sales_Dataset_2000__3[[#This Row],[Discount Amount]]</f>
        <v>207614.69602500001</v>
      </c>
    </row>
    <row r="793" spans="1:20" x14ac:dyDescent="0.25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>
        <v>37</v>
      </c>
      <c r="J793" s="4">
        <v>27533.9</v>
      </c>
      <c r="K793" s="6">
        <v>15.53</v>
      </c>
      <c r="L793" s="4">
        <v>860541.76</v>
      </c>
      <c r="M793" s="4" t="str" cm="1">
        <f t="array" ref="M793">IF(Excel_Advanced_Sales_Dataset_2000__3[[#This Row],[Total Sales]]&gt;50000,{"Yes"},{"No"})</f>
        <v>Yes</v>
      </c>
      <c r="N793" s="5">
        <v>46031</v>
      </c>
      <c r="O793" s="1" t="s">
        <v>113</v>
      </c>
      <c r="P793" t="s">
        <v>35</v>
      </c>
      <c r="Q793" t="str">
        <f>IF(Excel_Advanced_Sales_Dataset_2000__3[[#This Row],[Delivery Status]]="Pending","Follow Up","Ok")</f>
        <v>Ok</v>
      </c>
      <c r="R793" s="1" t="s">
        <v>26</v>
      </c>
      <c r="S793">
        <f>Excel_Advanced_Sales_Dataset_2000__3[[#This Row],[Quantity]]*Excel_Advanced_Sales_Dataset_2000__3[[#This Row],[Unit Price]]*Excel_Advanced_Sales_Dataset_2000__3[[#This Row],[Discount %]]/100</f>
        <v>158212.54278999998</v>
      </c>
      <c r="T793" s="4">
        <f>Excel_Advanced_Sales_Dataset_2000__3[[#This Row],[Quantity]]*Excel_Advanced_Sales_Dataset_2000__3[[#This Row],[Unit Price]]-Excel_Advanced_Sales_Dataset_2000__3[[#This Row],[Discount Amount]]</f>
        <v>860541.75721000007</v>
      </c>
    </row>
    <row r="794" spans="1:20" x14ac:dyDescent="0.25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>
        <v>16</v>
      </c>
      <c r="J794" s="4">
        <v>34076.769999999997</v>
      </c>
      <c r="K794" s="6">
        <v>2.09</v>
      </c>
      <c r="L794" s="4">
        <v>533833.05000000005</v>
      </c>
      <c r="M794" s="4" t="str" cm="1">
        <f t="array" ref="M794">IF(Excel_Advanced_Sales_Dataset_2000__3[[#This Row],[Total Sales]]&gt;50000,{"Yes"},{"No"})</f>
        <v>Yes</v>
      </c>
      <c r="N794" s="5">
        <v>46059</v>
      </c>
      <c r="O794" s="1" t="s">
        <v>113</v>
      </c>
      <c r="P794" t="s">
        <v>35</v>
      </c>
      <c r="Q794" t="str">
        <f>IF(Excel_Advanced_Sales_Dataset_2000__3[[#This Row],[Delivery Status]]="Pending","Follow Up","Ok")</f>
        <v>Ok</v>
      </c>
      <c r="R794" s="1" t="s">
        <v>53</v>
      </c>
      <c r="S794">
        <f>Excel_Advanced_Sales_Dataset_2000__3[[#This Row],[Quantity]]*Excel_Advanced_Sales_Dataset_2000__3[[#This Row],[Unit Price]]*Excel_Advanced_Sales_Dataset_2000__3[[#This Row],[Discount %]]/100</f>
        <v>11395.271887999999</v>
      </c>
      <c r="T794" s="4">
        <f>Excel_Advanced_Sales_Dataset_2000__3[[#This Row],[Quantity]]*Excel_Advanced_Sales_Dataset_2000__3[[#This Row],[Unit Price]]-Excel_Advanced_Sales_Dataset_2000__3[[#This Row],[Discount Amount]]</f>
        <v>533833.04811199999</v>
      </c>
    </row>
    <row r="795" spans="1:20" x14ac:dyDescent="0.25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>
        <v>31</v>
      </c>
      <c r="J795" s="4">
        <v>2821.04</v>
      </c>
      <c r="K795" s="6">
        <v>10.36</v>
      </c>
      <c r="L795" s="4">
        <v>78392.19</v>
      </c>
      <c r="M795" s="4" t="str" cm="1">
        <f t="array" ref="M795">IF(Excel_Advanced_Sales_Dataset_2000__3[[#This Row],[Total Sales]]&gt;50000,{"Yes"},{"No"})</f>
        <v>Yes</v>
      </c>
      <c r="N795" s="5">
        <v>46156</v>
      </c>
      <c r="O795" s="1" t="s">
        <v>58</v>
      </c>
      <c r="P795" t="s">
        <v>35</v>
      </c>
      <c r="Q795" t="str">
        <f>IF(Excel_Advanced_Sales_Dataset_2000__3[[#This Row],[Delivery Status]]="Pending","Follow Up","Ok")</f>
        <v>Ok</v>
      </c>
      <c r="R795" s="1" t="s">
        <v>26</v>
      </c>
      <c r="S795">
        <f>Excel_Advanced_Sales_Dataset_2000__3[[#This Row],[Quantity]]*Excel_Advanced_Sales_Dataset_2000__3[[#This Row],[Unit Price]]*Excel_Advanced_Sales_Dataset_2000__3[[#This Row],[Discount %]]/100</f>
        <v>9060.0520639999995</v>
      </c>
      <c r="T795" s="4">
        <f>Excel_Advanced_Sales_Dataset_2000__3[[#This Row],[Quantity]]*Excel_Advanced_Sales_Dataset_2000__3[[#This Row],[Unit Price]]-Excel_Advanced_Sales_Dataset_2000__3[[#This Row],[Discount Amount]]</f>
        <v>78392.187936000002</v>
      </c>
    </row>
    <row r="796" spans="1:20" x14ac:dyDescent="0.25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>
        <v>46</v>
      </c>
      <c r="J796" s="4">
        <v>43248.42</v>
      </c>
      <c r="K796" s="6">
        <v>9.58</v>
      </c>
      <c r="L796" s="4">
        <v>1798840.18</v>
      </c>
      <c r="M796" s="4" t="str" cm="1">
        <f t="array" ref="M796">IF(Excel_Advanced_Sales_Dataset_2000__3[[#This Row],[Total Sales]]&gt;50000,{"Yes"},{"No"})</f>
        <v>Yes</v>
      </c>
      <c r="N796" s="5">
        <v>46253</v>
      </c>
      <c r="O796" s="1" t="s">
        <v>45</v>
      </c>
      <c r="P796" t="s">
        <v>35</v>
      </c>
      <c r="Q796" t="str">
        <f>IF(Excel_Advanced_Sales_Dataset_2000__3[[#This Row],[Delivery Status]]="Pending","Follow Up","Ok")</f>
        <v>Ok</v>
      </c>
      <c r="R796" s="1" t="s">
        <v>26</v>
      </c>
      <c r="S796">
        <f>Excel_Advanced_Sales_Dataset_2000__3[[#This Row],[Quantity]]*Excel_Advanced_Sales_Dataset_2000__3[[#This Row],[Unit Price]]*Excel_Advanced_Sales_Dataset_2000__3[[#This Row],[Discount %]]/100</f>
        <v>190587.13725599996</v>
      </c>
      <c r="T796" s="4">
        <f>Excel_Advanced_Sales_Dataset_2000__3[[#This Row],[Quantity]]*Excel_Advanced_Sales_Dataset_2000__3[[#This Row],[Unit Price]]-Excel_Advanced_Sales_Dataset_2000__3[[#This Row],[Discount Amount]]</f>
        <v>1798840.1827439999</v>
      </c>
    </row>
    <row r="797" spans="1:20" x14ac:dyDescent="0.25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>
        <v>40</v>
      </c>
      <c r="J797" s="4">
        <v>553.69000000000005</v>
      </c>
      <c r="K797" s="6">
        <v>5.5</v>
      </c>
      <c r="L797" s="4">
        <v>20929.48</v>
      </c>
      <c r="M797" s="4" t="str" cm="1">
        <f t="array" ref="M797">IF(Excel_Advanced_Sales_Dataset_2000__3[[#This Row],[Total Sales]]&gt;50000,{"Yes"},{"No"})</f>
        <v>No</v>
      </c>
      <c r="N797" s="5">
        <v>46319</v>
      </c>
      <c r="O797" s="1" t="s">
        <v>68</v>
      </c>
      <c r="P797" t="s">
        <v>35</v>
      </c>
      <c r="Q797" t="str">
        <f>IF(Excel_Advanced_Sales_Dataset_2000__3[[#This Row],[Delivery Status]]="Pending","Follow Up","Ok")</f>
        <v>Ok</v>
      </c>
      <c r="R797" s="1" t="s">
        <v>26</v>
      </c>
      <c r="S797">
        <f>Excel_Advanced_Sales_Dataset_2000__3[[#This Row],[Quantity]]*Excel_Advanced_Sales_Dataset_2000__3[[#This Row],[Unit Price]]*Excel_Advanced_Sales_Dataset_2000__3[[#This Row],[Discount %]]/100</f>
        <v>1218.1180000000002</v>
      </c>
      <c r="T797" s="4">
        <f>Excel_Advanced_Sales_Dataset_2000__3[[#This Row],[Quantity]]*Excel_Advanced_Sales_Dataset_2000__3[[#This Row],[Unit Price]]-Excel_Advanced_Sales_Dataset_2000__3[[#This Row],[Discount Amount]]</f>
        <v>20929.482000000004</v>
      </c>
    </row>
    <row r="798" spans="1:20" x14ac:dyDescent="0.25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>
        <v>20</v>
      </c>
      <c r="J798" s="4">
        <v>36970.44</v>
      </c>
      <c r="K798" s="6">
        <v>8.31</v>
      </c>
      <c r="L798" s="4">
        <v>677963.93</v>
      </c>
      <c r="M798" s="4" t="str" cm="1">
        <f t="array" ref="M798">IF(Excel_Advanced_Sales_Dataset_2000__3[[#This Row],[Total Sales]]&gt;50000,{"Yes"},{"No"})</f>
        <v>Yes</v>
      </c>
      <c r="N798" s="5">
        <v>46229</v>
      </c>
      <c r="O798" s="1" t="s">
        <v>113</v>
      </c>
      <c r="P798" t="s">
        <v>59</v>
      </c>
      <c r="Q798" t="str">
        <f>IF(Excel_Advanced_Sales_Dataset_2000__3[[#This Row],[Delivery Status]]="Pending","Follow Up","Ok")</f>
        <v>Ok</v>
      </c>
      <c r="R798" s="1" t="s">
        <v>36</v>
      </c>
      <c r="S798">
        <f>Excel_Advanced_Sales_Dataset_2000__3[[#This Row],[Quantity]]*Excel_Advanced_Sales_Dataset_2000__3[[#This Row],[Unit Price]]*Excel_Advanced_Sales_Dataset_2000__3[[#This Row],[Discount %]]/100</f>
        <v>61444.871280000007</v>
      </c>
      <c r="T798" s="4">
        <f>Excel_Advanced_Sales_Dataset_2000__3[[#This Row],[Quantity]]*Excel_Advanced_Sales_Dataset_2000__3[[#This Row],[Unit Price]]-Excel_Advanced_Sales_Dataset_2000__3[[#This Row],[Discount Amount]]</f>
        <v>677963.92872000008</v>
      </c>
    </row>
    <row r="799" spans="1:20" x14ac:dyDescent="0.25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>
        <v>17</v>
      </c>
      <c r="J799" s="4">
        <v>6872.26</v>
      </c>
      <c r="K799" s="6">
        <v>4.74</v>
      </c>
      <c r="L799" s="4">
        <v>111290.75</v>
      </c>
      <c r="M799" s="4" t="str" cm="1">
        <f t="array" ref="M799">IF(Excel_Advanced_Sales_Dataset_2000__3[[#This Row],[Total Sales]]&gt;50000,{"Yes"},{"No"})</f>
        <v>Yes</v>
      </c>
      <c r="N799" s="5">
        <v>46156</v>
      </c>
      <c r="O799" s="1" t="s">
        <v>113</v>
      </c>
      <c r="P799" t="s">
        <v>35</v>
      </c>
      <c r="Q799" t="str">
        <f>IF(Excel_Advanced_Sales_Dataset_2000__3[[#This Row],[Delivery Status]]="Pending","Follow Up","Ok")</f>
        <v>Ok</v>
      </c>
      <c r="R799" s="1" t="s">
        <v>53</v>
      </c>
      <c r="S799">
        <f>Excel_Advanced_Sales_Dataset_2000__3[[#This Row],[Quantity]]*Excel_Advanced_Sales_Dataset_2000__3[[#This Row],[Unit Price]]*Excel_Advanced_Sales_Dataset_2000__3[[#This Row],[Discount %]]/100</f>
        <v>5537.6671079999996</v>
      </c>
      <c r="T799" s="4">
        <f>Excel_Advanced_Sales_Dataset_2000__3[[#This Row],[Quantity]]*Excel_Advanced_Sales_Dataset_2000__3[[#This Row],[Unit Price]]-Excel_Advanced_Sales_Dataset_2000__3[[#This Row],[Discount Amount]]</f>
        <v>111290.752892</v>
      </c>
    </row>
    <row r="800" spans="1:20" x14ac:dyDescent="0.25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>
        <v>7</v>
      </c>
      <c r="J800" s="4">
        <v>3127.39</v>
      </c>
      <c r="K800" s="6">
        <v>2.12</v>
      </c>
      <c r="L800" s="4">
        <v>21427.63</v>
      </c>
      <c r="M800" s="4" t="str" cm="1">
        <f t="array" ref="M800">IF(Excel_Advanced_Sales_Dataset_2000__3[[#This Row],[Total Sales]]&gt;50000,{"Yes"},{"No"})</f>
        <v>No</v>
      </c>
      <c r="N800" s="5">
        <v>46245</v>
      </c>
      <c r="O800" s="1" t="s">
        <v>24</v>
      </c>
      <c r="P800" t="s">
        <v>35</v>
      </c>
      <c r="Q800" t="str">
        <f>IF(Excel_Advanced_Sales_Dataset_2000__3[[#This Row],[Delivery Status]]="Pending","Follow Up","Ok")</f>
        <v>Ok</v>
      </c>
      <c r="R800" s="1" t="s">
        <v>53</v>
      </c>
      <c r="S800">
        <f>Excel_Advanced_Sales_Dataset_2000__3[[#This Row],[Quantity]]*Excel_Advanced_Sales_Dataset_2000__3[[#This Row],[Unit Price]]*Excel_Advanced_Sales_Dataset_2000__3[[#This Row],[Discount %]]/100</f>
        <v>464.10467600000004</v>
      </c>
      <c r="T800" s="4">
        <f>Excel_Advanced_Sales_Dataset_2000__3[[#This Row],[Quantity]]*Excel_Advanced_Sales_Dataset_2000__3[[#This Row],[Unit Price]]-Excel_Advanced_Sales_Dataset_2000__3[[#This Row],[Discount Amount]]</f>
        <v>21427.625324000001</v>
      </c>
    </row>
    <row r="801" spans="1:20" x14ac:dyDescent="0.25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>
        <v>29</v>
      </c>
      <c r="J801" s="4">
        <v>41022.089999999997</v>
      </c>
      <c r="K801" s="6">
        <v>14.46</v>
      </c>
      <c r="L801" s="4">
        <v>1017618.58</v>
      </c>
      <c r="M801" s="4" t="str" cm="1">
        <f t="array" ref="M801">IF(Excel_Advanced_Sales_Dataset_2000__3[[#This Row],[Total Sales]]&gt;50000,{"Yes"},{"No"})</f>
        <v>Yes</v>
      </c>
      <c r="N801" s="5">
        <v>46357</v>
      </c>
      <c r="O801" s="1" t="s">
        <v>24</v>
      </c>
      <c r="P801" t="s">
        <v>35</v>
      </c>
      <c r="Q801" t="str">
        <f>IF(Excel_Advanced_Sales_Dataset_2000__3[[#This Row],[Delivery Status]]="Pending","Follow Up","Ok")</f>
        <v>Ok</v>
      </c>
      <c r="R801" s="1" t="s">
        <v>36</v>
      </c>
      <c r="S801">
        <f>Excel_Advanced_Sales_Dataset_2000__3[[#This Row],[Quantity]]*Excel_Advanced_Sales_Dataset_2000__3[[#This Row],[Unit Price]]*Excel_Advanced_Sales_Dataset_2000__3[[#This Row],[Discount %]]/100</f>
        <v>172022.03220599997</v>
      </c>
      <c r="T801" s="4">
        <f>Excel_Advanced_Sales_Dataset_2000__3[[#This Row],[Quantity]]*Excel_Advanced_Sales_Dataset_2000__3[[#This Row],[Unit Price]]-Excel_Advanced_Sales_Dataset_2000__3[[#This Row],[Discount Amount]]</f>
        <v>1017618.5777939999</v>
      </c>
    </row>
    <row r="802" spans="1:20" x14ac:dyDescent="0.25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>
        <v>3</v>
      </c>
      <c r="J802" s="4">
        <v>24504.95</v>
      </c>
      <c r="K802" s="6">
        <v>12.13</v>
      </c>
      <c r="L802" s="4">
        <v>64597.5</v>
      </c>
      <c r="M802" s="4" t="str" cm="1">
        <f t="array" ref="M802">IF(Excel_Advanced_Sales_Dataset_2000__3[[#This Row],[Total Sales]]&gt;50000,{"Yes"},{"No"})</f>
        <v>Yes</v>
      </c>
      <c r="N802" s="5">
        <v>46191</v>
      </c>
      <c r="O802" s="1" t="s">
        <v>113</v>
      </c>
      <c r="P802" t="s">
        <v>35</v>
      </c>
      <c r="Q802" t="str">
        <f>IF(Excel_Advanced_Sales_Dataset_2000__3[[#This Row],[Delivery Status]]="Pending","Follow Up","Ok")</f>
        <v>Ok</v>
      </c>
      <c r="R802" s="1" t="s">
        <v>53</v>
      </c>
      <c r="S802">
        <f>Excel_Advanced_Sales_Dataset_2000__3[[#This Row],[Quantity]]*Excel_Advanced_Sales_Dataset_2000__3[[#This Row],[Unit Price]]*Excel_Advanced_Sales_Dataset_2000__3[[#This Row],[Discount %]]/100</f>
        <v>8917.3513050000001</v>
      </c>
      <c r="T802" s="4">
        <f>Excel_Advanced_Sales_Dataset_2000__3[[#This Row],[Quantity]]*Excel_Advanced_Sales_Dataset_2000__3[[#This Row],[Unit Price]]-Excel_Advanced_Sales_Dataset_2000__3[[#This Row],[Discount Amount]]</f>
        <v>64597.498695000002</v>
      </c>
    </row>
    <row r="803" spans="1:20" x14ac:dyDescent="0.25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>
        <v>24</v>
      </c>
      <c r="J803" s="4">
        <v>44397.4</v>
      </c>
      <c r="K803" s="6">
        <v>14.05</v>
      </c>
      <c r="L803" s="4">
        <v>915829.57</v>
      </c>
      <c r="M803" s="4" t="str" cm="1">
        <f t="array" ref="M803">IF(Excel_Advanced_Sales_Dataset_2000__3[[#This Row],[Total Sales]]&gt;50000,{"Yes"},{"No"})</f>
        <v>Yes</v>
      </c>
      <c r="N803" s="5">
        <v>46144</v>
      </c>
      <c r="O803" s="1" t="s">
        <v>45</v>
      </c>
      <c r="P803" t="s">
        <v>35</v>
      </c>
      <c r="Q803" t="str">
        <f>IF(Excel_Advanced_Sales_Dataset_2000__3[[#This Row],[Delivery Status]]="Pending","Follow Up","Ok")</f>
        <v>Ok</v>
      </c>
      <c r="R803" s="1" t="s">
        <v>26</v>
      </c>
      <c r="S803">
        <f>Excel_Advanced_Sales_Dataset_2000__3[[#This Row],[Quantity]]*Excel_Advanced_Sales_Dataset_2000__3[[#This Row],[Unit Price]]*Excel_Advanced_Sales_Dataset_2000__3[[#This Row],[Discount %]]/100</f>
        <v>149708.03280000002</v>
      </c>
      <c r="T803" s="4">
        <f>Excel_Advanced_Sales_Dataset_2000__3[[#This Row],[Quantity]]*Excel_Advanced_Sales_Dataset_2000__3[[#This Row],[Unit Price]]-Excel_Advanced_Sales_Dataset_2000__3[[#This Row],[Discount Amount]]</f>
        <v>915829.56720000005</v>
      </c>
    </row>
    <row r="804" spans="1:20" x14ac:dyDescent="0.25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>
        <v>18</v>
      </c>
      <c r="J804" s="4">
        <v>41422.300000000003</v>
      </c>
      <c r="K804" s="6">
        <v>16.22</v>
      </c>
      <c r="L804" s="4">
        <v>624664.85</v>
      </c>
      <c r="M804" s="4" t="str" cm="1">
        <f t="array" ref="M804">IF(Excel_Advanced_Sales_Dataset_2000__3[[#This Row],[Total Sales]]&gt;50000,{"Yes"},{"No"})</f>
        <v>Yes</v>
      </c>
      <c r="N804" s="5">
        <v>46379</v>
      </c>
      <c r="O804" s="1" t="s">
        <v>45</v>
      </c>
      <c r="P804" t="s">
        <v>59</v>
      </c>
      <c r="Q804" t="str">
        <f>IF(Excel_Advanced_Sales_Dataset_2000__3[[#This Row],[Delivery Status]]="Pending","Follow Up","Ok")</f>
        <v>Ok</v>
      </c>
      <c r="R804" s="1" t="s">
        <v>26</v>
      </c>
      <c r="S804">
        <f>Excel_Advanced_Sales_Dataset_2000__3[[#This Row],[Quantity]]*Excel_Advanced_Sales_Dataset_2000__3[[#This Row],[Unit Price]]*Excel_Advanced_Sales_Dataset_2000__3[[#This Row],[Discount %]]/100</f>
        <v>120936.54707999999</v>
      </c>
      <c r="T804" s="4">
        <f>Excel_Advanced_Sales_Dataset_2000__3[[#This Row],[Quantity]]*Excel_Advanced_Sales_Dataset_2000__3[[#This Row],[Unit Price]]-Excel_Advanced_Sales_Dataset_2000__3[[#This Row],[Discount Amount]]</f>
        <v>624664.85291999998</v>
      </c>
    </row>
    <row r="805" spans="1:20" x14ac:dyDescent="0.25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>
        <v>22</v>
      </c>
      <c r="J805" s="4">
        <v>49835.14</v>
      </c>
      <c r="K805" s="6">
        <v>17.55</v>
      </c>
      <c r="L805" s="4">
        <v>903959.6</v>
      </c>
      <c r="M805" s="4" t="str" cm="1">
        <f t="array" ref="M805">IF(Excel_Advanced_Sales_Dataset_2000__3[[#This Row],[Total Sales]]&gt;50000,{"Yes"},{"No"})</f>
        <v>Yes</v>
      </c>
      <c r="N805" s="5">
        <v>46101</v>
      </c>
      <c r="O805" s="1" t="s">
        <v>68</v>
      </c>
      <c r="P805" t="s">
        <v>35</v>
      </c>
      <c r="Q805" t="str">
        <f>IF(Excel_Advanced_Sales_Dataset_2000__3[[#This Row],[Delivery Status]]="Pending","Follow Up","Ok")</f>
        <v>Ok</v>
      </c>
      <c r="R805" s="1" t="s">
        <v>53</v>
      </c>
      <c r="S805">
        <f>Excel_Advanced_Sales_Dataset_2000__3[[#This Row],[Quantity]]*Excel_Advanced_Sales_Dataset_2000__3[[#This Row],[Unit Price]]*Excel_Advanced_Sales_Dataset_2000__3[[#This Row],[Discount %]]/100</f>
        <v>192413.47554000001</v>
      </c>
      <c r="T805" s="4">
        <f>Excel_Advanced_Sales_Dataset_2000__3[[#This Row],[Quantity]]*Excel_Advanced_Sales_Dataset_2000__3[[#This Row],[Unit Price]]-Excel_Advanced_Sales_Dataset_2000__3[[#This Row],[Discount Amount]]</f>
        <v>903959.60446000006</v>
      </c>
    </row>
    <row r="806" spans="1:20" x14ac:dyDescent="0.25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>
        <v>20</v>
      </c>
      <c r="J806" s="4">
        <v>44821.1</v>
      </c>
      <c r="K806" s="6">
        <v>14.43</v>
      </c>
      <c r="L806" s="4">
        <v>767068.31</v>
      </c>
      <c r="M806" s="4" t="str" cm="1">
        <f t="array" ref="M806">IF(Excel_Advanced_Sales_Dataset_2000__3[[#This Row],[Total Sales]]&gt;50000,{"Yes"},{"No"})</f>
        <v>Yes</v>
      </c>
      <c r="N806" s="5">
        <v>46153</v>
      </c>
      <c r="O806" s="1" t="s">
        <v>24</v>
      </c>
      <c r="P806" t="s">
        <v>35</v>
      </c>
      <c r="Q806" t="str">
        <f>IF(Excel_Advanced_Sales_Dataset_2000__3[[#This Row],[Delivery Status]]="Pending","Follow Up","Ok")</f>
        <v>Ok</v>
      </c>
      <c r="R806" s="1" t="s">
        <v>26</v>
      </c>
      <c r="S806">
        <f>Excel_Advanced_Sales_Dataset_2000__3[[#This Row],[Quantity]]*Excel_Advanced_Sales_Dataset_2000__3[[#This Row],[Unit Price]]*Excel_Advanced_Sales_Dataset_2000__3[[#This Row],[Discount %]]/100</f>
        <v>129353.69459999999</v>
      </c>
      <c r="T806" s="4">
        <f>Excel_Advanced_Sales_Dataset_2000__3[[#This Row],[Quantity]]*Excel_Advanced_Sales_Dataset_2000__3[[#This Row],[Unit Price]]-Excel_Advanced_Sales_Dataset_2000__3[[#This Row],[Discount Amount]]</f>
        <v>767068.30539999995</v>
      </c>
    </row>
    <row r="807" spans="1:20" x14ac:dyDescent="0.25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>
        <v>37</v>
      </c>
      <c r="J807" s="4">
        <v>14669.91</v>
      </c>
      <c r="K807" s="6">
        <v>9.36</v>
      </c>
      <c r="L807" s="4">
        <v>491981.84</v>
      </c>
      <c r="M807" s="4" t="str" cm="1">
        <f t="array" ref="M807">IF(Excel_Advanced_Sales_Dataset_2000__3[[#This Row],[Total Sales]]&gt;50000,{"Yes"},{"No"})</f>
        <v>Yes</v>
      </c>
      <c r="N807" s="5">
        <v>46141</v>
      </c>
      <c r="O807" s="1" t="s">
        <v>45</v>
      </c>
      <c r="P807" t="s">
        <v>35</v>
      </c>
      <c r="Q807" t="str">
        <f>IF(Excel_Advanced_Sales_Dataset_2000__3[[#This Row],[Delivery Status]]="Pending","Follow Up","Ok")</f>
        <v>Ok</v>
      </c>
      <c r="R807" s="1" t="s">
        <v>26</v>
      </c>
      <c r="S807">
        <f>Excel_Advanced_Sales_Dataset_2000__3[[#This Row],[Quantity]]*Excel_Advanced_Sales_Dataset_2000__3[[#This Row],[Unit Price]]*Excel_Advanced_Sales_Dataset_2000__3[[#This Row],[Discount %]]/100</f>
        <v>50804.832312000006</v>
      </c>
      <c r="T807" s="4">
        <f>Excel_Advanced_Sales_Dataset_2000__3[[#This Row],[Quantity]]*Excel_Advanced_Sales_Dataset_2000__3[[#This Row],[Unit Price]]-Excel_Advanced_Sales_Dataset_2000__3[[#This Row],[Discount Amount]]</f>
        <v>491981.83768800006</v>
      </c>
    </row>
    <row r="808" spans="1:20" x14ac:dyDescent="0.25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>
        <v>45</v>
      </c>
      <c r="J808" s="4">
        <v>2657.11</v>
      </c>
      <c r="K808" s="6">
        <v>7.58</v>
      </c>
      <c r="L808" s="4">
        <v>110506.55</v>
      </c>
      <c r="M808" s="4" t="str" cm="1">
        <f t="array" ref="M808">IF(Excel_Advanced_Sales_Dataset_2000__3[[#This Row],[Total Sales]]&gt;50000,{"Yes"},{"No"})</f>
        <v>Yes</v>
      </c>
      <c r="N808" s="5">
        <v>46342</v>
      </c>
      <c r="O808" s="1" t="s">
        <v>113</v>
      </c>
      <c r="P808" t="s">
        <v>35</v>
      </c>
      <c r="Q808" t="str">
        <f>IF(Excel_Advanced_Sales_Dataset_2000__3[[#This Row],[Delivery Status]]="Pending","Follow Up","Ok")</f>
        <v>Ok</v>
      </c>
      <c r="R808" s="1" t="s">
        <v>26</v>
      </c>
      <c r="S808">
        <f>Excel_Advanced_Sales_Dataset_2000__3[[#This Row],[Quantity]]*Excel_Advanced_Sales_Dataset_2000__3[[#This Row],[Unit Price]]*Excel_Advanced_Sales_Dataset_2000__3[[#This Row],[Discount %]]/100</f>
        <v>9063.402210000002</v>
      </c>
      <c r="T808" s="4">
        <f>Excel_Advanced_Sales_Dataset_2000__3[[#This Row],[Quantity]]*Excel_Advanced_Sales_Dataset_2000__3[[#This Row],[Unit Price]]-Excel_Advanced_Sales_Dataset_2000__3[[#This Row],[Discount Amount]]</f>
        <v>110506.54779000001</v>
      </c>
    </row>
    <row r="809" spans="1:20" x14ac:dyDescent="0.25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>
        <v>11</v>
      </c>
      <c r="J809" s="4">
        <v>10847.62</v>
      </c>
      <c r="K809" s="6">
        <v>13.66</v>
      </c>
      <c r="L809" s="4">
        <v>103024.19</v>
      </c>
      <c r="M809" s="4" t="str" cm="1">
        <f t="array" ref="M809">IF(Excel_Advanced_Sales_Dataset_2000__3[[#This Row],[Total Sales]]&gt;50000,{"Yes"},{"No"})</f>
        <v>Yes</v>
      </c>
      <c r="N809" s="5">
        <v>46114</v>
      </c>
      <c r="O809" s="1" t="s">
        <v>113</v>
      </c>
      <c r="P809" t="s">
        <v>35</v>
      </c>
      <c r="Q809" t="str">
        <f>IF(Excel_Advanced_Sales_Dataset_2000__3[[#This Row],[Delivery Status]]="Pending","Follow Up","Ok")</f>
        <v>Ok</v>
      </c>
      <c r="R809" s="1" t="s">
        <v>53</v>
      </c>
      <c r="S809">
        <f>Excel_Advanced_Sales_Dataset_2000__3[[#This Row],[Quantity]]*Excel_Advanced_Sales_Dataset_2000__3[[#This Row],[Unit Price]]*Excel_Advanced_Sales_Dataset_2000__3[[#This Row],[Discount %]]/100</f>
        <v>16299.633812000002</v>
      </c>
      <c r="T809" s="4">
        <f>Excel_Advanced_Sales_Dataset_2000__3[[#This Row],[Quantity]]*Excel_Advanced_Sales_Dataset_2000__3[[#This Row],[Unit Price]]-Excel_Advanced_Sales_Dataset_2000__3[[#This Row],[Discount Amount]]</f>
        <v>103024.18618800001</v>
      </c>
    </row>
    <row r="810" spans="1:20" x14ac:dyDescent="0.25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>
        <v>41</v>
      </c>
      <c r="J810" s="4">
        <v>13926.57</v>
      </c>
      <c r="K810" s="6">
        <v>16.239999999999998</v>
      </c>
      <c r="L810" s="4">
        <v>478260.7</v>
      </c>
      <c r="M810" s="4" t="str" cm="1">
        <f t="array" ref="M810">IF(Excel_Advanced_Sales_Dataset_2000__3[[#This Row],[Total Sales]]&gt;50000,{"Yes"},{"No"})</f>
        <v>Yes</v>
      </c>
      <c r="N810" s="5">
        <v>46137</v>
      </c>
      <c r="O810" s="1" t="s">
        <v>113</v>
      </c>
      <c r="P810" t="s">
        <v>35</v>
      </c>
      <c r="Q810" t="str">
        <f>IF(Excel_Advanced_Sales_Dataset_2000__3[[#This Row],[Delivery Status]]="Pending","Follow Up","Ok")</f>
        <v>Ok</v>
      </c>
      <c r="R810" s="1" t="s">
        <v>36</v>
      </c>
      <c r="S810">
        <f>Excel_Advanced_Sales_Dataset_2000__3[[#This Row],[Quantity]]*Excel_Advanced_Sales_Dataset_2000__3[[#This Row],[Unit Price]]*Excel_Advanced_Sales_Dataset_2000__3[[#This Row],[Discount %]]/100</f>
        <v>92728.673687999995</v>
      </c>
      <c r="T810" s="4">
        <f>Excel_Advanced_Sales_Dataset_2000__3[[#This Row],[Quantity]]*Excel_Advanced_Sales_Dataset_2000__3[[#This Row],[Unit Price]]-Excel_Advanced_Sales_Dataset_2000__3[[#This Row],[Discount Amount]]</f>
        <v>478260.69631199999</v>
      </c>
    </row>
    <row r="811" spans="1:20" x14ac:dyDescent="0.25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>
        <v>3</v>
      </c>
      <c r="J811" s="4">
        <v>42388.06</v>
      </c>
      <c r="K811" s="6">
        <v>17.93</v>
      </c>
      <c r="L811" s="4">
        <v>104363.64</v>
      </c>
      <c r="M811" s="4" t="str" cm="1">
        <f t="array" ref="M811">IF(Excel_Advanced_Sales_Dataset_2000__3[[#This Row],[Total Sales]]&gt;50000,{"Yes"},{"No"})</f>
        <v>Yes</v>
      </c>
      <c r="N811" s="5">
        <v>46378</v>
      </c>
      <c r="O811" s="1" t="s">
        <v>45</v>
      </c>
      <c r="P811" t="s">
        <v>35</v>
      </c>
      <c r="Q811" t="str">
        <f>IF(Excel_Advanced_Sales_Dataset_2000__3[[#This Row],[Delivery Status]]="Pending","Follow Up","Ok")</f>
        <v>Ok</v>
      </c>
      <c r="R811" s="1" t="s">
        <v>36</v>
      </c>
      <c r="S811">
        <f>Excel_Advanced_Sales_Dataset_2000__3[[#This Row],[Quantity]]*Excel_Advanced_Sales_Dataset_2000__3[[#This Row],[Unit Price]]*Excel_Advanced_Sales_Dataset_2000__3[[#This Row],[Discount %]]/100</f>
        <v>22800.537473999997</v>
      </c>
      <c r="T811" s="4">
        <f>Excel_Advanced_Sales_Dataset_2000__3[[#This Row],[Quantity]]*Excel_Advanced_Sales_Dataset_2000__3[[#This Row],[Unit Price]]-Excel_Advanced_Sales_Dataset_2000__3[[#This Row],[Discount Amount]]</f>
        <v>104363.642526</v>
      </c>
    </row>
    <row r="812" spans="1:20" x14ac:dyDescent="0.25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>
        <v>9</v>
      </c>
      <c r="J812" s="4">
        <v>49013.35</v>
      </c>
      <c r="K812" s="6">
        <v>3.29</v>
      </c>
      <c r="L812" s="4">
        <v>426607.3</v>
      </c>
      <c r="M812" s="4" t="str" cm="1">
        <f t="array" ref="M812">IF(Excel_Advanced_Sales_Dataset_2000__3[[#This Row],[Total Sales]]&gt;50000,{"Yes"},{"No"})</f>
        <v>Yes</v>
      </c>
      <c r="N812" s="5">
        <v>46258</v>
      </c>
      <c r="O812" s="1" t="s">
        <v>45</v>
      </c>
      <c r="P812" t="s">
        <v>35</v>
      </c>
      <c r="Q812" t="str">
        <f>IF(Excel_Advanced_Sales_Dataset_2000__3[[#This Row],[Delivery Status]]="Pending","Follow Up","Ok")</f>
        <v>Ok</v>
      </c>
      <c r="R812" s="1" t="s">
        <v>36</v>
      </c>
      <c r="S812">
        <f>Excel_Advanced_Sales_Dataset_2000__3[[#This Row],[Quantity]]*Excel_Advanced_Sales_Dataset_2000__3[[#This Row],[Unit Price]]*Excel_Advanced_Sales_Dataset_2000__3[[#This Row],[Discount %]]/100</f>
        <v>14512.852934999999</v>
      </c>
      <c r="T812" s="4">
        <f>Excel_Advanced_Sales_Dataset_2000__3[[#This Row],[Quantity]]*Excel_Advanced_Sales_Dataset_2000__3[[#This Row],[Unit Price]]-Excel_Advanced_Sales_Dataset_2000__3[[#This Row],[Discount Amount]]</f>
        <v>426607.29706499999</v>
      </c>
    </row>
    <row r="813" spans="1:20" x14ac:dyDescent="0.25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>
        <v>18</v>
      </c>
      <c r="J813" s="4">
        <v>8408.1</v>
      </c>
      <c r="K813" s="6">
        <v>5.56</v>
      </c>
      <c r="L813" s="4">
        <v>142930.97</v>
      </c>
      <c r="M813" s="4" t="str" cm="1">
        <f t="array" ref="M813">IF(Excel_Advanced_Sales_Dataset_2000__3[[#This Row],[Total Sales]]&gt;50000,{"Yes"},{"No"})</f>
        <v>Yes</v>
      </c>
      <c r="N813" s="5">
        <v>46170</v>
      </c>
      <c r="O813" s="1" t="s">
        <v>113</v>
      </c>
      <c r="P813" t="s">
        <v>35</v>
      </c>
      <c r="Q813" t="str">
        <f>IF(Excel_Advanced_Sales_Dataset_2000__3[[#This Row],[Delivery Status]]="Pending","Follow Up","Ok")</f>
        <v>Ok</v>
      </c>
      <c r="R813" s="1" t="s">
        <v>26</v>
      </c>
      <c r="S813">
        <f>Excel_Advanced_Sales_Dataset_2000__3[[#This Row],[Quantity]]*Excel_Advanced_Sales_Dataset_2000__3[[#This Row],[Unit Price]]*Excel_Advanced_Sales_Dataset_2000__3[[#This Row],[Discount %]]/100</f>
        <v>8414.8264799999997</v>
      </c>
      <c r="T813" s="4">
        <f>Excel_Advanced_Sales_Dataset_2000__3[[#This Row],[Quantity]]*Excel_Advanced_Sales_Dataset_2000__3[[#This Row],[Unit Price]]-Excel_Advanced_Sales_Dataset_2000__3[[#This Row],[Discount Amount]]</f>
        <v>142930.97352000003</v>
      </c>
    </row>
    <row r="814" spans="1:20" x14ac:dyDescent="0.25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>
        <v>26</v>
      </c>
      <c r="J814" s="4">
        <v>3985.29</v>
      </c>
      <c r="K814" s="6">
        <v>6.31</v>
      </c>
      <c r="L814" s="4">
        <v>97079.27</v>
      </c>
      <c r="M814" s="4" t="str" cm="1">
        <f t="array" ref="M814">IF(Excel_Advanced_Sales_Dataset_2000__3[[#This Row],[Total Sales]]&gt;50000,{"Yes"},{"No"})</f>
        <v>Yes</v>
      </c>
      <c r="N814" s="5">
        <v>46236</v>
      </c>
      <c r="O814" s="1" t="s">
        <v>68</v>
      </c>
      <c r="P814" t="s">
        <v>25</v>
      </c>
      <c r="Q814" t="str">
        <f>IF(Excel_Advanced_Sales_Dataset_2000__3[[#This Row],[Delivery Status]]="Pending","Follow Up","Ok")</f>
        <v>Follow Up</v>
      </c>
      <c r="R814" s="1" t="s">
        <v>36</v>
      </c>
      <c r="S814">
        <f>Excel_Advanced_Sales_Dataset_2000__3[[#This Row],[Quantity]]*Excel_Advanced_Sales_Dataset_2000__3[[#This Row],[Unit Price]]*Excel_Advanced_Sales_Dataset_2000__3[[#This Row],[Discount %]]/100</f>
        <v>6538.2667739999997</v>
      </c>
      <c r="T814" s="4">
        <f>Excel_Advanced_Sales_Dataset_2000__3[[#This Row],[Quantity]]*Excel_Advanced_Sales_Dataset_2000__3[[#This Row],[Unit Price]]-Excel_Advanced_Sales_Dataset_2000__3[[#This Row],[Discount Amount]]</f>
        <v>97079.27322599999</v>
      </c>
    </row>
    <row r="815" spans="1:20" x14ac:dyDescent="0.25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>
        <v>17</v>
      </c>
      <c r="J815" s="4">
        <v>18022.14</v>
      </c>
      <c r="K815" s="6">
        <v>1.92</v>
      </c>
      <c r="L815" s="4">
        <v>300493.95</v>
      </c>
      <c r="M815" s="4" t="str" cm="1">
        <f t="array" ref="M815">IF(Excel_Advanced_Sales_Dataset_2000__3[[#This Row],[Total Sales]]&gt;50000,{"Yes"},{"No"})</f>
        <v>Yes</v>
      </c>
      <c r="N815" s="5">
        <v>46336</v>
      </c>
      <c r="O815" s="1" t="s">
        <v>24</v>
      </c>
      <c r="P815" t="s">
        <v>35</v>
      </c>
      <c r="Q815" t="str">
        <f>IF(Excel_Advanced_Sales_Dataset_2000__3[[#This Row],[Delivery Status]]="Pending","Follow Up","Ok")</f>
        <v>Ok</v>
      </c>
      <c r="R815" s="1" t="s">
        <v>36</v>
      </c>
      <c r="S815">
        <f>Excel_Advanced_Sales_Dataset_2000__3[[#This Row],[Quantity]]*Excel_Advanced_Sales_Dataset_2000__3[[#This Row],[Unit Price]]*Excel_Advanced_Sales_Dataset_2000__3[[#This Row],[Discount %]]/100</f>
        <v>5882.426496</v>
      </c>
      <c r="T815" s="4">
        <f>Excel_Advanced_Sales_Dataset_2000__3[[#This Row],[Quantity]]*Excel_Advanced_Sales_Dataset_2000__3[[#This Row],[Unit Price]]-Excel_Advanced_Sales_Dataset_2000__3[[#This Row],[Discount Amount]]</f>
        <v>300493.95350399998</v>
      </c>
    </row>
    <row r="816" spans="1:20" x14ac:dyDescent="0.25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>
        <v>48</v>
      </c>
      <c r="J816" s="4">
        <v>39530.36</v>
      </c>
      <c r="K816" s="6">
        <v>13.84</v>
      </c>
      <c r="L816" s="4">
        <v>1634849.19</v>
      </c>
      <c r="M816" s="4" t="str" cm="1">
        <f t="array" ref="M816">IF(Excel_Advanced_Sales_Dataset_2000__3[[#This Row],[Total Sales]]&gt;50000,{"Yes"},{"No"})</f>
        <v>Yes</v>
      </c>
      <c r="N816" s="5">
        <v>46104</v>
      </c>
      <c r="O816" s="1" t="s">
        <v>45</v>
      </c>
      <c r="P816" t="s">
        <v>25</v>
      </c>
      <c r="Q816" t="str">
        <f>IF(Excel_Advanced_Sales_Dataset_2000__3[[#This Row],[Delivery Status]]="Pending","Follow Up","Ok")</f>
        <v>Follow Up</v>
      </c>
      <c r="R816" s="1" t="s">
        <v>26</v>
      </c>
      <c r="S816">
        <f>Excel_Advanced_Sales_Dataset_2000__3[[#This Row],[Quantity]]*Excel_Advanced_Sales_Dataset_2000__3[[#This Row],[Unit Price]]*Excel_Advanced_Sales_Dataset_2000__3[[#This Row],[Discount %]]/100</f>
        <v>262608.08755200001</v>
      </c>
      <c r="T816" s="4">
        <f>Excel_Advanced_Sales_Dataset_2000__3[[#This Row],[Quantity]]*Excel_Advanced_Sales_Dataset_2000__3[[#This Row],[Unit Price]]-Excel_Advanced_Sales_Dataset_2000__3[[#This Row],[Discount Amount]]</f>
        <v>1634849.192448</v>
      </c>
    </row>
    <row r="817" spans="1:20" x14ac:dyDescent="0.25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>
        <v>47</v>
      </c>
      <c r="J817" s="4">
        <v>45941.89</v>
      </c>
      <c r="K817" s="6">
        <v>6.59</v>
      </c>
      <c r="L817" s="4">
        <v>2016973.01</v>
      </c>
      <c r="M817" s="4" t="str" cm="1">
        <f t="array" ref="M817">IF(Excel_Advanced_Sales_Dataset_2000__3[[#This Row],[Total Sales]]&gt;50000,{"Yes"},{"No"})</f>
        <v>Yes</v>
      </c>
      <c r="N817" s="5">
        <v>46312</v>
      </c>
      <c r="O817" s="1" t="s">
        <v>58</v>
      </c>
      <c r="P817" t="s">
        <v>35</v>
      </c>
      <c r="Q817" t="str">
        <f>IF(Excel_Advanced_Sales_Dataset_2000__3[[#This Row],[Delivery Status]]="Pending","Follow Up","Ok")</f>
        <v>Ok</v>
      </c>
      <c r="R817" s="1" t="s">
        <v>36</v>
      </c>
      <c r="S817">
        <f>Excel_Advanced_Sales_Dataset_2000__3[[#This Row],[Quantity]]*Excel_Advanced_Sales_Dataset_2000__3[[#This Row],[Unit Price]]*Excel_Advanced_Sales_Dataset_2000__3[[#This Row],[Discount %]]/100</f>
        <v>142295.81589699999</v>
      </c>
      <c r="T817" s="4">
        <f>Excel_Advanced_Sales_Dataset_2000__3[[#This Row],[Quantity]]*Excel_Advanced_Sales_Dataset_2000__3[[#This Row],[Unit Price]]-Excel_Advanced_Sales_Dataset_2000__3[[#This Row],[Discount Amount]]</f>
        <v>2016973.0141030001</v>
      </c>
    </row>
    <row r="818" spans="1:20" x14ac:dyDescent="0.25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>
        <v>34</v>
      </c>
      <c r="J818" s="4">
        <v>10323.16</v>
      </c>
      <c r="K818" s="6">
        <v>4.6100000000000003</v>
      </c>
      <c r="L818" s="4">
        <v>334806.92</v>
      </c>
      <c r="M818" s="4" t="str" cm="1">
        <f t="array" ref="M818">IF(Excel_Advanced_Sales_Dataset_2000__3[[#This Row],[Total Sales]]&gt;50000,{"Yes"},{"No"})</f>
        <v>Yes</v>
      </c>
      <c r="N818" s="5">
        <v>46086</v>
      </c>
      <c r="O818" s="1" t="s">
        <v>58</v>
      </c>
      <c r="P818" t="s">
        <v>35</v>
      </c>
      <c r="Q818" t="str">
        <f>IF(Excel_Advanced_Sales_Dataset_2000__3[[#This Row],[Delivery Status]]="Pending","Follow Up","Ok")</f>
        <v>Ok</v>
      </c>
      <c r="R818" s="1" t="s">
        <v>53</v>
      </c>
      <c r="S818">
        <f>Excel_Advanced_Sales_Dataset_2000__3[[#This Row],[Quantity]]*Excel_Advanced_Sales_Dataset_2000__3[[#This Row],[Unit Price]]*Excel_Advanced_Sales_Dataset_2000__3[[#This Row],[Discount %]]/100</f>
        <v>16180.520984000001</v>
      </c>
      <c r="T818" s="4">
        <f>Excel_Advanced_Sales_Dataset_2000__3[[#This Row],[Quantity]]*Excel_Advanced_Sales_Dataset_2000__3[[#This Row],[Unit Price]]-Excel_Advanced_Sales_Dataset_2000__3[[#This Row],[Discount Amount]]</f>
        <v>334806.919016</v>
      </c>
    </row>
    <row r="819" spans="1:20" x14ac:dyDescent="0.25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>
        <v>19</v>
      </c>
      <c r="J819" s="4">
        <v>22284.04</v>
      </c>
      <c r="K819" s="6">
        <v>18.73</v>
      </c>
      <c r="L819" s="4">
        <v>344094.55</v>
      </c>
      <c r="M819" s="4" t="str" cm="1">
        <f t="array" ref="M819">IF(Excel_Advanced_Sales_Dataset_2000__3[[#This Row],[Total Sales]]&gt;50000,{"Yes"},{"No"})</f>
        <v>Yes</v>
      </c>
      <c r="N819" s="5">
        <v>46035</v>
      </c>
      <c r="O819" s="1" t="s">
        <v>68</v>
      </c>
      <c r="P819" t="s">
        <v>35</v>
      </c>
      <c r="Q819" t="str">
        <f>IF(Excel_Advanced_Sales_Dataset_2000__3[[#This Row],[Delivery Status]]="Pending","Follow Up","Ok")</f>
        <v>Ok</v>
      </c>
      <c r="R819" s="1" t="s">
        <v>36</v>
      </c>
      <c r="S819">
        <f>Excel_Advanced_Sales_Dataset_2000__3[[#This Row],[Quantity]]*Excel_Advanced_Sales_Dataset_2000__3[[#This Row],[Unit Price]]*Excel_Advanced_Sales_Dataset_2000__3[[#This Row],[Discount %]]/100</f>
        <v>79302.21314800001</v>
      </c>
      <c r="T819" s="4">
        <f>Excel_Advanced_Sales_Dataset_2000__3[[#This Row],[Quantity]]*Excel_Advanced_Sales_Dataset_2000__3[[#This Row],[Unit Price]]-Excel_Advanced_Sales_Dataset_2000__3[[#This Row],[Discount Amount]]</f>
        <v>344094.546852</v>
      </c>
    </row>
    <row r="820" spans="1:20" x14ac:dyDescent="0.25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>
        <v>25</v>
      </c>
      <c r="J820" s="4">
        <v>34113.32</v>
      </c>
      <c r="K820" s="6">
        <v>5.39</v>
      </c>
      <c r="L820" s="4">
        <v>806865.3</v>
      </c>
      <c r="M820" s="4" t="str" cm="1">
        <f t="array" ref="M820">IF(Excel_Advanced_Sales_Dataset_2000__3[[#This Row],[Total Sales]]&gt;50000,{"Yes"},{"No"})</f>
        <v>Yes</v>
      </c>
      <c r="N820" s="5">
        <v>46057</v>
      </c>
      <c r="O820" s="1" t="s">
        <v>45</v>
      </c>
      <c r="P820" t="s">
        <v>35</v>
      </c>
      <c r="Q820" t="str">
        <f>IF(Excel_Advanced_Sales_Dataset_2000__3[[#This Row],[Delivery Status]]="Pending","Follow Up","Ok")</f>
        <v>Ok</v>
      </c>
      <c r="R820" s="1" t="s">
        <v>53</v>
      </c>
      <c r="S820">
        <f>Excel_Advanced_Sales_Dataset_2000__3[[#This Row],[Quantity]]*Excel_Advanced_Sales_Dataset_2000__3[[#This Row],[Unit Price]]*Excel_Advanced_Sales_Dataset_2000__3[[#This Row],[Discount %]]/100</f>
        <v>45967.698700000001</v>
      </c>
      <c r="T820" s="4">
        <f>Excel_Advanced_Sales_Dataset_2000__3[[#This Row],[Quantity]]*Excel_Advanced_Sales_Dataset_2000__3[[#This Row],[Unit Price]]-Excel_Advanced_Sales_Dataset_2000__3[[#This Row],[Discount Amount]]</f>
        <v>806865.30130000005</v>
      </c>
    </row>
    <row r="821" spans="1:20" x14ac:dyDescent="0.25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>
        <v>30</v>
      </c>
      <c r="J821" s="4">
        <v>9138.7099999999991</v>
      </c>
      <c r="K821" s="6">
        <v>16.43</v>
      </c>
      <c r="L821" s="4">
        <v>229116.6</v>
      </c>
      <c r="M821" s="4" t="str" cm="1">
        <f t="array" ref="M821">IF(Excel_Advanced_Sales_Dataset_2000__3[[#This Row],[Total Sales]]&gt;50000,{"Yes"},{"No"})</f>
        <v>Yes</v>
      </c>
      <c r="N821" s="5">
        <v>46035</v>
      </c>
      <c r="O821" s="1" t="s">
        <v>45</v>
      </c>
      <c r="P821" t="s">
        <v>35</v>
      </c>
      <c r="Q821" t="str">
        <f>IF(Excel_Advanced_Sales_Dataset_2000__3[[#This Row],[Delivery Status]]="Pending","Follow Up","Ok")</f>
        <v>Ok</v>
      </c>
      <c r="R821" s="1" t="s">
        <v>36</v>
      </c>
      <c r="S821">
        <f>Excel_Advanced_Sales_Dataset_2000__3[[#This Row],[Quantity]]*Excel_Advanced_Sales_Dataset_2000__3[[#This Row],[Unit Price]]*Excel_Advanced_Sales_Dataset_2000__3[[#This Row],[Discount %]]/100</f>
        <v>45044.701589999997</v>
      </c>
      <c r="T821" s="4">
        <f>Excel_Advanced_Sales_Dataset_2000__3[[#This Row],[Quantity]]*Excel_Advanced_Sales_Dataset_2000__3[[#This Row],[Unit Price]]-Excel_Advanced_Sales_Dataset_2000__3[[#This Row],[Discount Amount]]</f>
        <v>229116.59840999998</v>
      </c>
    </row>
    <row r="822" spans="1:20" x14ac:dyDescent="0.25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>
        <v>32</v>
      </c>
      <c r="J822" s="4">
        <v>28204.61</v>
      </c>
      <c r="K822" s="6">
        <v>3.41</v>
      </c>
      <c r="L822" s="4">
        <v>871770.65</v>
      </c>
      <c r="M822" s="4" t="str" cm="1">
        <f t="array" ref="M822">IF(Excel_Advanced_Sales_Dataset_2000__3[[#This Row],[Total Sales]]&gt;50000,{"Yes"},{"No"})</f>
        <v>Yes</v>
      </c>
      <c r="N822" s="5">
        <v>46208</v>
      </c>
      <c r="O822" s="1" t="s">
        <v>45</v>
      </c>
      <c r="P822" t="s">
        <v>35</v>
      </c>
      <c r="Q822" t="str">
        <f>IF(Excel_Advanced_Sales_Dataset_2000__3[[#This Row],[Delivery Status]]="Pending","Follow Up","Ok")</f>
        <v>Ok</v>
      </c>
      <c r="R822" s="1" t="s">
        <v>26</v>
      </c>
      <c r="S822">
        <f>Excel_Advanced_Sales_Dataset_2000__3[[#This Row],[Quantity]]*Excel_Advanced_Sales_Dataset_2000__3[[#This Row],[Unit Price]]*Excel_Advanced_Sales_Dataset_2000__3[[#This Row],[Discount %]]/100</f>
        <v>30776.870432000003</v>
      </c>
      <c r="T822" s="4">
        <f>Excel_Advanced_Sales_Dataset_2000__3[[#This Row],[Quantity]]*Excel_Advanced_Sales_Dataset_2000__3[[#This Row],[Unit Price]]-Excel_Advanced_Sales_Dataset_2000__3[[#This Row],[Discount Amount]]</f>
        <v>871770.64956799999</v>
      </c>
    </row>
    <row r="823" spans="1:20" x14ac:dyDescent="0.25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>
        <v>28</v>
      </c>
      <c r="J823" s="4">
        <v>44088.72</v>
      </c>
      <c r="K823" s="6">
        <v>4.71</v>
      </c>
      <c r="L823" s="4">
        <v>1176339.96</v>
      </c>
      <c r="M823" s="4" t="str" cm="1">
        <f t="array" ref="M823">IF(Excel_Advanced_Sales_Dataset_2000__3[[#This Row],[Total Sales]]&gt;50000,{"Yes"},{"No"})</f>
        <v>Yes</v>
      </c>
      <c r="N823" s="5">
        <v>46353</v>
      </c>
      <c r="O823" s="1" t="s">
        <v>68</v>
      </c>
      <c r="P823" t="s">
        <v>35</v>
      </c>
      <c r="Q823" t="str">
        <f>IF(Excel_Advanced_Sales_Dataset_2000__3[[#This Row],[Delivery Status]]="Pending","Follow Up","Ok")</f>
        <v>Ok</v>
      </c>
      <c r="R823" s="1" t="s">
        <v>53</v>
      </c>
      <c r="S823">
        <f>Excel_Advanced_Sales_Dataset_2000__3[[#This Row],[Quantity]]*Excel_Advanced_Sales_Dataset_2000__3[[#This Row],[Unit Price]]*Excel_Advanced_Sales_Dataset_2000__3[[#This Row],[Discount %]]/100</f>
        <v>58144.203936000013</v>
      </c>
      <c r="T823" s="4">
        <f>Excel_Advanced_Sales_Dataset_2000__3[[#This Row],[Quantity]]*Excel_Advanced_Sales_Dataset_2000__3[[#This Row],[Unit Price]]-Excel_Advanced_Sales_Dataset_2000__3[[#This Row],[Discount Amount]]</f>
        <v>1176339.956064</v>
      </c>
    </row>
    <row r="824" spans="1:20" x14ac:dyDescent="0.25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>
        <v>14</v>
      </c>
      <c r="J824" s="4">
        <v>46542.48</v>
      </c>
      <c r="K824" s="6">
        <v>6.71</v>
      </c>
      <c r="L824" s="4">
        <v>607872.71</v>
      </c>
      <c r="M824" s="4" t="str" cm="1">
        <f t="array" ref="M824">IF(Excel_Advanced_Sales_Dataset_2000__3[[#This Row],[Total Sales]]&gt;50000,{"Yes"},{"No"})</f>
        <v>Yes</v>
      </c>
      <c r="N824" s="5">
        <v>46127</v>
      </c>
      <c r="O824" s="1" t="s">
        <v>113</v>
      </c>
      <c r="P824" t="s">
        <v>35</v>
      </c>
      <c r="Q824" t="str">
        <f>IF(Excel_Advanced_Sales_Dataset_2000__3[[#This Row],[Delivery Status]]="Pending","Follow Up","Ok")</f>
        <v>Ok</v>
      </c>
      <c r="R824" s="1" t="s">
        <v>36</v>
      </c>
      <c r="S824">
        <f>Excel_Advanced_Sales_Dataset_2000__3[[#This Row],[Quantity]]*Excel_Advanced_Sales_Dataset_2000__3[[#This Row],[Unit Price]]*Excel_Advanced_Sales_Dataset_2000__3[[#This Row],[Discount %]]/100</f>
        <v>43722.005711999998</v>
      </c>
      <c r="T824" s="4">
        <f>Excel_Advanced_Sales_Dataset_2000__3[[#This Row],[Quantity]]*Excel_Advanced_Sales_Dataset_2000__3[[#This Row],[Unit Price]]-Excel_Advanced_Sales_Dataset_2000__3[[#This Row],[Discount Amount]]</f>
        <v>607872.71428800013</v>
      </c>
    </row>
    <row r="825" spans="1:20" x14ac:dyDescent="0.25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>
        <v>3</v>
      </c>
      <c r="J825" s="4">
        <v>19744.39</v>
      </c>
      <c r="K825" s="6">
        <v>0.12</v>
      </c>
      <c r="L825" s="4">
        <v>59162.09</v>
      </c>
      <c r="M825" s="4" t="str" cm="1">
        <f t="array" ref="M825">IF(Excel_Advanced_Sales_Dataset_2000__3[[#This Row],[Total Sales]]&gt;50000,{"Yes"},{"No"})</f>
        <v>Yes</v>
      </c>
      <c r="N825" s="5">
        <v>46221</v>
      </c>
      <c r="O825" s="1" t="s">
        <v>68</v>
      </c>
      <c r="P825" t="s">
        <v>35</v>
      </c>
      <c r="Q825" t="str">
        <f>IF(Excel_Advanced_Sales_Dataset_2000__3[[#This Row],[Delivery Status]]="Pending","Follow Up","Ok")</f>
        <v>Ok</v>
      </c>
      <c r="R825" s="1" t="s">
        <v>53</v>
      </c>
      <c r="S825">
        <f>Excel_Advanced_Sales_Dataset_2000__3[[#This Row],[Quantity]]*Excel_Advanced_Sales_Dataset_2000__3[[#This Row],[Unit Price]]*Excel_Advanced_Sales_Dataset_2000__3[[#This Row],[Discount %]]/100</f>
        <v>71.079803999999996</v>
      </c>
      <c r="T825" s="4">
        <f>Excel_Advanced_Sales_Dataset_2000__3[[#This Row],[Quantity]]*Excel_Advanced_Sales_Dataset_2000__3[[#This Row],[Unit Price]]-Excel_Advanced_Sales_Dataset_2000__3[[#This Row],[Discount Amount]]</f>
        <v>59162.090195999997</v>
      </c>
    </row>
    <row r="826" spans="1:20" x14ac:dyDescent="0.25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>
        <v>24</v>
      </c>
      <c r="J826" s="4">
        <v>22912.35</v>
      </c>
      <c r="K826" s="6">
        <v>5.51</v>
      </c>
      <c r="L826" s="4">
        <v>519597.11</v>
      </c>
      <c r="M826" s="4" t="str" cm="1">
        <f t="array" ref="M826">IF(Excel_Advanced_Sales_Dataset_2000__3[[#This Row],[Total Sales]]&gt;50000,{"Yes"},{"No"})</f>
        <v>Yes</v>
      </c>
      <c r="N826" s="5">
        <v>46306</v>
      </c>
      <c r="O826" s="1" t="s">
        <v>24</v>
      </c>
      <c r="P826" t="s">
        <v>35</v>
      </c>
      <c r="Q826" t="str">
        <f>IF(Excel_Advanced_Sales_Dataset_2000__3[[#This Row],[Delivery Status]]="Pending","Follow Up","Ok")</f>
        <v>Ok</v>
      </c>
      <c r="R826" s="1" t="s">
        <v>36</v>
      </c>
      <c r="S826">
        <f>Excel_Advanced_Sales_Dataset_2000__3[[#This Row],[Quantity]]*Excel_Advanced_Sales_Dataset_2000__3[[#This Row],[Unit Price]]*Excel_Advanced_Sales_Dataset_2000__3[[#This Row],[Discount %]]/100</f>
        <v>30299.291639999996</v>
      </c>
      <c r="T826" s="4">
        <f>Excel_Advanced_Sales_Dataset_2000__3[[#This Row],[Quantity]]*Excel_Advanced_Sales_Dataset_2000__3[[#This Row],[Unit Price]]-Excel_Advanced_Sales_Dataset_2000__3[[#This Row],[Discount Amount]]</f>
        <v>519597.1083599999</v>
      </c>
    </row>
    <row r="827" spans="1:20" x14ac:dyDescent="0.25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>
        <v>42</v>
      </c>
      <c r="J827" s="4">
        <v>30161.53</v>
      </c>
      <c r="K827" s="6">
        <v>9.41</v>
      </c>
      <c r="L827" s="4">
        <v>1147579.8600000001</v>
      </c>
      <c r="M827" s="4" t="str" cm="1">
        <f t="array" ref="M827">IF(Excel_Advanced_Sales_Dataset_2000__3[[#This Row],[Total Sales]]&gt;50000,{"Yes"},{"No"})</f>
        <v>Yes</v>
      </c>
      <c r="N827" s="5">
        <v>46226</v>
      </c>
      <c r="O827" s="1" t="s">
        <v>68</v>
      </c>
      <c r="P827" t="s">
        <v>25</v>
      </c>
      <c r="Q827" t="str">
        <f>IF(Excel_Advanced_Sales_Dataset_2000__3[[#This Row],[Delivery Status]]="Pending","Follow Up","Ok")</f>
        <v>Follow Up</v>
      </c>
      <c r="R827" s="1" t="s">
        <v>26</v>
      </c>
      <c r="S827">
        <f>Excel_Advanced_Sales_Dataset_2000__3[[#This Row],[Quantity]]*Excel_Advanced_Sales_Dataset_2000__3[[#This Row],[Unit Price]]*Excel_Advanced_Sales_Dataset_2000__3[[#This Row],[Discount %]]/100</f>
        <v>119204.398866</v>
      </c>
      <c r="T827" s="4">
        <f>Excel_Advanced_Sales_Dataset_2000__3[[#This Row],[Quantity]]*Excel_Advanced_Sales_Dataset_2000__3[[#This Row],[Unit Price]]-Excel_Advanced_Sales_Dataset_2000__3[[#This Row],[Discount Amount]]</f>
        <v>1147579.8611340001</v>
      </c>
    </row>
    <row r="828" spans="1:20" x14ac:dyDescent="0.25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>
        <v>20</v>
      </c>
      <c r="J828" s="4">
        <v>48815.47</v>
      </c>
      <c r="K828" s="6">
        <v>6.28</v>
      </c>
      <c r="L828" s="4">
        <v>914997.17</v>
      </c>
      <c r="M828" s="4" t="str" cm="1">
        <f t="array" ref="M828">IF(Excel_Advanced_Sales_Dataset_2000__3[[#This Row],[Total Sales]]&gt;50000,{"Yes"},{"No"})</f>
        <v>Yes</v>
      </c>
      <c r="N828" s="5">
        <v>46308</v>
      </c>
      <c r="O828" s="1" t="s">
        <v>45</v>
      </c>
      <c r="P828" t="s">
        <v>25</v>
      </c>
      <c r="Q828" t="str">
        <f>IF(Excel_Advanced_Sales_Dataset_2000__3[[#This Row],[Delivery Status]]="Pending","Follow Up","Ok")</f>
        <v>Follow Up</v>
      </c>
      <c r="R828" s="1" t="s">
        <v>36</v>
      </c>
      <c r="S828">
        <f>Excel_Advanced_Sales_Dataset_2000__3[[#This Row],[Quantity]]*Excel_Advanced_Sales_Dataset_2000__3[[#This Row],[Unit Price]]*Excel_Advanced_Sales_Dataset_2000__3[[#This Row],[Discount %]]/100</f>
        <v>61312.230320000002</v>
      </c>
      <c r="T828" s="4">
        <f>Excel_Advanced_Sales_Dataset_2000__3[[#This Row],[Quantity]]*Excel_Advanced_Sales_Dataset_2000__3[[#This Row],[Unit Price]]-Excel_Advanced_Sales_Dataset_2000__3[[#This Row],[Discount Amount]]</f>
        <v>914997.16968000005</v>
      </c>
    </row>
    <row r="829" spans="1:20" x14ac:dyDescent="0.25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>
        <v>17</v>
      </c>
      <c r="J829" s="4">
        <v>9033.9599999999991</v>
      </c>
      <c r="K829" s="6">
        <v>0.15</v>
      </c>
      <c r="L829" s="4">
        <v>153346.95000000001</v>
      </c>
      <c r="M829" s="4" t="str" cm="1">
        <f t="array" ref="M829">IF(Excel_Advanced_Sales_Dataset_2000__3[[#This Row],[Total Sales]]&gt;50000,{"Yes"},{"No"})</f>
        <v>Yes</v>
      </c>
      <c r="N829" s="5">
        <v>46368</v>
      </c>
      <c r="O829" s="1" t="s">
        <v>58</v>
      </c>
      <c r="P829" t="s">
        <v>35</v>
      </c>
      <c r="Q829" t="str">
        <f>IF(Excel_Advanced_Sales_Dataset_2000__3[[#This Row],[Delivery Status]]="Pending","Follow Up","Ok")</f>
        <v>Ok</v>
      </c>
      <c r="R829" s="1" t="s">
        <v>26</v>
      </c>
      <c r="S829">
        <f>Excel_Advanced_Sales_Dataset_2000__3[[#This Row],[Quantity]]*Excel_Advanced_Sales_Dataset_2000__3[[#This Row],[Unit Price]]*Excel_Advanced_Sales_Dataset_2000__3[[#This Row],[Discount %]]/100</f>
        <v>230.36597999999995</v>
      </c>
      <c r="T829" s="4">
        <f>Excel_Advanced_Sales_Dataset_2000__3[[#This Row],[Quantity]]*Excel_Advanced_Sales_Dataset_2000__3[[#This Row],[Unit Price]]-Excel_Advanced_Sales_Dataset_2000__3[[#This Row],[Discount Amount]]</f>
        <v>153346.95401999998</v>
      </c>
    </row>
    <row r="830" spans="1:20" x14ac:dyDescent="0.25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>
        <v>49</v>
      </c>
      <c r="J830" s="4">
        <v>3833.75</v>
      </c>
      <c r="K830" s="6">
        <v>10.94</v>
      </c>
      <c r="L830" s="4">
        <v>167302.54999999999</v>
      </c>
      <c r="M830" s="4" t="str" cm="1">
        <f t="array" ref="M830">IF(Excel_Advanced_Sales_Dataset_2000__3[[#This Row],[Total Sales]]&gt;50000,{"Yes"},{"No"})</f>
        <v>Yes</v>
      </c>
      <c r="N830" s="5">
        <v>46257</v>
      </c>
      <c r="O830" s="1" t="s">
        <v>58</v>
      </c>
      <c r="P830" t="s">
        <v>35</v>
      </c>
      <c r="Q830" t="str">
        <f>IF(Excel_Advanced_Sales_Dataset_2000__3[[#This Row],[Delivery Status]]="Pending","Follow Up","Ok")</f>
        <v>Ok</v>
      </c>
      <c r="R830" s="1" t="s">
        <v>53</v>
      </c>
      <c r="S830">
        <f>Excel_Advanced_Sales_Dataset_2000__3[[#This Row],[Quantity]]*Excel_Advanced_Sales_Dataset_2000__3[[#This Row],[Unit Price]]*Excel_Advanced_Sales_Dataset_2000__3[[#This Row],[Discount %]]/100</f>
        <v>20551.200249999998</v>
      </c>
      <c r="T830" s="4">
        <f>Excel_Advanced_Sales_Dataset_2000__3[[#This Row],[Quantity]]*Excel_Advanced_Sales_Dataset_2000__3[[#This Row],[Unit Price]]-Excel_Advanced_Sales_Dataset_2000__3[[#This Row],[Discount Amount]]</f>
        <v>167302.54975000001</v>
      </c>
    </row>
    <row r="831" spans="1:20" x14ac:dyDescent="0.25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>
        <v>6</v>
      </c>
      <c r="J831" s="4">
        <v>2846.87</v>
      </c>
      <c r="K831" s="6">
        <v>14.66</v>
      </c>
      <c r="L831" s="4">
        <v>14577.11</v>
      </c>
      <c r="M831" s="4" t="str" cm="1">
        <f t="array" ref="M831">IF(Excel_Advanced_Sales_Dataset_2000__3[[#This Row],[Total Sales]]&gt;50000,{"Yes"},{"No"})</f>
        <v>No</v>
      </c>
      <c r="N831" s="5">
        <v>46320</v>
      </c>
      <c r="O831" s="1" t="s">
        <v>113</v>
      </c>
      <c r="P831" t="s">
        <v>25</v>
      </c>
      <c r="Q831" t="str">
        <f>IF(Excel_Advanced_Sales_Dataset_2000__3[[#This Row],[Delivery Status]]="Pending","Follow Up","Ok")</f>
        <v>Follow Up</v>
      </c>
      <c r="R831" s="1" t="s">
        <v>26</v>
      </c>
      <c r="S831">
        <f>Excel_Advanced_Sales_Dataset_2000__3[[#This Row],[Quantity]]*Excel_Advanced_Sales_Dataset_2000__3[[#This Row],[Unit Price]]*Excel_Advanced_Sales_Dataset_2000__3[[#This Row],[Discount %]]/100</f>
        <v>2504.1068519999999</v>
      </c>
      <c r="T831" s="4">
        <f>Excel_Advanced_Sales_Dataset_2000__3[[#This Row],[Quantity]]*Excel_Advanced_Sales_Dataset_2000__3[[#This Row],[Unit Price]]-Excel_Advanced_Sales_Dataset_2000__3[[#This Row],[Discount Amount]]</f>
        <v>14577.113148</v>
      </c>
    </row>
    <row r="832" spans="1:20" x14ac:dyDescent="0.25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>
        <v>6</v>
      </c>
      <c r="J832" s="4">
        <v>23821.21</v>
      </c>
      <c r="K832" s="6">
        <v>11.99</v>
      </c>
      <c r="L832" s="4">
        <v>125790.28</v>
      </c>
      <c r="M832" s="4" t="str" cm="1">
        <f t="array" ref="M832">IF(Excel_Advanced_Sales_Dataset_2000__3[[#This Row],[Total Sales]]&gt;50000,{"Yes"},{"No"})</f>
        <v>Yes</v>
      </c>
      <c r="N832" s="5">
        <v>46264</v>
      </c>
      <c r="O832" s="1" t="s">
        <v>113</v>
      </c>
      <c r="P832" t="s">
        <v>35</v>
      </c>
      <c r="Q832" t="str">
        <f>IF(Excel_Advanced_Sales_Dataset_2000__3[[#This Row],[Delivery Status]]="Pending","Follow Up","Ok")</f>
        <v>Ok</v>
      </c>
      <c r="R832" s="1" t="s">
        <v>53</v>
      </c>
      <c r="S832">
        <f>Excel_Advanced_Sales_Dataset_2000__3[[#This Row],[Quantity]]*Excel_Advanced_Sales_Dataset_2000__3[[#This Row],[Unit Price]]*Excel_Advanced_Sales_Dataset_2000__3[[#This Row],[Discount %]]/100</f>
        <v>17136.978474</v>
      </c>
      <c r="T832" s="4">
        <f>Excel_Advanced_Sales_Dataset_2000__3[[#This Row],[Quantity]]*Excel_Advanced_Sales_Dataset_2000__3[[#This Row],[Unit Price]]-Excel_Advanced_Sales_Dataset_2000__3[[#This Row],[Discount Amount]]</f>
        <v>125790.28152600001</v>
      </c>
    </row>
    <row r="833" spans="1:20" x14ac:dyDescent="0.25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>
        <v>6</v>
      </c>
      <c r="J833" s="4">
        <v>5329.18</v>
      </c>
      <c r="K833" s="6">
        <v>15.78</v>
      </c>
      <c r="L833" s="4">
        <v>26929.41</v>
      </c>
      <c r="M833" s="4" t="str" cm="1">
        <f t="array" ref="M833">IF(Excel_Advanced_Sales_Dataset_2000__3[[#This Row],[Total Sales]]&gt;50000,{"Yes"},{"No"})</f>
        <v>No</v>
      </c>
      <c r="N833" s="5">
        <v>46371</v>
      </c>
      <c r="O833" s="1" t="s">
        <v>24</v>
      </c>
      <c r="P833" t="s">
        <v>35</v>
      </c>
      <c r="Q833" t="str">
        <f>IF(Excel_Advanced_Sales_Dataset_2000__3[[#This Row],[Delivery Status]]="Pending","Follow Up","Ok")</f>
        <v>Ok</v>
      </c>
      <c r="R833" s="1" t="s">
        <v>36</v>
      </c>
      <c r="S833">
        <f>Excel_Advanced_Sales_Dataset_2000__3[[#This Row],[Quantity]]*Excel_Advanced_Sales_Dataset_2000__3[[#This Row],[Unit Price]]*Excel_Advanced_Sales_Dataset_2000__3[[#This Row],[Discount %]]/100</f>
        <v>5045.6676239999997</v>
      </c>
      <c r="T833" s="4">
        <f>Excel_Advanced_Sales_Dataset_2000__3[[#This Row],[Quantity]]*Excel_Advanced_Sales_Dataset_2000__3[[#This Row],[Unit Price]]-Excel_Advanced_Sales_Dataset_2000__3[[#This Row],[Discount Amount]]</f>
        <v>26929.412376</v>
      </c>
    </row>
    <row r="834" spans="1:20" x14ac:dyDescent="0.25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>
        <v>34</v>
      </c>
      <c r="J834" s="4">
        <v>41645.25</v>
      </c>
      <c r="K834" s="6">
        <v>3.25</v>
      </c>
      <c r="L834" s="4">
        <v>1369920.5</v>
      </c>
      <c r="M834" s="4" t="str" cm="1">
        <f t="array" ref="M834">IF(Excel_Advanced_Sales_Dataset_2000__3[[#This Row],[Total Sales]]&gt;50000,{"Yes"},{"No"})</f>
        <v>Yes</v>
      </c>
      <c r="N834" s="5">
        <v>46196</v>
      </c>
      <c r="O834" s="1" t="s">
        <v>58</v>
      </c>
      <c r="P834" t="s">
        <v>59</v>
      </c>
      <c r="Q834" t="str">
        <f>IF(Excel_Advanced_Sales_Dataset_2000__3[[#This Row],[Delivery Status]]="Pending","Follow Up","Ok")</f>
        <v>Ok</v>
      </c>
      <c r="R834" s="1" t="s">
        <v>26</v>
      </c>
      <c r="S834">
        <f>Excel_Advanced_Sales_Dataset_2000__3[[#This Row],[Quantity]]*Excel_Advanced_Sales_Dataset_2000__3[[#This Row],[Unit Price]]*Excel_Advanced_Sales_Dataset_2000__3[[#This Row],[Discount %]]/100</f>
        <v>46018.001250000001</v>
      </c>
      <c r="T834" s="4">
        <f>Excel_Advanced_Sales_Dataset_2000__3[[#This Row],[Quantity]]*Excel_Advanced_Sales_Dataset_2000__3[[#This Row],[Unit Price]]-Excel_Advanced_Sales_Dataset_2000__3[[#This Row],[Discount Amount]]</f>
        <v>1369920.49875</v>
      </c>
    </row>
    <row r="835" spans="1:20" x14ac:dyDescent="0.25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>
        <v>5</v>
      </c>
      <c r="J835" s="4">
        <v>27553.72</v>
      </c>
      <c r="K835" s="6">
        <v>16.36</v>
      </c>
      <c r="L835" s="4">
        <v>115229.66</v>
      </c>
      <c r="M835" s="4" t="str" cm="1">
        <f t="array" ref="M835">IF(Excel_Advanced_Sales_Dataset_2000__3[[#This Row],[Total Sales]]&gt;50000,{"Yes"},{"No"})</f>
        <v>Yes</v>
      </c>
      <c r="N835" s="5">
        <v>46118</v>
      </c>
      <c r="O835" s="1" t="s">
        <v>113</v>
      </c>
      <c r="P835" t="s">
        <v>35</v>
      </c>
      <c r="Q835" t="str">
        <f>IF(Excel_Advanced_Sales_Dataset_2000__3[[#This Row],[Delivery Status]]="Pending","Follow Up","Ok")</f>
        <v>Ok</v>
      </c>
      <c r="R835" s="1" t="s">
        <v>53</v>
      </c>
      <c r="S835">
        <f>Excel_Advanced_Sales_Dataset_2000__3[[#This Row],[Quantity]]*Excel_Advanced_Sales_Dataset_2000__3[[#This Row],[Unit Price]]*Excel_Advanced_Sales_Dataset_2000__3[[#This Row],[Discount %]]/100</f>
        <v>22538.94296</v>
      </c>
      <c r="T835" s="4">
        <f>Excel_Advanced_Sales_Dataset_2000__3[[#This Row],[Quantity]]*Excel_Advanced_Sales_Dataset_2000__3[[#This Row],[Unit Price]]-Excel_Advanced_Sales_Dataset_2000__3[[#This Row],[Discount Amount]]</f>
        <v>115229.65704000001</v>
      </c>
    </row>
    <row r="836" spans="1:20" x14ac:dyDescent="0.25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>
        <v>47</v>
      </c>
      <c r="J836" s="4">
        <v>47157.73</v>
      </c>
      <c r="K836" s="6">
        <v>5.59</v>
      </c>
      <c r="L836" s="4">
        <v>2092515.81</v>
      </c>
      <c r="M836" s="4" t="str" cm="1">
        <f t="array" ref="M836">IF(Excel_Advanced_Sales_Dataset_2000__3[[#This Row],[Total Sales]]&gt;50000,{"Yes"},{"No"})</f>
        <v>Yes</v>
      </c>
      <c r="N836" s="5">
        <v>46266</v>
      </c>
      <c r="O836" s="1" t="s">
        <v>113</v>
      </c>
      <c r="P836" t="s">
        <v>35</v>
      </c>
      <c r="Q836" t="str">
        <f>IF(Excel_Advanced_Sales_Dataset_2000__3[[#This Row],[Delivery Status]]="Pending","Follow Up","Ok")</f>
        <v>Ok</v>
      </c>
      <c r="R836" s="1" t="s">
        <v>53</v>
      </c>
      <c r="S836">
        <f>Excel_Advanced_Sales_Dataset_2000__3[[#This Row],[Quantity]]*Excel_Advanced_Sales_Dataset_2000__3[[#This Row],[Unit Price]]*Excel_Advanced_Sales_Dataset_2000__3[[#This Row],[Discount %]]/100</f>
        <v>123897.50402899999</v>
      </c>
      <c r="T836" s="4">
        <f>Excel_Advanced_Sales_Dataset_2000__3[[#This Row],[Quantity]]*Excel_Advanced_Sales_Dataset_2000__3[[#This Row],[Unit Price]]-Excel_Advanced_Sales_Dataset_2000__3[[#This Row],[Discount Amount]]</f>
        <v>2092515.8059710001</v>
      </c>
    </row>
    <row r="837" spans="1:20" x14ac:dyDescent="0.25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>
        <v>45</v>
      </c>
      <c r="J837" s="4">
        <v>32597.9</v>
      </c>
      <c r="K837" s="6">
        <v>11.61</v>
      </c>
      <c r="L837" s="4">
        <v>1296597.77</v>
      </c>
      <c r="M837" s="4" t="str" cm="1">
        <f t="array" ref="M837">IF(Excel_Advanced_Sales_Dataset_2000__3[[#This Row],[Total Sales]]&gt;50000,{"Yes"},{"No"})</f>
        <v>Yes</v>
      </c>
      <c r="N837" s="5">
        <v>46302</v>
      </c>
      <c r="O837" s="1" t="s">
        <v>113</v>
      </c>
      <c r="P837" t="s">
        <v>35</v>
      </c>
      <c r="Q837" t="str">
        <f>IF(Excel_Advanced_Sales_Dataset_2000__3[[#This Row],[Delivery Status]]="Pending","Follow Up","Ok")</f>
        <v>Ok</v>
      </c>
      <c r="R837" s="1" t="s">
        <v>53</v>
      </c>
      <c r="S837">
        <f>Excel_Advanced_Sales_Dataset_2000__3[[#This Row],[Quantity]]*Excel_Advanced_Sales_Dataset_2000__3[[#This Row],[Unit Price]]*Excel_Advanced_Sales_Dataset_2000__3[[#This Row],[Discount %]]/100</f>
        <v>170307.72855</v>
      </c>
      <c r="T837" s="4">
        <f>Excel_Advanced_Sales_Dataset_2000__3[[#This Row],[Quantity]]*Excel_Advanced_Sales_Dataset_2000__3[[#This Row],[Unit Price]]-Excel_Advanced_Sales_Dataset_2000__3[[#This Row],[Discount Amount]]</f>
        <v>1296597.7714499999</v>
      </c>
    </row>
    <row r="838" spans="1:20" x14ac:dyDescent="0.25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>
        <v>46</v>
      </c>
      <c r="J838" s="4">
        <v>19488.87</v>
      </c>
      <c r="K838" s="6">
        <v>10.220000000000001</v>
      </c>
      <c r="L838" s="4">
        <v>804866.94</v>
      </c>
      <c r="M838" s="4" t="str" cm="1">
        <f t="array" ref="M838">IF(Excel_Advanced_Sales_Dataset_2000__3[[#This Row],[Total Sales]]&gt;50000,{"Yes"},{"No"})</f>
        <v>Yes</v>
      </c>
      <c r="N838" s="5">
        <v>46083</v>
      </c>
      <c r="O838" s="1" t="s">
        <v>68</v>
      </c>
      <c r="P838" t="s">
        <v>25</v>
      </c>
      <c r="Q838" t="str">
        <f>IF(Excel_Advanced_Sales_Dataset_2000__3[[#This Row],[Delivery Status]]="Pending","Follow Up","Ok")</f>
        <v>Follow Up</v>
      </c>
      <c r="R838" s="1" t="s">
        <v>53</v>
      </c>
      <c r="S838">
        <f>Excel_Advanced_Sales_Dataset_2000__3[[#This Row],[Quantity]]*Excel_Advanced_Sales_Dataset_2000__3[[#This Row],[Unit Price]]*Excel_Advanced_Sales_Dataset_2000__3[[#This Row],[Discount %]]/100</f>
        <v>91621.075644000011</v>
      </c>
      <c r="T838" s="4">
        <f>Excel_Advanced_Sales_Dataset_2000__3[[#This Row],[Quantity]]*Excel_Advanced_Sales_Dataset_2000__3[[#This Row],[Unit Price]]-Excel_Advanced_Sales_Dataset_2000__3[[#This Row],[Discount Amount]]</f>
        <v>804866.94435599993</v>
      </c>
    </row>
    <row r="839" spans="1:20" x14ac:dyDescent="0.25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>
        <v>45</v>
      </c>
      <c r="J839" s="4">
        <v>24028.57</v>
      </c>
      <c r="K839" s="6">
        <v>5.3</v>
      </c>
      <c r="L839" s="4">
        <v>1023977.51</v>
      </c>
      <c r="M839" s="4" t="str" cm="1">
        <f t="array" ref="M839">IF(Excel_Advanced_Sales_Dataset_2000__3[[#This Row],[Total Sales]]&gt;50000,{"Yes"},{"No"})</f>
        <v>Yes</v>
      </c>
      <c r="N839" s="5">
        <v>46249</v>
      </c>
      <c r="O839" s="1" t="s">
        <v>113</v>
      </c>
      <c r="P839" t="s">
        <v>35</v>
      </c>
      <c r="Q839" t="str">
        <f>IF(Excel_Advanced_Sales_Dataset_2000__3[[#This Row],[Delivery Status]]="Pending","Follow Up","Ok")</f>
        <v>Ok</v>
      </c>
      <c r="R839" s="1" t="s">
        <v>53</v>
      </c>
      <c r="S839">
        <f>Excel_Advanced_Sales_Dataset_2000__3[[#This Row],[Quantity]]*Excel_Advanced_Sales_Dataset_2000__3[[#This Row],[Unit Price]]*Excel_Advanced_Sales_Dataset_2000__3[[#This Row],[Discount %]]/100</f>
        <v>57308.139449999995</v>
      </c>
      <c r="T839" s="4">
        <f>Excel_Advanced_Sales_Dataset_2000__3[[#This Row],[Quantity]]*Excel_Advanced_Sales_Dataset_2000__3[[#This Row],[Unit Price]]-Excel_Advanced_Sales_Dataset_2000__3[[#This Row],[Discount Amount]]</f>
        <v>1023977.5105499999</v>
      </c>
    </row>
    <row r="840" spans="1:20" x14ac:dyDescent="0.25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>
        <v>1</v>
      </c>
      <c r="J840" s="4">
        <v>39662.42</v>
      </c>
      <c r="K840" s="6">
        <v>19</v>
      </c>
      <c r="L840" s="4">
        <v>32126.560000000001</v>
      </c>
      <c r="M840" s="4" t="str" cm="1">
        <f t="array" ref="M840">IF(Excel_Advanced_Sales_Dataset_2000__3[[#This Row],[Total Sales]]&gt;50000,{"Yes"},{"No"})</f>
        <v>No</v>
      </c>
      <c r="N840" s="5">
        <v>46275</v>
      </c>
      <c r="O840" s="1" t="s">
        <v>113</v>
      </c>
      <c r="P840" t="s">
        <v>35</v>
      </c>
      <c r="Q840" t="str">
        <f>IF(Excel_Advanced_Sales_Dataset_2000__3[[#This Row],[Delivery Status]]="Pending","Follow Up","Ok")</f>
        <v>Ok</v>
      </c>
      <c r="R840" s="1" t="s">
        <v>53</v>
      </c>
      <c r="S840">
        <f>Excel_Advanced_Sales_Dataset_2000__3[[#This Row],[Quantity]]*Excel_Advanced_Sales_Dataset_2000__3[[#This Row],[Unit Price]]*Excel_Advanced_Sales_Dataset_2000__3[[#This Row],[Discount %]]/100</f>
        <v>7535.8598000000002</v>
      </c>
      <c r="T840" s="4">
        <f>Excel_Advanced_Sales_Dataset_2000__3[[#This Row],[Quantity]]*Excel_Advanced_Sales_Dataset_2000__3[[#This Row],[Unit Price]]-Excel_Advanced_Sales_Dataset_2000__3[[#This Row],[Discount Amount]]</f>
        <v>32126.5602</v>
      </c>
    </row>
    <row r="841" spans="1:20" x14ac:dyDescent="0.25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>
        <v>24</v>
      </c>
      <c r="J841" s="4">
        <v>22461.87</v>
      </c>
      <c r="K841" s="6">
        <v>16.649999999999999</v>
      </c>
      <c r="L841" s="4">
        <v>449327.25</v>
      </c>
      <c r="M841" s="4" t="str" cm="1">
        <f t="array" ref="M841">IF(Excel_Advanced_Sales_Dataset_2000__3[[#This Row],[Total Sales]]&gt;50000,{"Yes"},{"No"})</f>
        <v>Yes</v>
      </c>
      <c r="N841" s="5">
        <v>46063</v>
      </c>
      <c r="O841" s="1" t="s">
        <v>24</v>
      </c>
      <c r="P841" t="s">
        <v>35</v>
      </c>
      <c r="Q841" t="str">
        <f>IF(Excel_Advanced_Sales_Dataset_2000__3[[#This Row],[Delivery Status]]="Pending","Follow Up","Ok")</f>
        <v>Ok</v>
      </c>
      <c r="R841" s="1" t="s">
        <v>53</v>
      </c>
      <c r="S841">
        <f>Excel_Advanced_Sales_Dataset_2000__3[[#This Row],[Quantity]]*Excel_Advanced_Sales_Dataset_2000__3[[#This Row],[Unit Price]]*Excel_Advanced_Sales_Dataset_2000__3[[#This Row],[Discount %]]/100</f>
        <v>89757.632519999985</v>
      </c>
      <c r="T841" s="4">
        <f>Excel_Advanced_Sales_Dataset_2000__3[[#This Row],[Quantity]]*Excel_Advanced_Sales_Dataset_2000__3[[#This Row],[Unit Price]]-Excel_Advanced_Sales_Dataset_2000__3[[#This Row],[Discount Amount]]</f>
        <v>449327.24748000002</v>
      </c>
    </row>
    <row r="842" spans="1:20" x14ac:dyDescent="0.25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>
        <v>29</v>
      </c>
      <c r="J842" s="4">
        <v>41152.94</v>
      </c>
      <c r="K842" s="6">
        <v>8.08</v>
      </c>
      <c r="L842" s="4">
        <v>1097005.69</v>
      </c>
      <c r="M842" s="4" t="str" cm="1">
        <f t="array" ref="M842">IF(Excel_Advanced_Sales_Dataset_2000__3[[#This Row],[Total Sales]]&gt;50000,{"Yes"},{"No"})</f>
        <v>Yes</v>
      </c>
      <c r="N842" s="5">
        <v>46077</v>
      </c>
      <c r="O842" s="1" t="s">
        <v>45</v>
      </c>
      <c r="P842" t="s">
        <v>35</v>
      </c>
      <c r="Q842" t="str">
        <f>IF(Excel_Advanced_Sales_Dataset_2000__3[[#This Row],[Delivery Status]]="Pending","Follow Up","Ok")</f>
        <v>Ok</v>
      </c>
      <c r="R842" s="1" t="s">
        <v>26</v>
      </c>
      <c r="S842">
        <f>Excel_Advanced_Sales_Dataset_2000__3[[#This Row],[Quantity]]*Excel_Advanced_Sales_Dataset_2000__3[[#This Row],[Unit Price]]*Excel_Advanced_Sales_Dataset_2000__3[[#This Row],[Discount %]]/100</f>
        <v>96429.569008000006</v>
      </c>
      <c r="T842" s="4">
        <f>Excel_Advanced_Sales_Dataset_2000__3[[#This Row],[Quantity]]*Excel_Advanced_Sales_Dataset_2000__3[[#This Row],[Unit Price]]-Excel_Advanced_Sales_Dataset_2000__3[[#This Row],[Discount Amount]]</f>
        <v>1097005.690992</v>
      </c>
    </row>
    <row r="843" spans="1:20" x14ac:dyDescent="0.25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>
        <v>47</v>
      </c>
      <c r="J843" s="4">
        <v>21967.439999999999</v>
      </c>
      <c r="K843" s="6">
        <v>4.82</v>
      </c>
      <c r="L843" s="4">
        <v>982704.64000000001</v>
      </c>
      <c r="M843" s="4" t="str" cm="1">
        <f t="array" ref="M843">IF(Excel_Advanced_Sales_Dataset_2000__3[[#This Row],[Total Sales]]&gt;50000,{"Yes"},{"No"})</f>
        <v>Yes</v>
      </c>
      <c r="N843" s="5">
        <v>46248</v>
      </c>
      <c r="O843" s="1" t="s">
        <v>113</v>
      </c>
      <c r="P843" t="s">
        <v>35</v>
      </c>
      <c r="Q843" t="str">
        <f>IF(Excel_Advanced_Sales_Dataset_2000__3[[#This Row],[Delivery Status]]="Pending","Follow Up","Ok")</f>
        <v>Ok</v>
      </c>
      <c r="R843" s="1" t="s">
        <v>53</v>
      </c>
      <c r="S843">
        <f>Excel_Advanced_Sales_Dataset_2000__3[[#This Row],[Quantity]]*Excel_Advanced_Sales_Dataset_2000__3[[#This Row],[Unit Price]]*Excel_Advanced_Sales_Dataset_2000__3[[#This Row],[Discount %]]/100</f>
        <v>49765.038575999999</v>
      </c>
      <c r="T843" s="4">
        <f>Excel_Advanced_Sales_Dataset_2000__3[[#This Row],[Quantity]]*Excel_Advanced_Sales_Dataset_2000__3[[#This Row],[Unit Price]]-Excel_Advanced_Sales_Dataset_2000__3[[#This Row],[Discount Amount]]</f>
        <v>982704.64142399991</v>
      </c>
    </row>
    <row r="844" spans="1:20" x14ac:dyDescent="0.25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>
        <v>27</v>
      </c>
      <c r="J844" s="4">
        <v>30591.040000000001</v>
      </c>
      <c r="K844" s="6">
        <v>14.91</v>
      </c>
      <c r="L844" s="4">
        <v>702807.73</v>
      </c>
      <c r="M844" s="4" t="str" cm="1">
        <f t="array" ref="M844">IF(Excel_Advanced_Sales_Dataset_2000__3[[#This Row],[Total Sales]]&gt;50000,{"Yes"},{"No"})</f>
        <v>Yes</v>
      </c>
      <c r="N844" s="5">
        <v>46214</v>
      </c>
      <c r="O844" s="1" t="s">
        <v>45</v>
      </c>
      <c r="P844" t="s">
        <v>35</v>
      </c>
      <c r="Q844" t="str">
        <f>IF(Excel_Advanced_Sales_Dataset_2000__3[[#This Row],[Delivery Status]]="Pending","Follow Up","Ok")</f>
        <v>Ok</v>
      </c>
      <c r="R844" s="1" t="s">
        <v>36</v>
      </c>
      <c r="S844">
        <f>Excel_Advanced_Sales_Dataset_2000__3[[#This Row],[Quantity]]*Excel_Advanced_Sales_Dataset_2000__3[[#This Row],[Unit Price]]*Excel_Advanced_Sales_Dataset_2000__3[[#This Row],[Discount %]]/100</f>
        <v>123150.34972800002</v>
      </c>
      <c r="T844" s="4">
        <f>Excel_Advanced_Sales_Dataset_2000__3[[#This Row],[Quantity]]*Excel_Advanced_Sales_Dataset_2000__3[[#This Row],[Unit Price]]-Excel_Advanced_Sales_Dataset_2000__3[[#This Row],[Discount Amount]]</f>
        <v>702807.73027200007</v>
      </c>
    </row>
    <row r="845" spans="1:20" x14ac:dyDescent="0.25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>
        <v>34</v>
      </c>
      <c r="J845" s="4">
        <v>17463.060000000001</v>
      </c>
      <c r="K845" s="6">
        <v>18.079999999999998</v>
      </c>
      <c r="L845" s="4">
        <v>486395.12</v>
      </c>
      <c r="M845" s="4" t="str" cm="1">
        <f t="array" ref="M845">IF(Excel_Advanced_Sales_Dataset_2000__3[[#This Row],[Total Sales]]&gt;50000,{"Yes"},{"No"})</f>
        <v>Yes</v>
      </c>
      <c r="N845" s="5">
        <v>46101</v>
      </c>
      <c r="O845" s="1" t="s">
        <v>45</v>
      </c>
      <c r="P845" t="s">
        <v>35</v>
      </c>
      <c r="Q845" t="str">
        <f>IF(Excel_Advanced_Sales_Dataset_2000__3[[#This Row],[Delivery Status]]="Pending","Follow Up","Ok")</f>
        <v>Ok</v>
      </c>
      <c r="R845" s="1" t="s">
        <v>36</v>
      </c>
      <c r="S845">
        <f>Excel_Advanced_Sales_Dataset_2000__3[[#This Row],[Quantity]]*Excel_Advanced_Sales_Dataset_2000__3[[#This Row],[Unit Price]]*Excel_Advanced_Sales_Dataset_2000__3[[#This Row],[Discount %]]/100</f>
        <v>107348.92243200001</v>
      </c>
      <c r="T845" s="4">
        <f>Excel_Advanced_Sales_Dataset_2000__3[[#This Row],[Quantity]]*Excel_Advanced_Sales_Dataset_2000__3[[#This Row],[Unit Price]]-Excel_Advanced_Sales_Dataset_2000__3[[#This Row],[Discount Amount]]</f>
        <v>486395.11756800005</v>
      </c>
    </row>
    <row r="846" spans="1:20" x14ac:dyDescent="0.25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>
        <v>28</v>
      </c>
      <c r="J846" s="4">
        <v>22482.62</v>
      </c>
      <c r="K846" s="6">
        <v>6.75</v>
      </c>
      <c r="L846" s="4">
        <v>587021.21</v>
      </c>
      <c r="M846" s="4" t="str" cm="1">
        <f t="array" ref="M846">IF(Excel_Advanced_Sales_Dataset_2000__3[[#This Row],[Total Sales]]&gt;50000,{"Yes"},{"No"})</f>
        <v>Yes</v>
      </c>
      <c r="N846" s="5">
        <v>46356</v>
      </c>
      <c r="O846" s="1" t="s">
        <v>24</v>
      </c>
      <c r="P846" t="s">
        <v>35</v>
      </c>
      <c r="Q846" t="str">
        <f>IF(Excel_Advanced_Sales_Dataset_2000__3[[#This Row],[Delivery Status]]="Pending","Follow Up","Ok")</f>
        <v>Ok</v>
      </c>
      <c r="R846" s="1" t="s">
        <v>53</v>
      </c>
      <c r="S846">
        <f>Excel_Advanced_Sales_Dataset_2000__3[[#This Row],[Quantity]]*Excel_Advanced_Sales_Dataset_2000__3[[#This Row],[Unit Price]]*Excel_Advanced_Sales_Dataset_2000__3[[#This Row],[Discount %]]/100</f>
        <v>42492.1518</v>
      </c>
      <c r="T846" s="4">
        <f>Excel_Advanced_Sales_Dataset_2000__3[[#This Row],[Quantity]]*Excel_Advanced_Sales_Dataset_2000__3[[#This Row],[Unit Price]]-Excel_Advanced_Sales_Dataset_2000__3[[#This Row],[Discount Amount]]</f>
        <v>587021.20819999999</v>
      </c>
    </row>
    <row r="847" spans="1:20" x14ac:dyDescent="0.25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>
        <v>22</v>
      </c>
      <c r="J847" s="4">
        <v>24318.720000000001</v>
      </c>
      <c r="K847" s="6">
        <v>6.09</v>
      </c>
      <c r="L847" s="4">
        <v>502429.62</v>
      </c>
      <c r="M847" s="4" t="str" cm="1">
        <f t="array" ref="M847">IF(Excel_Advanced_Sales_Dataset_2000__3[[#This Row],[Total Sales]]&gt;50000,{"Yes"},{"No"})</f>
        <v>Yes</v>
      </c>
      <c r="N847" s="5">
        <v>46207</v>
      </c>
      <c r="O847" s="1" t="s">
        <v>24</v>
      </c>
      <c r="P847" t="s">
        <v>59</v>
      </c>
      <c r="Q847" t="str">
        <f>IF(Excel_Advanced_Sales_Dataset_2000__3[[#This Row],[Delivery Status]]="Pending","Follow Up","Ok")</f>
        <v>Ok</v>
      </c>
      <c r="R847" s="1" t="s">
        <v>36</v>
      </c>
      <c r="S847">
        <f>Excel_Advanced_Sales_Dataset_2000__3[[#This Row],[Quantity]]*Excel_Advanced_Sales_Dataset_2000__3[[#This Row],[Unit Price]]*Excel_Advanced_Sales_Dataset_2000__3[[#This Row],[Discount %]]/100</f>
        <v>32582.221056000002</v>
      </c>
      <c r="T847" s="4">
        <f>Excel_Advanced_Sales_Dataset_2000__3[[#This Row],[Quantity]]*Excel_Advanced_Sales_Dataset_2000__3[[#This Row],[Unit Price]]-Excel_Advanced_Sales_Dataset_2000__3[[#This Row],[Discount Amount]]</f>
        <v>502429.6189440001</v>
      </c>
    </row>
    <row r="848" spans="1:20" x14ac:dyDescent="0.25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>
        <v>14</v>
      </c>
      <c r="J848" s="4">
        <v>29189.13</v>
      </c>
      <c r="K848" s="6">
        <v>17.89</v>
      </c>
      <c r="L848" s="4">
        <v>335540.73</v>
      </c>
      <c r="M848" s="4" t="str" cm="1">
        <f t="array" ref="M848">IF(Excel_Advanced_Sales_Dataset_2000__3[[#This Row],[Total Sales]]&gt;50000,{"Yes"},{"No"})</f>
        <v>Yes</v>
      </c>
      <c r="N848" s="5">
        <v>46378</v>
      </c>
      <c r="O848" s="1" t="s">
        <v>45</v>
      </c>
      <c r="P848" t="s">
        <v>25</v>
      </c>
      <c r="Q848" t="str">
        <f>IF(Excel_Advanced_Sales_Dataset_2000__3[[#This Row],[Delivery Status]]="Pending","Follow Up","Ok")</f>
        <v>Follow Up</v>
      </c>
      <c r="R848" s="1" t="s">
        <v>26</v>
      </c>
      <c r="S848">
        <f>Excel_Advanced_Sales_Dataset_2000__3[[#This Row],[Quantity]]*Excel_Advanced_Sales_Dataset_2000__3[[#This Row],[Unit Price]]*Excel_Advanced_Sales_Dataset_2000__3[[#This Row],[Discount %]]/100</f>
        <v>73107.094998</v>
      </c>
      <c r="T848" s="4">
        <f>Excel_Advanced_Sales_Dataset_2000__3[[#This Row],[Quantity]]*Excel_Advanced_Sales_Dataset_2000__3[[#This Row],[Unit Price]]-Excel_Advanced_Sales_Dataset_2000__3[[#This Row],[Discount Amount]]</f>
        <v>335540.72500199999</v>
      </c>
    </row>
    <row r="849" spans="1:20" x14ac:dyDescent="0.25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>
        <v>18</v>
      </c>
      <c r="J849" s="4">
        <v>15726.12</v>
      </c>
      <c r="K849" s="6">
        <v>5.72</v>
      </c>
      <c r="L849" s="4">
        <v>266878.55</v>
      </c>
      <c r="M849" s="4" t="str" cm="1">
        <f t="array" ref="M849">IF(Excel_Advanced_Sales_Dataset_2000__3[[#This Row],[Total Sales]]&gt;50000,{"Yes"},{"No"})</f>
        <v>Yes</v>
      </c>
      <c r="N849" s="5">
        <v>46269</v>
      </c>
      <c r="O849" s="1" t="s">
        <v>24</v>
      </c>
      <c r="P849" t="s">
        <v>35</v>
      </c>
      <c r="Q849" t="str">
        <f>IF(Excel_Advanced_Sales_Dataset_2000__3[[#This Row],[Delivery Status]]="Pending","Follow Up","Ok")</f>
        <v>Ok</v>
      </c>
      <c r="R849" s="1" t="s">
        <v>26</v>
      </c>
      <c r="S849">
        <f>Excel_Advanced_Sales_Dataset_2000__3[[#This Row],[Quantity]]*Excel_Advanced_Sales_Dataset_2000__3[[#This Row],[Unit Price]]*Excel_Advanced_Sales_Dataset_2000__3[[#This Row],[Discount %]]/100</f>
        <v>16191.613152</v>
      </c>
      <c r="T849" s="4">
        <f>Excel_Advanced_Sales_Dataset_2000__3[[#This Row],[Quantity]]*Excel_Advanced_Sales_Dataset_2000__3[[#This Row],[Unit Price]]-Excel_Advanced_Sales_Dataset_2000__3[[#This Row],[Discount Amount]]</f>
        <v>266878.54684800003</v>
      </c>
    </row>
    <row r="850" spans="1:20" x14ac:dyDescent="0.25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>
        <v>10</v>
      </c>
      <c r="J850" s="4">
        <v>6350.2</v>
      </c>
      <c r="K850" s="6">
        <v>0.69</v>
      </c>
      <c r="L850" s="4">
        <v>63063.839999999997</v>
      </c>
      <c r="M850" s="4" t="str" cm="1">
        <f t="array" ref="M850">IF(Excel_Advanced_Sales_Dataset_2000__3[[#This Row],[Total Sales]]&gt;50000,{"Yes"},{"No"})</f>
        <v>Yes</v>
      </c>
      <c r="N850" s="5">
        <v>46221</v>
      </c>
      <c r="O850" s="1" t="s">
        <v>68</v>
      </c>
      <c r="P850" t="s">
        <v>35</v>
      </c>
      <c r="Q850" t="str">
        <f>IF(Excel_Advanced_Sales_Dataset_2000__3[[#This Row],[Delivery Status]]="Pending","Follow Up","Ok")</f>
        <v>Ok</v>
      </c>
      <c r="R850" s="1" t="s">
        <v>53</v>
      </c>
      <c r="S850">
        <f>Excel_Advanced_Sales_Dataset_2000__3[[#This Row],[Quantity]]*Excel_Advanced_Sales_Dataset_2000__3[[#This Row],[Unit Price]]*Excel_Advanced_Sales_Dataset_2000__3[[#This Row],[Discount %]]/100</f>
        <v>438.16379999999998</v>
      </c>
      <c r="T850" s="4">
        <f>Excel_Advanced_Sales_Dataset_2000__3[[#This Row],[Quantity]]*Excel_Advanced_Sales_Dataset_2000__3[[#This Row],[Unit Price]]-Excel_Advanced_Sales_Dataset_2000__3[[#This Row],[Discount Amount]]</f>
        <v>63063.836199999998</v>
      </c>
    </row>
    <row r="851" spans="1:20" x14ac:dyDescent="0.25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>
        <v>50</v>
      </c>
      <c r="J851" s="4">
        <v>36803.81</v>
      </c>
      <c r="K851" s="6">
        <v>1.81</v>
      </c>
      <c r="L851" s="4">
        <v>1806883.05</v>
      </c>
      <c r="M851" s="4" t="str" cm="1">
        <f t="array" ref="M851">IF(Excel_Advanced_Sales_Dataset_2000__3[[#This Row],[Total Sales]]&gt;50000,{"Yes"},{"No"})</f>
        <v>Yes</v>
      </c>
      <c r="N851" s="5">
        <v>46048</v>
      </c>
      <c r="O851" s="1" t="s">
        <v>58</v>
      </c>
      <c r="P851" t="s">
        <v>25</v>
      </c>
      <c r="Q851" t="str">
        <f>IF(Excel_Advanced_Sales_Dataset_2000__3[[#This Row],[Delivery Status]]="Pending","Follow Up","Ok")</f>
        <v>Follow Up</v>
      </c>
      <c r="R851" s="1" t="s">
        <v>26</v>
      </c>
      <c r="S851">
        <f>Excel_Advanced_Sales_Dataset_2000__3[[#This Row],[Quantity]]*Excel_Advanced_Sales_Dataset_2000__3[[#This Row],[Unit Price]]*Excel_Advanced_Sales_Dataset_2000__3[[#This Row],[Discount %]]/100</f>
        <v>33307.448049999999</v>
      </c>
      <c r="T851" s="4">
        <f>Excel_Advanced_Sales_Dataset_2000__3[[#This Row],[Quantity]]*Excel_Advanced_Sales_Dataset_2000__3[[#This Row],[Unit Price]]-Excel_Advanced_Sales_Dataset_2000__3[[#This Row],[Discount Amount]]</f>
        <v>1806883.05195</v>
      </c>
    </row>
    <row r="852" spans="1:20" x14ac:dyDescent="0.25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>
        <v>48</v>
      </c>
      <c r="J852" s="4">
        <v>39610.080000000002</v>
      </c>
      <c r="K852" s="6">
        <v>10.27</v>
      </c>
      <c r="L852" s="4">
        <v>1706021.99</v>
      </c>
      <c r="M852" s="4" t="str" cm="1">
        <f t="array" ref="M852">IF(Excel_Advanced_Sales_Dataset_2000__3[[#This Row],[Total Sales]]&gt;50000,{"Yes"},{"No"})</f>
        <v>Yes</v>
      </c>
      <c r="N852" s="5">
        <v>46140</v>
      </c>
      <c r="O852" s="1" t="s">
        <v>24</v>
      </c>
      <c r="P852" t="s">
        <v>35</v>
      </c>
      <c r="Q852" t="str">
        <f>IF(Excel_Advanced_Sales_Dataset_2000__3[[#This Row],[Delivery Status]]="Pending","Follow Up","Ok")</f>
        <v>Ok</v>
      </c>
      <c r="R852" s="1" t="s">
        <v>53</v>
      </c>
      <c r="S852">
        <f>Excel_Advanced_Sales_Dataset_2000__3[[#This Row],[Quantity]]*Excel_Advanced_Sales_Dataset_2000__3[[#This Row],[Unit Price]]*Excel_Advanced_Sales_Dataset_2000__3[[#This Row],[Discount %]]/100</f>
        <v>195261.85036800001</v>
      </c>
      <c r="T852" s="4">
        <f>Excel_Advanced_Sales_Dataset_2000__3[[#This Row],[Quantity]]*Excel_Advanced_Sales_Dataset_2000__3[[#This Row],[Unit Price]]-Excel_Advanced_Sales_Dataset_2000__3[[#This Row],[Discount Amount]]</f>
        <v>1706021.989632</v>
      </c>
    </row>
    <row r="853" spans="1:20" x14ac:dyDescent="0.25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>
        <v>38</v>
      </c>
      <c r="J853" s="4">
        <v>37731.370000000003</v>
      </c>
      <c r="K853" s="6">
        <v>5.65</v>
      </c>
      <c r="L853" s="4">
        <v>1352782.81</v>
      </c>
      <c r="M853" s="4" t="str" cm="1">
        <f t="array" ref="M853">IF(Excel_Advanced_Sales_Dataset_2000__3[[#This Row],[Total Sales]]&gt;50000,{"Yes"},{"No"})</f>
        <v>Yes</v>
      </c>
      <c r="N853" s="5">
        <v>46313</v>
      </c>
      <c r="O853" s="1" t="s">
        <v>68</v>
      </c>
      <c r="P853" t="s">
        <v>35</v>
      </c>
      <c r="Q853" t="str">
        <f>IF(Excel_Advanced_Sales_Dataset_2000__3[[#This Row],[Delivery Status]]="Pending","Follow Up","Ok")</f>
        <v>Ok</v>
      </c>
      <c r="R853" s="1" t="s">
        <v>26</v>
      </c>
      <c r="S853">
        <f>Excel_Advanced_Sales_Dataset_2000__3[[#This Row],[Quantity]]*Excel_Advanced_Sales_Dataset_2000__3[[#This Row],[Unit Price]]*Excel_Advanced_Sales_Dataset_2000__3[[#This Row],[Discount %]]/100</f>
        <v>81009.251390000005</v>
      </c>
      <c r="T853" s="4">
        <f>Excel_Advanced_Sales_Dataset_2000__3[[#This Row],[Quantity]]*Excel_Advanced_Sales_Dataset_2000__3[[#This Row],[Unit Price]]-Excel_Advanced_Sales_Dataset_2000__3[[#This Row],[Discount Amount]]</f>
        <v>1352782.8086099999</v>
      </c>
    </row>
    <row r="854" spans="1:20" x14ac:dyDescent="0.25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>
        <v>30</v>
      </c>
      <c r="J854" s="4">
        <v>38829.660000000003</v>
      </c>
      <c r="K854" s="6">
        <v>3.92</v>
      </c>
      <c r="L854" s="4">
        <v>1119226.1200000001</v>
      </c>
      <c r="M854" s="4" t="str" cm="1">
        <f t="array" ref="M854">IF(Excel_Advanced_Sales_Dataset_2000__3[[#This Row],[Total Sales]]&gt;50000,{"Yes"},{"No"})</f>
        <v>Yes</v>
      </c>
      <c r="N854" s="5">
        <v>46142</v>
      </c>
      <c r="O854" s="1" t="s">
        <v>68</v>
      </c>
      <c r="P854" t="s">
        <v>35</v>
      </c>
      <c r="Q854" t="str">
        <f>IF(Excel_Advanced_Sales_Dataset_2000__3[[#This Row],[Delivery Status]]="Pending","Follow Up","Ok")</f>
        <v>Ok</v>
      </c>
      <c r="R854" s="1" t="s">
        <v>36</v>
      </c>
      <c r="S854">
        <f>Excel_Advanced_Sales_Dataset_2000__3[[#This Row],[Quantity]]*Excel_Advanced_Sales_Dataset_2000__3[[#This Row],[Unit Price]]*Excel_Advanced_Sales_Dataset_2000__3[[#This Row],[Discount %]]/100</f>
        <v>45663.680159999996</v>
      </c>
      <c r="T854" s="4">
        <f>Excel_Advanced_Sales_Dataset_2000__3[[#This Row],[Quantity]]*Excel_Advanced_Sales_Dataset_2000__3[[#This Row],[Unit Price]]-Excel_Advanced_Sales_Dataset_2000__3[[#This Row],[Discount Amount]]</f>
        <v>1119226.1198400001</v>
      </c>
    </row>
    <row r="855" spans="1:20" x14ac:dyDescent="0.25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>
        <v>11</v>
      </c>
      <c r="J855" s="4">
        <v>10884.25</v>
      </c>
      <c r="K855" s="6">
        <v>7.93</v>
      </c>
      <c r="L855" s="4">
        <v>110232.42</v>
      </c>
      <c r="M855" s="4" t="str" cm="1">
        <f t="array" ref="M855">IF(Excel_Advanced_Sales_Dataset_2000__3[[#This Row],[Total Sales]]&gt;50000,{"Yes"},{"No"})</f>
        <v>Yes</v>
      </c>
      <c r="N855" s="5">
        <v>46291</v>
      </c>
      <c r="O855" s="1" t="s">
        <v>45</v>
      </c>
      <c r="P855" t="s">
        <v>35</v>
      </c>
      <c r="Q855" t="str">
        <f>IF(Excel_Advanced_Sales_Dataset_2000__3[[#This Row],[Delivery Status]]="Pending","Follow Up","Ok")</f>
        <v>Ok</v>
      </c>
      <c r="R855" s="1" t="s">
        <v>26</v>
      </c>
      <c r="S855">
        <f>Excel_Advanced_Sales_Dataset_2000__3[[#This Row],[Quantity]]*Excel_Advanced_Sales_Dataset_2000__3[[#This Row],[Unit Price]]*Excel_Advanced_Sales_Dataset_2000__3[[#This Row],[Discount %]]/100</f>
        <v>9494.3312749999986</v>
      </c>
      <c r="T855" s="4">
        <f>Excel_Advanced_Sales_Dataset_2000__3[[#This Row],[Quantity]]*Excel_Advanced_Sales_Dataset_2000__3[[#This Row],[Unit Price]]-Excel_Advanced_Sales_Dataset_2000__3[[#This Row],[Discount Amount]]</f>
        <v>110232.418725</v>
      </c>
    </row>
    <row r="856" spans="1:20" x14ac:dyDescent="0.25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>
        <v>44</v>
      </c>
      <c r="J856" s="4">
        <v>27592.74</v>
      </c>
      <c r="K856" s="6">
        <v>18.100000000000001</v>
      </c>
      <c r="L856" s="4">
        <v>994331.98</v>
      </c>
      <c r="M856" s="4" t="str" cm="1">
        <f t="array" ref="M856">IF(Excel_Advanced_Sales_Dataset_2000__3[[#This Row],[Total Sales]]&gt;50000,{"Yes"},{"No"})</f>
        <v>Yes</v>
      </c>
      <c r="N856" s="5">
        <v>46210</v>
      </c>
      <c r="O856" s="1" t="s">
        <v>45</v>
      </c>
      <c r="P856" t="s">
        <v>35</v>
      </c>
      <c r="Q856" t="str">
        <f>IF(Excel_Advanced_Sales_Dataset_2000__3[[#This Row],[Delivery Status]]="Pending","Follow Up","Ok")</f>
        <v>Ok</v>
      </c>
      <c r="R856" s="1" t="s">
        <v>53</v>
      </c>
      <c r="S856">
        <f>Excel_Advanced_Sales_Dataset_2000__3[[#This Row],[Quantity]]*Excel_Advanced_Sales_Dataset_2000__3[[#This Row],[Unit Price]]*Excel_Advanced_Sales_Dataset_2000__3[[#This Row],[Discount %]]/100</f>
        <v>219748.58136000004</v>
      </c>
      <c r="T856" s="4">
        <f>Excel_Advanced_Sales_Dataset_2000__3[[#This Row],[Quantity]]*Excel_Advanced_Sales_Dataset_2000__3[[#This Row],[Unit Price]]-Excel_Advanced_Sales_Dataset_2000__3[[#This Row],[Discount Amount]]</f>
        <v>994331.97863999999</v>
      </c>
    </row>
    <row r="857" spans="1:20" x14ac:dyDescent="0.25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>
        <v>5</v>
      </c>
      <c r="J857" s="4">
        <v>1119.19</v>
      </c>
      <c r="K857" s="6">
        <v>16.98</v>
      </c>
      <c r="L857" s="4">
        <v>4645.76</v>
      </c>
      <c r="M857" s="4" t="str" cm="1">
        <f t="array" ref="M857">IF(Excel_Advanced_Sales_Dataset_2000__3[[#This Row],[Total Sales]]&gt;50000,{"Yes"},{"No"})</f>
        <v>No</v>
      </c>
      <c r="N857" s="5">
        <v>46209</v>
      </c>
      <c r="O857" s="1" t="s">
        <v>58</v>
      </c>
      <c r="P857" t="s">
        <v>35</v>
      </c>
      <c r="Q857" t="str">
        <f>IF(Excel_Advanced_Sales_Dataset_2000__3[[#This Row],[Delivery Status]]="Pending","Follow Up","Ok")</f>
        <v>Ok</v>
      </c>
      <c r="R857" s="1" t="s">
        <v>53</v>
      </c>
      <c r="S857">
        <f>Excel_Advanced_Sales_Dataset_2000__3[[#This Row],[Quantity]]*Excel_Advanced_Sales_Dataset_2000__3[[#This Row],[Unit Price]]*Excel_Advanced_Sales_Dataset_2000__3[[#This Row],[Discount %]]/100</f>
        <v>950.19231000000013</v>
      </c>
      <c r="T857" s="4">
        <f>Excel_Advanced_Sales_Dataset_2000__3[[#This Row],[Quantity]]*Excel_Advanced_Sales_Dataset_2000__3[[#This Row],[Unit Price]]-Excel_Advanced_Sales_Dataset_2000__3[[#This Row],[Discount Amount]]</f>
        <v>4645.7576900000004</v>
      </c>
    </row>
    <row r="858" spans="1:20" x14ac:dyDescent="0.25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>
        <v>1</v>
      </c>
      <c r="J858" s="4">
        <v>12435.02</v>
      </c>
      <c r="K858" s="6">
        <v>18.09</v>
      </c>
      <c r="L858" s="4">
        <v>10185.52</v>
      </c>
      <c r="M858" s="4" t="str" cm="1">
        <f t="array" ref="M858">IF(Excel_Advanced_Sales_Dataset_2000__3[[#This Row],[Total Sales]]&gt;50000,{"Yes"},{"No"})</f>
        <v>No</v>
      </c>
      <c r="N858" s="5">
        <v>46029</v>
      </c>
      <c r="O858" s="1" t="s">
        <v>58</v>
      </c>
      <c r="P858" t="s">
        <v>35</v>
      </c>
      <c r="Q858" t="str">
        <f>IF(Excel_Advanced_Sales_Dataset_2000__3[[#This Row],[Delivery Status]]="Pending","Follow Up","Ok")</f>
        <v>Ok</v>
      </c>
      <c r="R858" s="1" t="s">
        <v>26</v>
      </c>
      <c r="S858">
        <f>Excel_Advanced_Sales_Dataset_2000__3[[#This Row],[Quantity]]*Excel_Advanced_Sales_Dataset_2000__3[[#This Row],[Unit Price]]*Excel_Advanced_Sales_Dataset_2000__3[[#This Row],[Discount %]]/100</f>
        <v>2249.4951180000003</v>
      </c>
      <c r="T858" s="4">
        <f>Excel_Advanced_Sales_Dataset_2000__3[[#This Row],[Quantity]]*Excel_Advanced_Sales_Dataset_2000__3[[#This Row],[Unit Price]]-Excel_Advanced_Sales_Dataset_2000__3[[#This Row],[Discount Amount]]</f>
        <v>10185.524882</v>
      </c>
    </row>
    <row r="859" spans="1:20" x14ac:dyDescent="0.25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>
        <v>36</v>
      </c>
      <c r="J859" s="4">
        <v>29734.45</v>
      </c>
      <c r="K859" s="6">
        <v>10.39</v>
      </c>
      <c r="L859" s="4">
        <v>959221.46</v>
      </c>
      <c r="M859" s="4" t="str" cm="1">
        <f t="array" ref="M859">IF(Excel_Advanced_Sales_Dataset_2000__3[[#This Row],[Total Sales]]&gt;50000,{"Yes"},{"No"})</f>
        <v>Yes</v>
      </c>
      <c r="N859" s="5">
        <v>46283</v>
      </c>
      <c r="O859" s="1" t="s">
        <v>113</v>
      </c>
      <c r="P859" t="s">
        <v>35</v>
      </c>
      <c r="Q859" t="str">
        <f>IF(Excel_Advanced_Sales_Dataset_2000__3[[#This Row],[Delivery Status]]="Pending","Follow Up","Ok")</f>
        <v>Ok</v>
      </c>
      <c r="R859" s="1" t="s">
        <v>26</v>
      </c>
      <c r="S859">
        <f>Excel_Advanced_Sales_Dataset_2000__3[[#This Row],[Quantity]]*Excel_Advanced_Sales_Dataset_2000__3[[#This Row],[Unit Price]]*Excel_Advanced_Sales_Dataset_2000__3[[#This Row],[Discount %]]/100</f>
        <v>111218.73677999999</v>
      </c>
      <c r="T859" s="4">
        <f>Excel_Advanced_Sales_Dataset_2000__3[[#This Row],[Quantity]]*Excel_Advanced_Sales_Dataset_2000__3[[#This Row],[Unit Price]]-Excel_Advanced_Sales_Dataset_2000__3[[#This Row],[Discount Amount]]</f>
        <v>959221.46321999992</v>
      </c>
    </row>
    <row r="860" spans="1:20" x14ac:dyDescent="0.25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>
        <v>36</v>
      </c>
      <c r="J860" s="4">
        <v>15219.92</v>
      </c>
      <c r="K860" s="6">
        <v>9.33</v>
      </c>
      <c r="L860" s="4">
        <v>496796.45</v>
      </c>
      <c r="M860" s="4" t="str" cm="1">
        <f t="array" ref="M860">IF(Excel_Advanced_Sales_Dataset_2000__3[[#This Row],[Total Sales]]&gt;50000,{"Yes"},{"No"})</f>
        <v>Yes</v>
      </c>
      <c r="N860" s="5">
        <v>46023</v>
      </c>
      <c r="O860" s="1" t="s">
        <v>68</v>
      </c>
      <c r="P860" t="s">
        <v>25</v>
      </c>
      <c r="Q860" t="str">
        <f>IF(Excel_Advanced_Sales_Dataset_2000__3[[#This Row],[Delivery Status]]="Pending","Follow Up","Ok")</f>
        <v>Follow Up</v>
      </c>
      <c r="R860" s="1" t="s">
        <v>36</v>
      </c>
      <c r="S860">
        <f>Excel_Advanced_Sales_Dataset_2000__3[[#This Row],[Quantity]]*Excel_Advanced_Sales_Dataset_2000__3[[#This Row],[Unit Price]]*Excel_Advanced_Sales_Dataset_2000__3[[#This Row],[Discount %]]/100</f>
        <v>51120.667296</v>
      </c>
      <c r="T860" s="4">
        <f>Excel_Advanced_Sales_Dataset_2000__3[[#This Row],[Quantity]]*Excel_Advanced_Sales_Dataset_2000__3[[#This Row],[Unit Price]]-Excel_Advanced_Sales_Dataset_2000__3[[#This Row],[Discount Amount]]</f>
        <v>496796.452704</v>
      </c>
    </row>
    <row r="861" spans="1:20" x14ac:dyDescent="0.25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>
        <v>28</v>
      </c>
      <c r="J861" s="4">
        <v>37245.43</v>
      </c>
      <c r="K861" s="6">
        <v>0.13</v>
      </c>
      <c r="L861" s="4">
        <v>1041516.31</v>
      </c>
      <c r="M861" s="4" t="str" cm="1">
        <f t="array" ref="M861">IF(Excel_Advanced_Sales_Dataset_2000__3[[#This Row],[Total Sales]]&gt;50000,{"Yes"},{"No"})</f>
        <v>Yes</v>
      </c>
      <c r="N861" s="5">
        <v>46352</v>
      </c>
      <c r="O861" s="1" t="s">
        <v>68</v>
      </c>
      <c r="P861" t="s">
        <v>35</v>
      </c>
      <c r="Q861" t="str">
        <f>IF(Excel_Advanced_Sales_Dataset_2000__3[[#This Row],[Delivery Status]]="Pending","Follow Up","Ok")</f>
        <v>Ok</v>
      </c>
      <c r="R861" s="1" t="s">
        <v>26</v>
      </c>
      <c r="S861">
        <f>Excel_Advanced_Sales_Dataset_2000__3[[#This Row],[Quantity]]*Excel_Advanced_Sales_Dataset_2000__3[[#This Row],[Unit Price]]*Excel_Advanced_Sales_Dataset_2000__3[[#This Row],[Discount %]]/100</f>
        <v>1355.7336519999999</v>
      </c>
      <c r="T861" s="4">
        <f>Excel_Advanced_Sales_Dataset_2000__3[[#This Row],[Quantity]]*Excel_Advanced_Sales_Dataset_2000__3[[#This Row],[Unit Price]]-Excel_Advanced_Sales_Dataset_2000__3[[#This Row],[Discount Amount]]</f>
        <v>1041516.3063480001</v>
      </c>
    </row>
    <row r="862" spans="1:20" x14ac:dyDescent="0.25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>
        <v>42</v>
      </c>
      <c r="J862" s="4">
        <v>10671.55</v>
      </c>
      <c r="K862" s="6">
        <v>2.58</v>
      </c>
      <c r="L862" s="4">
        <v>436641.41</v>
      </c>
      <c r="M862" s="4" t="str" cm="1">
        <f t="array" ref="M862">IF(Excel_Advanced_Sales_Dataset_2000__3[[#This Row],[Total Sales]]&gt;50000,{"Yes"},{"No"})</f>
        <v>Yes</v>
      </c>
      <c r="N862" s="5">
        <v>46287</v>
      </c>
      <c r="O862" s="1" t="s">
        <v>113</v>
      </c>
      <c r="P862" t="s">
        <v>35</v>
      </c>
      <c r="Q862" t="str">
        <f>IF(Excel_Advanced_Sales_Dataset_2000__3[[#This Row],[Delivery Status]]="Pending","Follow Up","Ok")</f>
        <v>Ok</v>
      </c>
      <c r="R862" s="1" t="s">
        <v>36</v>
      </c>
      <c r="S862">
        <f>Excel_Advanced_Sales_Dataset_2000__3[[#This Row],[Quantity]]*Excel_Advanced_Sales_Dataset_2000__3[[#This Row],[Unit Price]]*Excel_Advanced_Sales_Dataset_2000__3[[#This Row],[Discount %]]/100</f>
        <v>11563.691580000001</v>
      </c>
      <c r="T862" s="4">
        <f>Excel_Advanced_Sales_Dataset_2000__3[[#This Row],[Quantity]]*Excel_Advanced_Sales_Dataset_2000__3[[#This Row],[Unit Price]]-Excel_Advanced_Sales_Dataset_2000__3[[#This Row],[Discount Amount]]</f>
        <v>436641.40841999999</v>
      </c>
    </row>
    <row r="863" spans="1:20" x14ac:dyDescent="0.25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>
        <v>33</v>
      </c>
      <c r="J863" s="4">
        <v>17565.669999999998</v>
      </c>
      <c r="K863" s="6">
        <v>9.76</v>
      </c>
      <c r="L863" s="4">
        <v>523091.6</v>
      </c>
      <c r="M863" s="4" t="str" cm="1">
        <f t="array" ref="M863">IF(Excel_Advanced_Sales_Dataset_2000__3[[#This Row],[Total Sales]]&gt;50000,{"Yes"},{"No"})</f>
        <v>Yes</v>
      </c>
      <c r="N863" s="5">
        <v>46243</v>
      </c>
      <c r="O863" s="1" t="s">
        <v>113</v>
      </c>
      <c r="P863" t="s">
        <v>35</v>
      </c>
      <c r="Q863" t="str">
        <f>IF(Excel_Advanced_Sales_Dataset_2000__3[[#This Row],[Delivery Status]]="Pending","Follow Up","Ok")</f>
        <v>Ok</v>
      </c>
      <c r="R863" s="1" t="s">
        <v>53</v>
      </c>
      <c r="S863">
        <f>Excel_Advanced_Sales_Dataset_2000__3[[#This Row],[Quantity]]*Excel_Advanced_Sales_Dataset_2000__3[[#This Row],[Unit Price]]*Excel_Advanced_Sales_Dataset_2000__3[[#This Row],[Discount %]]/100</f>
        <v>56575.509935999995</v>
      </c>
      <c r="T863" s="4">
        <f>Excel_Advanced_Sales_Dataset_2000__3[[#This Row],[Quantity]]*Excel_Advanced_Sales_Dataset_2000__3[[#This Row],[Unit Price]]-Excel_Advanced_Sales_Dataset_2000__3[[#This Row],[Discount Amount]]</f>
        <v>523091.600064</v>
      </c>
    </row>
    <row r="864" spans="1:20" x14ac:dyDescent="0.25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>
        <v>29</v>
      </c>
      <c r="J864" s="4">
        <v>16136.15</v>
      </c>
      <c r="K864" s="6">
        <v>8.85</v>
      </c>
      <c r="L864" s="4">
        <v>426534.92</v>
      </c>
      <c r="M864" s="4" t="str" cm="1">
        <f t="array" ref="M864">IF(Excel_Advanced_Sales_Dataset_2000__3[[#This Row],[Total Sales]]&gt;50000,{"Yes"},{"No"})</f>
        <v>Yes</v>
      </c>
      <c r="N864" s="5">
        <v>46362</v>
      </c>
      <c r="O864" s="1" t="s">
        <v>113</v>
      </c>
      <c r="P864" t="s">
        <v>35</v>
      </c>
      <c r="Q864" t="str">
        <f>IF(Excel_Advanced_Sales_Dataset_2000__3[[#This Row],[Delivery Status]]="Pending","Follow Up","Ok")</f>
        <v>Ok</v>
      </c>
      <c r="R864" s="1" t="s">
        <v>26</v>
      </c>
      <c r="S864">
        <f>Excel_Advanced_Sales_Dataset_2000__3[[#This Row],[Quantity]]*Excel_Advanced_Sales_Dataset_2000__3[[#This Row],[Unit Price]]*Excel_Advanced_Sales_Dataset_2000__3[[#This Row],[Discount %]]/100</f>
        <v>41413.428974999995</v>
      </c>
      <c r="T864" s="4">
        <f>Excel_Advanced_Sales_Dataset_2000__3[[#This Row],[Quantity]]*Excel_Advanced_Sales_Dataset_2000__3[[#This Row],[Unit Price]]-Excel_Advanced_Sales_Dataset_2000__3[[#This Row],[Discount Amount]]</f>
        <v>426534.92102499999</v>
      </c>
    </row>
    <row r="865" spans="1:20" x14ac:dyDescent="0.25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>
        <v>29</v>
      </c>
      <c r="J865" s="4">
        <v>17933.98</v>
      </c>
      <c r="K865" s="6">
        <v>4.59</v>
      </c>
      <c r="L865" s="4">
        <v>496213.5</v>
      </c>
      <c r="M865" s="4" t="str" cm="1">
        <f t="array" ref="M865">IF(Excel_Advanced_Sales_Dataset_2000__3[[#This Row],[Total Sales]]&gt;50000,{"Yes"},{"No"})</f>
        <v>Yes</v>
      </c>
      <c r="N865" s="5">
        <v>46171</v>
      </c>
      <c r="O865" s="1" t="s">
        <v>58</v>
      </c>
      <c r="P865" t="s">
        <v>35</v>
      </c>
      <c r="Q865" t="str">
        <f>IF(Excel_Advanced_Sales_Dataset_2000__3[[#This Row],[Delivery Status]]="Pending","Follow Up","Ok")</f>
        <v>Ok</v>
      </c>
      <c r="R865" s="1" t="s">
        <v>53</v>
      </c>
      <c r="S865">
        <f>Excel_Advanced_Sales_Dataset_2000__3[[#This Row],[Quantity]]*Excel_Advanced_Sales_Dataset_2000__3[[#This Row],[Unit Price]]*Excel_Advanced_Sales_Dataset_2000__3[[#This Row],[Discount %]]/100</f>
        <v>23871.920777999996</v>
      </c>
      <c r="T865" s="4">
        <f>Excel_Advanced_Sales_Dataset_2000__3[[#This Row],[Quantity]]*Excel_Advanced_Sales_Dataset_2000__3[[#This Row],[Unit Price]]-Excel_Advanced_Sales_Dataset_2000__3[[#This Row],[Discount Amount]]</f>
        <v>496213.49922200001</v>
      </c>
    </row>
    <row r="866" spans="1:20" x14ac:dyDescent="0.25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>
        <v>25</v>
      </c>
      <c r="J866" s="4">
        <v>48236.19</v>
      </c>
      <c r="K866" s="6">
        <v>11.12</v>
      </c>
      <c r="L866" s="4">
        <v>1071808.1399999999</v>
      </c>
      <c r="M866" s="4" t="str" cm="1">
        <f t="array" ref="M866">IF(Excel_Advanced_Sales_Dataset_2000__3[[#This Row],[Total Sales]]&gt;50000,{"Yes"},{"No"})</f>
        <v>Yes</v>
      </c>
      <c r="N866" s="5">
        <v>46068</v>
      </c>
      <c r="O866" s="1" t="s">
        <v>58</v>
      </c>
      <c r="P866" t="s">
        <v>35</v>
      </c>
      <c r="Q866" t="str">
        <f>IF(Excel_Advanced_Sales_Dataset_2000__3[[#This Row],[Delivery Status]]="Pending","Follow Up","Ok")</f>
        <v>Ok</v>
      </c>
      <c r="R866" s="1" t="s">
        <v>26</v>
      </c>
      <c r="S866">
        <f>Excel_Advanced_Sales_Dataset_2000__3[[#This Row],[Quantity]]*Excel_Advanced_Sales_Dataset_2000__3[[#This Row],[Unit Price]]*Excel_Advanced_Sales_Dataset_2000__3[[#This Row],[Discount %]]/100</f>
        <v>134096.60819999999</v>
      </c>
      <c r="T866" s="4">
        <f>Excel_Advanced_Sales_Dataset_2000__3[[#This Row],[Quantity]]*Excel_Advanced_Sales_Dataset_2000__3[[#This Row],[Unit Price]]-Excel_Advanced_Sales_Dataset_2000__3[[#This Row],[Discount Amount]]</f>
        <v>1071808.1418000001</v>
      </c>
    </row>
    <row r="867" spans="1:20" x14ac:dyDescent="0.25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>
        <v>42</v>
      </c>
      <c r="J867" s="4">
        <v>31903.68</v>
      </c>
      <c r="K867" s="6">
        <v>17.440000000000001</v>
      </c>
      <c r="L867" s="4">
        <v>1106266.48</v>
      </c>
      <c r="M867" s="4" t="str" cm="1">
        <f t="array" ref="M867">IF(Excel_Advanced_Sales_Dataset_2000__3[[#This Row],[Total Sales]]&gt;50000,{"Yes"},{"No"})</f>
        <v>Yes</v>
      </c>
      <c r="N867" s="5">
        <v>46215</v>
      </c>
      <c r="O867" s="1" t="s">
        <v>113</v>
      </c>
      <c r="P867" t="s">
        <v>35</v>
      </c>
      <c r="Q867" t="str">
        <f>IF(Excel_Advanced_Sales_Dataset_2000__3[[#This Row],[Delivery Status]]="Pending","Follow Up","Ok")</f>
        <v>Ok</v>
      </c>
      <c r="R867" s="1" t="s">
        <v>36</v>
      </c>
      <c r="S867">
        <f>Excel_Advanced_Sales_Dataset_2000__3[[#This Row],[Quantity]]*Excel_Advanced_Sales_Dataset_2000__3[[#This Row],[Unit Price]]*Excel_Advanced_Sales_Dataset_2000__3[[#This Row],[Discount %]]/100</f>
        <v>233688.07526400004</v>
      </c>
      <c r="T867" s="4">
        <f>Excel_Advanced_Sales_Dataset_2000__3[[#This Row],[Quantity]]*Excel_Advanced_Sales_Dataset_2000__3[[#This Row],[Unit Price]]-Excel_Advanced_Sales_Dataset_2000__3[[#This Row],[Discount Amount]]</f>
        <v>1106266.484736</v>
      </c>
    </row>
    <row r="868" spans="1:20" x14ac:dyDescent="0.25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>
        <v>19</v>
      </c>
      <c r="J868" s="4">
        <v>40015.64</v>
      </c>
      <c r="K868" s="6">
        <v>10.32</v>
      </c>
      <c r="L868" s="4">
        <v>681834.49</v>
      </c>
      <c r="M868" s="4" t="str" cm="1">
        <f t="array" ref="M868">IF(Excel_Advanced_Sales_Dataset_2000__3[[#This Row],[Total Sales]]&gt;50000,{"Yes"},{"No"})</f>
        <v>Yes</v>
      </c>
      <c r="N868" s="5">
        <v>46386</v>
      </c>
      <c r="O868" s="1" t="s">
        <v>68</v>
      </c>
      <c r="P868" t="s">
        <v>35</v>
      </c>
      <c r="Q868" t="str">
        <f>IF(Excel_Advanced_Sales_Dataset_2000__3[[#This Row],[Delivery Status]]="Pending","Follow Up","Ok")</f>
        <v>Ok</v>
      </c>
      <c r="R868" s="1" t="s">
        <v>53</v>
      </c>
      <c r="S868">
        <f>Excel_Advanced_Sales_Dataset_2000__3[[#This Row],[Quantity]]*Excel_Advanced_Sales_Dataset_2000__3[[#This Row],[Unit Price]]*Excel_Advanced_Sales_Dataset_2000__3[[#This Row],[Discount %]]/100</f>
        <v>78462.666912000001</v>
      </c>
      <c r="T868" s="4">
        <f>Excel_Advanced_Sales_Dataset_2000__3[[#This Row],[Quantity]]*Excel_Advanced_Sales_Dataset_2000__3[[#This Row],[Unit Price]]-Excel_Advanced_Sales_Dataset_2000__3[[#This Row],[Discount Amount]]</f>
        <v>681834.49308799999</v>
      </c>
    </row>
    <row r="869" spans="1:20" x14ac:dyDescent="0.25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>
        <v>33</v>
      </c>
      <c r="J869" s="4">
        <v>33583.269999999997</v>
      </c>
      <c r="K869" s="6">
        <v>16.46</v>
      </c>
      <c r="L869" s="4">
        <v>925830.3</v>
      </c>
      <c r="M869" s="4" t="str" cm="1">
        <f t="array" ref="M869">IF(Excel_Advanced_Sales_Dataset_2000__3[[#This Row],[Total Sales]]&gt;50000,{"Yes"},{"No"})</f>
        <v>Yes</v>
      </c>
      <c r="N869" s="5">
        <v>46155</v>
      </c>
      <c r="O869" s="1" t="s">
        <v>24</v>
      </c>
      <c r="P869" t="s">
        <v>35</v>
      </c>
      <c r="Q869" t="str">
        <f>IF(Excel_Advanced_Sales_Dataset_2000__3[[#This Row],[Delivery Status]]="Pending","Follow Up","Ok")</f>
        <v>Ok</v>
      </c>
      <c r="R869" s="1" t="s">
        <v>53</v>
      </c>
      <c r="S869">
        <f>Excel_Advanced_Sales_Dataset_2000__3[[#This Row],[Quantity]]*Excel_Advanced_Sales_Dataset_2000__3[[#This Row],[Unit Price]]*Excel_Advanced_Sales_Dataset_2000__3[[#This Row],[Discount %]]/100</f>
        <v>182417.60598600001</v>
      </c>
      <c r="T869" s="4">
        <f>Excel_Advanced_Sales_Dataset_2000__3[[#This Row],[Quantity]]*Excel_Advanced_Sales_Dataset_2000__3[[#This Row],[Unit Price]]-Excel_Advanced_Sales_Dataset_2000__3[[#This Row],[Discount Amount]]</f>
        <v>925830.30401399988</v>
      </c>
    </row>
    <row r="870" spans="1:20" x14ac:dyDescent="0.25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>
        <v>48</v>
      </c>
      <c r="J870" s="4">
        <v>39773.839999999997</v>
      </c>
      <c r="K870" s="6">
        <v>12.23</v>
      </c>
      <c r="L870" s="4">
        <v>1675655.97</v>
      </c>
      <c r="M870" s="4" t="str" cm="1">
        <f t="array" ref="M870">IF(Excel_Advanced_Sales_Dataset_2000__3[[#This Row],[Total Sales]]&gt;50000,{"Yes"},{"No"})</f>
        <v>Yes</v>
      </c>
      <c r="N870" s="5">
        <v>46036</v>
      </c>
      <c r="O870" s="1" t="s">
        <v>45</v>
      </c>
      <c r="P870" t="s">
        <v>25</v>
      </c>
      <c r="Q870" t="str">
        <f>IF(Excel_Advanced_Sales_Dataset_2000__3[[#This Row],[Delivery Status]]="Pending","Follow Up","Ok")</f>
        <v>Follow Up</v>
      </c>
      <c r="R870" s="1" t="s">
        <v>26</v>
      </c>
      <c r="S870">
        <f>Excel_Advanced_Sales_Dataset_2000__3[[#This Row],[Quantity]]*Excel_Advanced_Sales_Dataset_2000__3[[#This Row],[Unit Price]]*Excel_Advanced_Sales_Dataset_2000__3[[#This Row],[Discount %]]/100</f>
        <v>233488.35033599997</v>
      </c>
      <c r="T870" s="4">
        <f>Excel_Advanced_Sales_Dataset_2000__3[[#This Row],[Quantity]]*Excel_Advanced_Sales_Dataset_2000__3[[#This Row],[Unit Price]]-Excel_Advanced_Sales_Dataset_2000__3[[#This Row],[Discount Amount]]</f>
        <v>1675655.969664</v>
      </c>
    </row>
    <row r="871" spans="1:20" x14ac:dyDescent="0.25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>
        <v>11</v>
      </c>
      <c r="J871" s="4">
        <v>926.68</v>
      </c>
      <c r="K871" s="6">
        <v>7.02</v>
      </c>
      <c r="L871" s="4">
        <v>9477.9</v>
      </c>
      <c r="M871" s="4" t="str" cm="1">
        <f t="array" ref="M871">IF(Excel_Advanced_Sales_Dataset_2000__3[[#This Row],[Total Sales]]&gt;50000,{"Yes"},{"No"})</f>
        <v>No</v>
      </c>
      <c r="N871" s="5">
        <v>46089</v>
      </c>
      <c r="O871" s="1" t="s">
        <v>68</v>
      </c>
      <c r="P871" t="s">
        <v>35</v>
      </c>
      <c r="Q871" t="str">
        <f>IF(Excel_Advanced_Sales_Dataset_2000__3[[#This Row],[Delivery Status]]="Pending","Follow Up","Ok")</f>
        <v>Ok</v>
      </c>
      <c r="R871" s="1" t="s">
        <v>53</v>
      </c>
      <c r="S871">
        <f>Excel_Advanced_Sales_Dataset_2000__3[[#This Row],[Quantity]]*Excel_Advanced_Sales_Dataset_2000__3[[#This Row],[Unit Price]]*Excel_Advanced_Sales_Dataset_2000__3[[#This Row],[Discount %]]/100</f>
        <v>715.58229599999993</v>
      </c>
      <c r="T871" s="4">
        <f>Excel_Advanced_Sales_Dataset_2000__3[[#This Row],[Quantity]]*Excel_Advanced_Sales_Dataset_2000__3[[#This Row],[Unit Price]]-Excel_Advanced_Sales_Dataset_2000__3[[#This Row],[Discount Amount]]</f>
        <v>9477.8977039999991</v>
      </c>
    </row>
    <row r="872" spans="1:20" x14ac:dyDescent="0.25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>
        <v>6</v>
      </c>
      <c r="J872" s="4">
        <v>8823.42</v>
      </c>
      <c r="K872" s="6">
        <v>15.2</v>
      </c>
      <c r="L872" s="4">
        <v>44893.56</v>
      </c>
      <c r="M872" s="4" t="str" cm="1">
        <f t="array" ref="M872">IF(Excel_Advanced_Sales_Dataset_2000__3[[#This Row],[Total Sales]]&gt;50000,{"Yes"},{"No"})</f>
        <v>No</v>
      </c>
      <c r="N872" s="5">
        <v>46360</v>
      </c>
      <c r="O872" s="1" t="s">
        <v>45</v>
      </c>
      <c r="P872" t="s">
        <v>35</v>
      </c>
      <c r="Q872" t="str">
        <f>IF(Excel_Advanced_Sales_Dataset_2000__3[[#This Row],[Delivery Status]]="Pending","Follow Up","Ok")</f>
        <v>Ok</v>
      </c>
      <c r="R872" s="1" t="s">
        <v>26</v>
      </c>
      <c r="S872">
        <f>Excel_Advanced_Sales_Dataset_2000__3[[#This Row],[Quantity]]*Excel_Advanced_Sales_Dataset_2000__3[[#This Row],[Unit Price]]*Excel_Advanced_Sales_Dataset_2000__3[[#This Row],[Discount %]]/100</f>
        <v>8046.9590399999997</v>
      </c>
      <c r="T872" s="4">
        <f>Excel_Advanced_Sales_Dataset_2000__3[[#This Row],[Quantity]]*Excel_Advanced_Sales_Dataset_2000__3[[#This Row],[Unit Price]]-Excel_Advanced_Sales_Dataset_2000__3[[#This Row],[Discount Amount]]</f>
        <v>44893.560960000003</v>
      </c>
    </row>
    <row r="873" spans="1:20" x14ac:dyDescent="0.25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>
        <v>17</v>
      </c>
      <c r="J873" s="4">
        <v>26276.05</v>
      </c>
      <c r="K873" s="6">
        <v>10.32</v>
      </c>
      <c r="L873" s="4">
        <v>400594.15</v>
      </c>
      <c r="M873" s="4" t="str" cm="1">
        <f t="array" ref="M873">IF(Excel_Advanced_Sales_Dataset_2000__3[[#This Row],[Total Sales]]&gt;50000,{"Yes"},{"No"})</f>
        <v>Yes</v>
      </c>
      <c r="N873" s="5">
        <v>46305</v>
      </c>
      <c r="O873" s="1" t="s">
        <v>113</v>
      </c>
      <c r="P873" t="s">
        <v>35</v>
      </c>
      <c r="Q873" t="str">
        <f>IF(Excel_Advanced_Sales_Dataset_2000__3[[#This Row],[Delivery Status]]="Pending","Follow Up","Ok")</f>
        <v>Ok</v>
      </c>
      <c r="R873" s="1" t="s">
        <v>53</v>
      </c>
      <c r="S873">
        <f>Excel_Advanced_Sales_Dataset_2000__3[[#This Row],[Quantity]]*Excel_Advanced_Sales_Dataset_2000__3[[#This Row],[Unit Price]]*Excel_Advanced_Sales_Dataset_2000__3[[#This Row],[Discount %]]/100</f>
        <v>46098.702120000002</v>
      </c>
      <c r="T873" s="4">
        <f>Excel_Advanced_Sales_Dataset_2000__3[[#This Row],[Quantity]]*Excel_Advanced_Sales_Dataset_2000__3[[#This Row],[Unit Price]]-Excel_Advanced_Sales_Dataset_2000__3[[#This Row],[Discount Amount]]</f>
        <v>400594.14787999995</v>
      </c>
    </row>
    <row r="874" spans="1:20" x14ac:dyDescent="0.25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>
        <v>44</v>
      </c>
      <c r="J874" s="4">
        <v>22050.94</v>
      </c>
      <c r="K874" s="6">
        <v>8.76</v>
      </c>
      <c r="L874" s="4">
        <v>885248.22</v>
      </c>
      <c r="M874" s="4" t="str" cm="1">
        <f t="array" ref="M874">IF(Excel_Advanced_Sales_Dataset_2000__3[[#This Row],[Total Sales]]&gt;50000,{"Yes"},{"No"})</f>
        <v>Yes</v>
      </c>
      <c r="N874" s="5">
        <v>46278</v>
      </c>
      <c r="O874" s="1" t="s">
        <v>24</v>
      </c>
      <c r="P874" t="s">
        <v>35</v>
      </c>
      <c r="Q874" t="str">
        <f>IF(Excel_Advanced_Sales_Dataset_2000__3[[#This Row],[Delivery Status]]="Pending","Follow Up","Ok")</f>
        <v>Ok</v>
      </c>
      <c r="R874" s="1" t="s">
        <v>53</v>
      </c>
      <c r="S874">
        <f>Excel_Advanced_Sales_Dataset_2000__3[[#This Row],[Quantity]]*Excel_Advanced_Sales_Dataset_2000__3[[#This Row],[Unit Price]]*Excel_Advanced_Sales_Dataset_2000__3[[#This Row],[Discount %]]/100</f>
        <v>84993.143135999999</v>
      </c>
      <c r="T874" s="4">
        <f>Excel_Advanced_Sales_Dataset_2000__3[[#This Row],[Quantity]]*Excel_Advanced_Sales_Dataset_2000__3[[#This Row],[Unit Price]]-Excel_Advanced_Sales_Dataset_2000__3[[#This Row],[Discount Amount]]</f>
        <v>885248.21686399996</v>
      </c>
    </row>
    <row r="875" spans="1:20" x14ac:dyDescent="0.25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>
        <v>42</v>
      </c>
      <c r="J875" s="4">
        <v>7557.88</v>
      </c>
      <c r="K875" s="6">
        <v>13.33</v>
      </c>
      <c r="L875" s="4">
        <v>275117.40999999997</v>
      </c>
      <c r="M875" s="4" t="str" cm="1">
        <f t="array" ref="M875">IF(Excel_Advanced_Sales_Dataset_2000__3[[#This Row],[Total Sales]]&gt;50000,{"Yes"},{"No"})</f>
        <v>Yes</v>
      </c>
      <c r="N875" s="5">
        <v>46200</v>
      </c>
      <c r="O875" s="1" t="s">
        <v>24</v>
      </c>
      <c r="P875" t="s">
        <v>35</v>
      </c>
      <c r="Q875" t="str">
        <f>IF(Excel_Advanced_Sales_Dataset_2000__3[[#This Row],[Delivery Status]]="Pending","Follow Up","Ok")</f>
        <v>Ok</v>
      </c>
      <c r="R875" s="1" t="s">
        <v>26</v>
      </c>
      <c r="S875">
        <f>Excel_Advanced_Sales_Dataset_2000__3[[#This Row],[Quantity]]*Excel_Advanced_Sales_Dataset_2000__3[[#This Row],[Unit Price]]*Excel_Advanced_Sales_Dataset_2000__3[[#This Row],[Discount %]]/100</f>
        <v>42313.546968000002</v>
      </c>
      <c r="T875" s="4">
        <f>Excel_Advanced_Sales_Dataset_2000__3[[#This Row],[Quantity]]*Excel_Advanced_Sales_Dataset_2000__3[[#This Row],[Unit Price]]-Excel_Advanced_Sales_Dataset_2000__3[[#This Row],[Discount Amount]]</f>
        <v>275117.41303200001</v>
      </c>
    </row>
    <row r="876" spans="1:20" x14ac:dyDescent="0.25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>
        <v>49</v>
      </c>
      <c r="J876" s="4">
        <v>43941.18</v>
      </c>
      <c r="K876" s="6">
        <v>19.05</v>
      </c>
      <c r="L876" s="4">
        <v>1742948.88</v>
      </c>
      <c r="M876" s="4" t="str" cm="1">
        <f t="array" ref="M876">IF(Excel_Advanced_Sales_Dataset_2000__3[[#This Row],[Total Sales]]&gt;50000,{"Yes"},{"No"})</f>
        <v>Yes</v>
      </c>
      <c r="N876" s="5">
        <v>46175</v>
      </c>
      <c r="O876" s="1" t="s">
        <v>68</v>
      </c>
      <c r="P876" t="s">
        <v>35</v>
      </c>
      <c r="Q876" t="str">
        <f>IF(Excel_Advanced_Sales_Dataset_2000__3[[#This Row],[Delivery Status]]="Pending","Follow Up","Ok")</f>
        <v>Ok</v>
      </c>
      <c r="R876" s="1" t="s">
        <v>36</v>
      </c>
      <c r="S876">
        <f>Excel_Advanced_Sales_Dataset_2000__3[[#This Row],[Quantity]]*Excel_Advanced_Sales_Dataset_2000__3[[#This Row],[Unit Price]]*Excel_Advanced_Sales_Dataset_2000__3[[#This Row],[Discount %]]/100</f>
        <v>410168.94471000001</v>
      </c>
      <c r="T876" s="4">
        <f>Excel_Advanced_Sales_Dataset_2000__3[[#This Row],[Quantity]]*Excel_Advanced_Sales_Dataset_2000__3[[#This Row],[Unit Price]]-Excel_Advanced_Sales_Dataset_2000__3[[#This Row],[Discount Amount]]</f>
        <v>1742948.8752899999</v>
      </c>
    </row>
    <row r="877" spans="1:20" x14ac:dyDescent="0.25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>
        <v>46</v>
      </c>
      <c r="J877" s="4">
        <v>37264.550000000003</v>
      </c>
      <c r="K877" s="6">
        <v>6.06</v>
      </c>
      <c r="L877" s="4">
        <v>1610290.64</v>
      </c>
      <c r="M877" s="4" t="str" cm="1">
        <f t="array" ref="M877">IF(Excel_Advanced_Sales_Dataset_2000__3[[#This Row],[Total Sales]]&gt;50000,{"Yes"},{"No"})</f>
        <v>Yes</v>
      </c>
      <c r="N877" s="5">
        <v>46084</v>
      </c>
      <c r="O877" s="1" t="s">
        <v>113</v>
      </c>
      <c r="P877" t="s">
        <v>35</v>
      </c>
      <c r="Q877" t="str">
        <f>IF(Excel_Advanced_Sales_Dataset_2000__3[[#This Row],[Delivery Status]]="Pending","Follow Up","Ok")</f>
        <v>Ok</v>
      </c>
      <c r="R877" s="1" t="s">
        <v>53</v>
      </c>
      <c r="S877">
        <f>Excel_Advanced_Sales_Dataset_2000__3[[#This Row],[Quantity]]*Excel_Advanced_Sales_Dataset_2000__3[[#This Row],[Unit Price]]*Excel_Advanced_Sales_Dataset_2000__3[[#This Row],[Discount %]]/100</f>
        <v>103878.65957999999</v>
      </c>
      <c r="T877" s="4">
        <f>Excel_Advanced_Sales_Dataset_2000__3[[#This Row],[Quantity]]*Excel_Advanced_Sales_Dataset_2000__3[[#This Row],[Unit Price]]-Excel_Advanced_Sales_Dataset_2000__3[[#This Row],[Discount Amount]]</f>
        <v>1610290.6404200001</v>
      </c>
    </row>
    <row r="878" spans="1:20" x14ac:dyDescent="0.25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>
        <v>50</v>
      </c>
      <c r="J878" s="4">
        <v>38846.68</v>
      </c>
      <c r="K878" s="6">
        <v>14.28</v>
      </c>
      <c r="L878" s="4">
        <v>1664968.7</v>
      </c>
      <c r="M878" s="4" t="str" cm="1">
        <f t="array" ref="M878">IF(Excel_Advanced_Sales_Dataset_2000__3[[#This Row],[Total Sales]]&gt;50000,{"Yes"},{"No"})</f>
        <v>Yes</v>
      </c>
      <c r="N878" s="5">
        <v>46154</v>
      </c>
      <c r="O878" s="1" t="s">
        <v>68</v>
      </c>
      <c r="P878" t="s">
        <v>35</v>
      </c>
      <c r="Q878" t="str">
        <f>IF(Excel_Advanced_Sales_Dataset_2000__3[[#This Row],[Delivery Status]]="Pending","Follow Up","Ok")</f>
        <v>Ok</v>
      </c>
      <c r="R878" s="1" t="s">
        <v>36</v>
      </c>
      <c r="S878">
        <f>Excel_Advanced_Sales_Dataset_2000__3[[#This Row],[Quantity]]*Excel_Advanced_Sales_Dataset_2000__3[[#This Row],[Unit Price]]*Excel_Advanced_Sales_Dataset_2000__3[[#This Row],[Discount %]]/100</f>
        <v>277365.29519999999</v>
      </c>
      <c r="T878" s="4">
        <f>Excel_Advanced_Sales_Dataset_2000__3[[#This Row],[Quantity]]*Excel_Advanced_Sales_Dataset_2000__3[[#This Row],[Unit Price]]-Excel_Advanced_Sales_Dataset_2000__3[[#This Row],[Discount Amount]]</f>
        <v>1664968.7047999999</v>
      </c>
    </row>
    <row r="879" spans="1:20" x14ac:dyDescent="0.25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>
        <v>35</v>
      </c>
      <c r="J879" s="4">
        <v>34604.980000000003</v>
      </c>
      <c r="K879" s="6">
        <v>8.56</v>
      </c>
      <c r="L879" s="4">
        <v>1107497.78</v>
      </c>
      <c r="M879" s="4" t="str" cm="1">
        <f t="array" ref="M879">IF(Excel_Advanced_Sales_Dataset_2000__3[[#This Row],[Total Sales]]&gt;50000,{"Yes"},{"No"})</f>
        <v>Yes</v>
      </c>
      <c r="N879" s="5">
        <v>46273</v>
      </c>
      <c r="O879" s="1" t="s">
        <v>58</v>
      </c>
      <c r="P879" t="s">
        <v>35</v>
      </c>
      <c r="Q879" t="str">
        <f>IF(Excel_Advanced_Sales_Dataset_2000__3[[#This Row],[Delivery Status]]="Pending","Follow Up","Ok")</f>
        <v>Ok</v>
      </c>
      <c r="R879" s="1" t="s">
        <v>53</v>
      </c>
      <c r="S879">
        <f>Excel_Advanced_Sales_Dataset_2000__3[[#This Row],[Quantity]]*Excel_Advanced_Sales_Dataset_2000__3[[#This Row],[Unit Price]]*Excel_Advanced_Sales_Dataset_2000__3[[#This Row],[Discount %]]/100</f>
        <v>103676.52008000002</v>
      </c>
      <c r="T879" s="4">
        <f>Excel_Advanced_Sales_Dataset_2000__3[[#This Row],[Quantity]]*Excel_Advanced_Sales_Dataset_2000__3[[#This Row],[Unit Price]]-Excel_Advanced_Sales_Dataset_2000__3[[#This Row],[Discount Amount]]</f>
        <v>1107497.7799200001</v>
      </c>
    </row>
    <row r="880" spans="1:20" x14ac:dyDescent="0.25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>
        <v>25</v>
      </c>
      <c r="J880" s="4">
        <v>17731.080000000002</v>
      </c>
      <c r="K880" s="6">
        <v>8.56</v>
      </c>
      <c r="L880" s="4">
        <v>405332.49</v>
      </c>
      <c r="M880" s="4" t="str" cm="1">
        <f t="array" ref="M880">IF(Excel_Advanced_Sales_Dataset_2000__3[[#This Row],[Total Sales]]&gt;50000,{"Yes"},{"No"})</f>
        <v>Yes</v>
      </c>
      <c r="N880" s="5">
        <v>46219</v>
      </c>
      <c r="O880" s="1" t="s">
        <v>24</v>
      </c>
      <c r="P880" t="s">
        <v>35</v>
      </c>
      <c r="Q880" t="str">
        <f>IF(Excel_Advanced_Sales_Dataset_2000__3[[#This Row],[Delivery Status]]="Pending","Follow Up","Ok")</f>
        <v>Ok</v>
      </c>
      <c r="R880" s="1" t="s">
        <v>36</v>
      </c>
      <c r="S880">
        <f>Excel_Advanced_Sales_Dataset_2000__3[[#This Row],[Quantity]]*Excel_Advanced_Sales_Dataset_2000__3[[#This Row],[Unit Price]]*Excel_Advanced_Sales_Dataset_2000__3[[#This Row],[Discount %]]/100</f>
        <v>37944.511200000008</v>
      </c>
      <c r="T880" s="4">
        <f>Excel_Advanced_Sales_Dataset_2000__3[[#This Row],[Quantity]]*Excel_Advanced_Sales_Dataset_2000__3[[#This Row],[Unit Price]]-Excel_Advanced_Sales_Dataset_2000__3[[#This Row],[Discount Amount]]</f>
        <v>405332.48880000005</v>
      </c>
    </row>
    <row r="881" spans="1:20" x14ac:dyDescent="0.25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>
        <v>44</v>
      </c>
      <c r="J881" s="4">
        <v>9708.99</v>
      </c>
      <c r="K881" s="6">
        <v>1.86</v>
      </c>
      <c r="L881" s="4">
        <v>419249.72</v>
      </c>
      <c r="M881" s="4" t="str" cm="1">
        <f t="array" ref="M881">IF(Excel_Advanced_Sales_Dataset_2000__3[[#This Row],[Total Sales]]&gt;50000,{"Yes"},{"No"})</f>
        <v>Yes</v>
      </c>
      <c r="N881" s="5">
        <v>46355</v>
      </c>
      <c r="O881" s="1" t="s">
        <v>113</v>
      </c>
      <c r="P881" t="s">
        <v>25</v>
      </c>
      <c r="Q881" t="str">
        <f>IF(Excel_Advanced_Sales_Dataset_2000__3[[#This Row],[Delivery Status]]="Pending","Follow Up","Ok")</f>
        <v>Follow Up</v>
      </c>
      <c r="R881" s="1" t="s">
        <v>26</v>
      </c>
      <c r="S881">
        <f>Excel_Advanced_Sales_Dataset_2000__3[[#This Row],[Quantity]]*Excel_Advanced_Sales_Dataset_2000__3[[#This Row],[Unit Price]]*Excel_Advanced_Sales_Dataset_2000__3[[#This Row],[Discount %]]/100</f>
        <v>7945.8374160000003</v>
      </c>
      <c r="T881" s="4">
        <f>Excel_Advanced_Sales_Dataset_2000__3[[#This Row],[Quantity]]*Excel_Advanced_Sales_Dataset_2000__3[[#This Row],[Unit Price]]-Excel_Advanced_Sales_Dataset_2000__3[[#This Row],[Discount Amount]]</f>
        <v>419249.72258399997</v>
      </c>
    </row>
    <row r="882" spans="1:20" x14ac:dyDescent="0.25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>
        <v>49</v>
      </c>
      <c r="J882" s="4">
        <v>19139.93</v>
      </c>
      <c r="K882" s="6">
        <v>2.67</v>
      </c>
      <c r="L882" s="4">
        <v>912815.8</v>
      </c>
      <c r="M882" s="4" t="str" cm="1">
        <f t="array" ref="M882">IF(Excel_Advanced_Sales_Dataset_2000__3[[#This Row],[Total Sales]]&gt;50000,{"Yes"},{"No"})</f>
        <v>Yes</v>
      </c>
      <c r="N882" s="5">
        <v>46127</v>
      </c>
      <c r="O882" s="1" t="s">
        <v>68</v>
      </c>
      <c r="P882" t="s">
        <v>35</v>
      </c>
      <c r="Q882" t="str">
        <f>IF(Excel_Advanced_Sales_Dataset_2000__3[[#This Row],[Delivery Status]]="Pending","Follow Up","Ok")</f>
        <v>Ok</v>
      </c>
      <c r="R882" s="1" t="s">
        <v>26</v>
      </c>
      <c r="S882">
        <f>Excel_Advanced_Sales_Dataset_2000__3[[#This Row],[Quantity]]*Excel_Advanced_Sales_Dataset_2000__3[[#This Row],[Unit Price]]*Excel_Advanced_Sales_Dataset_2000__3[[#This Row],[Discount %]]/100</f>
        <v>25040.770419</v>
      </c>
      <c r="T882" s="4">
        <f>Excel_Advanced_Sales_Dataset_2000__3[[#This Row],[Quantity]]*Excel_Advanced_Sales_Dataset_2000__3[[#This Row],[Unit Price]]-Excel_Advanced_Sales_Dataset_2000__3[[#This Row],[Discount Amount]]</f>
        <v>912815.79958100012</v>
      </c>
    </row>
    <row r="883" spans="1:20" x14ac:dyDescent="0.25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>
        <v>30</v>
      </c>
      <c r="J883" s="4">
        <v>23996.91</v>
      </c>
      <c r="K883" s="6">
        <v>3.88</v>
      </c>
      <c r="L883" s="4">
        <v>691974.9</v>
      </c>
      <c r="M883" s="4" t="str" cm="1">
        <f t="array" ref="M883">IF(Excel_Advanced_Sales_Dataset_2000__3[[#This Row],[Total Sales]]&gt;50000,{"Yes"},{"No"})</f>
        <v>Yes</v>
      </c>
      <c r="N883" s="5">
        <v>46128</v>
      </c>
      <c r="O883" s="1" t="s">
        <v>68</v>
      </c>
      <c r="P883" t="s">
        <v>35</v>
      </c>
      <c r="Q883" t="str">
        <f>IF(Excel_Advanced_Sales_Dataset_2000__3[[#This Row],[Delivery Status]]="Pending","Follow Up","Ok")</f>
        <v>Ok</v>
      </c>
      <c r="R883" s="1" t="s">
        <v>36</v>
      </c>
      <c r="S883">
        <f>Excel_Advanced_Sales_Dataset_2000__3[[#This Row],[Quantity]]*Excel_Advanced_Sales_Dataset_2000__3[[#This Row],[Unit Price]]*Excel_Advanced_Sales_Dataset_2000__3[[#This Row],[Discount %]]/100</f>
        <v>27932.40324</v>
      </c>
      <c r="T883" s="4">
        <f>Excel_Advanced_Sales_Dataset_2000__3[[#This Row],[Quantity]]*Excel_Advanced_Sales_Dataset_2000__3[[#This Row],[Unit Price]]-Excel_Advanced_Sales_Dataset_2000__3[[#This Row],[Discount Amount]]</f>
        <v>691974.89676000003</v>
      </c>
    </row>
    <row r="884" spans="1:20" x14ac:dyDescent="0.25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>
        <v>1</v>
      </c>
      <c r="J884" s="4">
        <v>14377.26</v>
      </c>
      <c r="K884" s="6">
        <v>4.08</v>
      </c>
      <c r="L884" s="4">
        <v>13790.67</v>
      </c>
      <c r="M884" s="4" t="str" cm="1">
        <f t="array" ref="M884">IF(Excel_Advanced_Sales_Dataset_2000__3[[#This Row],[Total Sales]]&gt;50000,{"Yes"},{"No"})</f>
        <v>No</v>
      </c>
      <c r="N884" s="5">
        <v>46225</v>
      </c>
      <c r="O884" s="1" t="s">
        <v>113</v>
      </c>
      <c r="P884" t="s">
        <v>35</v>
      </c>
      <c r="Q884" t="str">
        <f>IF(Excel_Advanced_Sales_Dataset_2000__3[[#This Row],[Delivery Status]]="Pending","Follow Up","Ok")</f>
        <v>Ok</v>
      </c>
      <c r="R884" s="1" t="s">
        <v>53</v>
      </c>
      <c r="S884">
        <f>Excel_Advanced_Sales_Dataset_2000__3[[#This Row],[Quantity]]*Excel_Advanced_Sales_Dataset_2000__3[[#This Row],[Unit Price]]*Excel_Advanced_Sales_Dataset_2000__3[[#This Row],[Discount %]]/100</f>
        <v>586.59220800000003</v>
      </c>
      <c r="T884" s="4">
        <f>Excel_Advanced_Sales_Dataset_2000__3[[#This Row],[Quantity]]*Excel_Advanced_Sales_Dataset_2000__3[[#This Row],[Unit Price]]-Excel_Advanced_Sales_Dataset_2000__3[[#This Row],[Discount Amount]]</f>
        <v>13790.667792</v>
      </c>
    </row>
    <row r="885" spans="1:20" x14ac:dyDescent="0.25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>
        <v>46</v>
      </c>
      <c r="J885" s="4">
        <v>36378.86</v>
      </c>
      <c r="K885" s="6">
        <v>4.1399999999999997</v>
      </c>
      <c r="L885" s="4">
        <v>1604147.66</v>
      </c>
      <c r="M885" s="4" t="str" cm="1">
        <f t="array" ref="M885">IF(Excel_Advanced_Sales_Dataset_2000__3[[#This Row],[Total Sales]]&gt;50000,{"Yes"},{"No"})</f>
        <v>Yes</v>
      </c>
      <c r="N885" s="5">
        <v>46118</v>
      </c>
      <c r="O885" s="1" t="s">
        <v>24</v>
      </c>
      <c r="P885" t="s">
        <v>35</v>
      </c>
      <c r="Q885" t="str">
        <f>IF(Excel_Advanced_Sales_Dataset_2000__3[[#This Row],[Delivery Status]]="Pending","Follow Up","Ok")</f>
        <v>Ok</v>
      </c>
      <c r="R885" s="1" t="s">
        <v>36</v>
      </c>
      <c r="S885">
        <f>Excel_Advanced_Sales_Dataset_2000__3[[#This Row],[Quantity]]*Excel_Advanced_Sales_Dataset_2000__3[[#This Row],[Unit Price]]*Excel_Advanced_Sales_Dataset_2000__3[[#This Row],[Discount %]]/100</f>
        <v>69279.900983999993</v>
      </c>
      <c r="T885" s="4">
        <f>Excel_Advanced_Sales_Dataset_2000__3[[#This Row],[Quantity]]*Excel_Advanced_Sales_Dataset_2000__3[[#This Row],[Unit Price]]-Excel_Advanced_Sales_Dataset_2000__3[[#This Row],[Discount Amount]]</f>
        <v>1604147.6590160001</v>
      </c>
    </row>
    <row r="886" spans="1:20" x14ac:dyDescent="0.25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>
        <v>8</v>
      </c>
      <c r="J886" s="4">
        <v>17086.63</v>
      </c>
      <c r="K886" s="6">
        <v>2.4</v>
      </c>
      <c r="L886" s="4">
        <v>133412.41</v>
      </c>
      <c r="M886" s="4" t="str" cm="1">
        <f t="array" ref="M886">IF(Excel_Advanced_Sales_Dataset_2000__3[[#This Row],[Total Sales]]&gt;50000,{"Yes"},{"No"})</f>
        <v>Yes</v>
      </c>
      <c r="N886" s="5">
        <v>46370</v>
      </c>
      <c r="O886" s="1" t="s">
        <v>113</v>
      </c>
      <c r="P886" t="s">
        <v>35</v>
      </c>
      <c r="Q886" t="str">
        <f>IF(Excel_Advanced_Sales_Dataset_2000__3[[#This Row],[Delivery Status]]="Pending","Follow Up","Ok")</f>
        <v>Ok</v>
      </c>
      <c r="R886" s="1" t="s">
        <v>36</v>
      </c>
      <c r="S886">
        <f>Excel_Advanced_Sales_Dataset_2000__3[[#This Row],[Quantity]]*Excel_Advanced_Sales_Dataset_2000__3[[#This Row],[Unit Price]]*Excel_Advanced_Sales_Dataset_2000__3[[#This Row],[Discount %]]/100</f>
        <v>3280.6329600000004</v>
      </c>
      <c r="T886" s="4">
        <f>Excel_Advanced_Sales_Dataset_2000__3[[#This Row],[Quantity]]*Excel_Advanced_Sales_Dataset_2000__3[[#This Row],[Unit Price]]-Excel_Advanced_Sales_Dataset_2000__3[[#This Row],[Discount Amount]]</f>
        <v>133412.40704000002</v>
      </c>
    </row>
    <row r="887" spans="1:20" x14ac:dyDescent="0.25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>
        <v>45</v>
      </c>
      <c r="J887" s="4">
        <v>5260.41</v>
      </c>
      <c r="K887" s="6">
        <v>5.18</v>
      </c>
      <c r="L887" s="4">
        <v>224456.43</v>
      </c>
      <c r="M887" s="4" t="str" cm="1">
        <f t="array" ref="M887">IF(Excel_Advanced_Sales_Dataset_2000__3[[#This Row],[Total Sales]]&gt;50000,{"Yes"},{"No"})</f>
        <v>Yes</v>
      </c>
      <c r="N887" s="5">
        <v>46282</v>
      </c>
      <c r="O887" s="1" t="s">
        <v>58</v>
      </c>
      <c r="P887" t="s">
        <v>35</v>
      </c>
      <c r="Q887" t="str">
        <f>IF(Excel_Advanced_Sales_Dataset_2000__3[[#This Row],[Delivery Status]]="Pending","Follow Up","Ok")</f>
        <v>Ok</v>
      </c>
      <c r="R887" s="1" t="s">
        <v>26</v>
      </c>
      <c r="S887">
        <f>Excel_Advanced_Sales_Dataset_2000__3[[#This Row],[Quantity]]*Excel_Advanced_Sales_Dataset_2000__3[[#This Row],[Unit Price]]*Excel_Advanced_Sales_Dataset_2000__3[[#This Row],[Discount %]]/100</f>
        <v>12262.015709999998</v>
      </c>
      <c r="T887" s="4">
        <f>Excel_Advanced_Sales_Dataset_2000__3[[#This Row],[Quantity]]*Excel_Advanced_Sales_Dataset_2000__3[[#This Row],[Unit Price]]-Excel_Advanced_Sales_Dataset_2000__3[[#This Row],[Discount Amount]]</f>
        <v>224456.43428999998</v>
      </c>
    </row>
    <row r="888" spans="1:20" x14ac:dyDescent="0.25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>
        <v>23</v>
      </c>
      <c r="J888" s="4">
        <v>545.80999999999995</v>
      </c>
      <c r="K888" s="6">
        <v>6.65</v>
      </c>
      <c r="L888" s="4">
        <v>11718.81</v>
      </c>
      <c r="M888" s="4" t="str" cm="1">
        <f t="array" ref="M888">IF(Excel_Advanced_Sales_Dataset_2000__3[[#This Row],[Total Sales]]&gt;50000,{"Yes"},{"No"})</f>
        <v>No</v>
      </c>
      <c r="N888" s="5">
        <v>46299</v>
      </c>
      <c r="O888" s="1" t="s">
        <v>24</v>
      </c>
      <c r="P888" t="s">
        <v>35</v>
      </c>
      <c r="Q888" t="str">
        <f>IF(Excel_Advanced_Sales_Dataset_2000__3[[#This Row],[Delivery Status]]="Pending","Follow Up","Ok")</f>
        <v>Ok</v>
      </c>
      <c r="R888" s="1" t="s">
        <v>53</v>
      </c>
      <c r="S888">
        <f>Excel_Advanced_Sales_Dataset_2000__3[[#This Row],[Quantity]]*Excel_Advanced_Sales_Dataset_2000__3[[#This Row],[Unit Price]]*Excel_Advanced_Sales_Dataset_2000__3[[#This Row],[Discount %]]/100</f>
        <v>834.81639500000006</v>
      </c>
      <c r="T888" s="4">
        <f>Excel_Advanced_Sales_Dataset_2000__3[[#This Row],[Quantity]]*Excel_Advanced_Sales_Dataset_2000__3[[#This Row],[Unit Price]]-Excel_Advanced_Sales_Dataset_2000__3[[#This Row],[Discount Amount]]</f>
        <v>11718.813604999999</v>
      </c>
    </row>
    <row r="889" spans="1:20" x14ac:dyDescent="0.25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>
        <v>46</v>
      </c>
      <c r="J889" s="4">
        <v>28771.37</v>
      </c>
      <c r="K889" s="6">
        <v>8.4499999999999993</v>
      </c>
      <c r="L889" s="4">
        <v>1211648.7</v>
      </c>
      <c r="M889" s="4" t="str" cm="1">
        <f t="array" ref="M889">IF(Excel_Advanced_Sales_Dataset_2000__3[[#This Row],[Total Sales]]&gt;50000,{"Yes"},{"No"})</f>
        <v>Yes</v>
      </c>
      <c r="N889" s="5">
        <v>46225</v>
      </c>
      <c r="O889" s="1" t="s">
        <v>58</v>
      </c>
      <c r="P889" t="s">
        <v>35</v>
      </c>
      <c r="Q889" t="str">
        <f>IF(Excel_Advanced_Sales_Dataset_2000__3[[#This Row],[Delivery Status]]="Pending","Follow Up","Ok")</f>
        <v>Ok</v>
      </c>
      <c r="R889" s="1" t="s">
        <v>26</v>
      </c>
      <c r="S889">
        <f>Excel_Advanced_Sales_Dataset_2000__3[[#This Row],[Quantity]]*Excel_Advanced_Sales_Dataset_2000__3[[#This Row],[Unit Price]]*Excel_Advanced_Sales_Dataset_2000__3[[#This Row],[Discount %]]/100</f>
        <v>111834.31518999999</v>
      </c>
      <c r="T889" s="4">
        <f>Excel_Advanced_Sales_Dataset_2000__3[[#This Row],[Quantity]]*Excel_Advanced_Sales_Dataset_2000__3[[#This Row],[Unit Price]]-Excel_Advanced_Sales_Dataset_2000__3[[#This Row],[Discount Amount]]</f>
        <v>1211648.70481</v>
      </c>
    </row>
    <row r="890" spans="1:20" x14ac:dyDescent="0.25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>
        <v>48</v>
      </c>
      <c r="J890" s="4">
        <v>32057.919999999998</v>
      </c>
      <c r="K890" s="6">
        <v>11.9</v>
      </c>
      <c r="L890" s="4">
        <v>1355665.32</v>
      </c>
      <c r="M890" s="4" t="str" cm="1">
        <f t="array" ref="M890">IF(Excel_Advanced_Sales_Dataset_2000__3[[#This Row],[Total Sales]]&gt;50000,{"Yes"},{"No"})</f>
        <v>Yes</v>
      </c>
      <c r="N890" s="5">
        <v>46182</v>
      </c>
      <c r="O890" s="1" t="s">
        <v>113</v>
      </c>
      <c r="P890" t="s">
        <v>35</v>
      </c>
      <c r="Q890" t="str">
        <f>IF(Excel_Advanced_Sales_Dataset_2000__3[[#This Row],[Delivery Status]]="Pending","Follow Up","Ok")</f>
        <v>Ok</v>
      </c>
      <c r="R890" s="1" t="s">
        <v>36</v>
      </c>
      <c r="S890">
        <f>Excel_Advanced_Sales_Dataset_2000__3[[#This Row],[Quantity]]*Excel_Advanced_Sales_Dataset_2000__3[[#This Row],[Unit Price]]*Excel_Advanced_Sales_Dataset_2000__3[[#This Row],[Discount %]]/100</f>
        <v>183114.83903999999</v>
      </c>
      <c r="T890" s="4">
        <f>Excel_Advanced_Sales_Dataset_2000__3[[#This Row],[Quantity]]*Excel_Advanced_Sales_Dataset_2000__3[[#This Row],[Unit Price]]-Excel_Advanced_Sales_Dataset_2000__3[[#This Row],[Discount Amount]]</f>
        <v>1355665.3209599999</v>
      </c>
    </row>
    <row r="891" spans="1:20" x14ac:dyDescent="0.25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>
        <v>35</v>
      </c>
      <c r="J891" s="4">
        <v>20640.52</v>
      </c>
      <c r="K891" s="6">
        <v>0.67</v>
      </c>
      <c r="L891" s="4">
        <v>717578</v>
      </c>
      <c r="M891" s="4" t="str" cm="1">
        <f t="array" ref="M891">IF(Excel_Advanced_Sales_Dataset_2000__3[[#This Row],[Total Sales]]&gt;50000,{"Yes"},{"No"})</f>
        <v>Yes</v>
      </c>
      <c r="N891" s="5">
        <v>46294</v>
      </c>
      <c r="O891" s="1" t="s">
        <v>113</v>
      </c>
      <c r="P891" t="s">
        <v>35</v>
      </c>
      <c r="Q891" t="str">
        <f>IF(Excel_Advanced_Sales_Dataset_2000__3[[#This Row],[Delivery Status]]="Pending","Follow Up","Ok")</f>
        <v>Ok</v>
      </c>
      <c r="R891" s="1" t="s">
        <v>53</v>
      </c>
      <c r="S891">
        <f>Excel_Advanced_Sales_Dataset_2000__3[[#This Row],[Quantity]]*Excel_Advanced_Sales_Dataset_2000__3[[#This Row],[Unit Price]]*Excel_Advanced_Sales_Dataset_2000__3[[#This Row],[Discount %]]/100</f>
        <v>4840.2019400000008</v>
      </c>
      <c r="T891" s="4">
        <f>Excel_Advanced_Sales_Dataset_2000__3[[#This Row],[Quantity]]*Excel_Advanced_Sales_Dataset_2000__3[[#This Row],[Unit Price]]-Excel_Advanced_Sales_Dataset_2000__3[[#This Row],[Discount Amount]]</f>
        <v>717577.99806000001</v>
      </c>
    </row>
    <row r="892" spans="1:20" x14ac:dyDescent="0.25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>
        <v>22</v>
      </c>
      <c r="J892" s="4">
        <v>23106.080000000002</v>
      </c>
      <c r="K892" s="6">
        <v>12.24</v>
      </c>
      <c r="L892" s="4">
        <v>446113.71</v>
      </c>
      <c r="M892" s="4" t="str" cm="1">
        <f t="array" ref="M892">IF(Excel_Advanced_Sales_Dataset_2000__3[[#This Row],[Total Sales]]&gt;50000,{"Yes"},{"No"})</f>
        <v>Yes</v>
      </c>
      <c r="N892" s="5">
        <v>46164</v>
      </c>
      <c r="O892" s="1" t="s">
        <v>113</v>
      </c>
      <c r="P892" t="s">
        <v>35</v>
      </c>
      <c r="Q892" t="str">
        <f>IF(Excel_Advanced_Sales_Dataset_2000__3[[#This Row],[Delivery Status]]="Pending","Follow Up","Ok")</f>
        <v>Ok</v>
      </c>
      <c r="R892" s="1" t="s">
        <v>36</v>
      </c>
      <c r="S892">
        <f>Excel_Advanced_Sales_Dataset_2000__3[[#This Row],[Quantity]]*Excel_Advanced_Sales_Dataset_2000__3[[#This Row],[Unit Price]]*Excel_Advanced_Sales_Dataset_2000__3[[#This Row],[Discount %]]/100</f>
        <v>62220.052224000006</v>
      </c>
      <c r="T892" s="4">
        <f>Excel_Advanced_Sales_Dataset_2000__3[[#This Row],[Quantity]]*Excel_Advanced_Sales_Dataset_2000__3[[#This Row],[Unit Price]]-Excel_Advanced_Sales_Dataset_2000__3[[#This Row],[Discount Amount]]</f>
        <v>446113.70777600002</v>
      </c>
    </row>
    <row r="893" spans="1:20" x14ac:dyDescent="0.25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>
        <v>49</v>
      </c>
      <c r="J893" s="4">
        <v>45636.85</v>
      </c>
      <c r="K893" s="6">
        <v>1.38</v>
      </c>
      <c r="L893" s="4">
        <v>2205346.0099999998</v>
      </c>
      <c r="M893" s="4" t="str" cm="1">
        <f t="array" ref="M893">IF(Excel_Advanced_Sales_Dataset_2000__3[[#This Row],[Total Sales]]&gt;50000,{"Yes"},{"No"})</f>
        <v>Yes</v>
      </c>
      <c r="N893" s="5">
        <v>46091</v>
      </c>
      <c r="O893" s="1" t="s">
        <v>68</v>
      </c>
      <c r="P893" t="s">
        <v>35</v>
      </c>
      <c r="Q893" t="str">
        <f>IF(Excel_Advanced_Sales_Dataset_2000__3[[#This Row],[Delivery Status]]="Pending","Follow Up","Ok")</f>
        <v>Ok</v>
      </c>
      <c r="R893" s="1" t="s">
        <v>53</v>
      </c>
      <c r="S893">
        <f>Excel_Advanced_Sales_Dataset_2000__3[[#This Row],[Quantity]]*Excel_Advanced_Sales_Dataset_2000__3[[#This Row],[Unit Price]]*Excel_Advanced_Sales_Dataset_2000__3[[#This Row],[Discount %]]/100</f>
        <v>30859.637969999996</v>
      </c>
      <c r="T893" s="4">
        <f>Excel_Advanced_Sales_Dataset_2000__3[[#This Row],[Quantity]]*Excel_Advanced_Sales_Dataset_2000__3[[#This Row],[Unit Price]]-Excel_Advanced_Sales_Dataset_2000__3[[#This Row],[Discount Amount]]</f>
        <v>2205346.0120299999</v>
      </c>
    </row>
    <row r="894" spans="1:20" x14ac:dyDescent="0.25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>
        <v>22</v>
      </c>
      <c r="J894" s="4">
        <v>39096.04</v>
      </c>
      <c r="K894" s="6">
        <v>13.24</v>
      </c>
      <c r="L894" s="4">
        <v>746233.93</v>
      </c>
      <c r="M894" s="4" t="str" cm="1">
        <f t="array" ref="M894">IF(Excel_Advanced_Sales_Dataset_2000__3[[#This Row],[Total Sales]]&gt;50000,{"Yes"},{"No"})</f>
        <v>Yes</v>
      </c>
      <c r="N894" s="5">
        <v>46190</v>
      </c>
      <c r="O894" s="1" t="s">
        <v>68</v>
      </c>
      <c r="P894" t="s">
        <v>25</v>
      </c>
      <c r="Q894" t="str">
        <f>IF(Excel_Advanced_Sales_Dataset_2000__3[[#This Row],[Delivery Status]]="Pending","Follow Up","Ok")</f>
        <v>Follow Up</v>
      </c>
      <c r="R894" s="1" t="s">
        <v>53</v>
      </c>
      <c r="S894">
        <f>Excel_Advanced_Sales_Dataset_2000__3[[#This Row],[Quantity]]*Excel_Advanced_Sales_Dataset_2000__3[[#This Row],[Unit Price]]*Excel_Advanced_Sales_Dataset_2000__3[[#This Row],[Discount %]]/100</f>
        <v>113878.94531200001</v>
      </c>
      <c r="T894" s="4">
        <f>Excel_Advanced_Sales_Dataset_2000__3[[#This Row],[Quantity]]*Excel_Advanced_Sales_Dataset_2000__3[[#This Row],[Unit Price]]-Excel_Advanced_Sales_Dataset_2000__3[[#This Row],[Discount Amount]]</f>
        <v>746233.93468800001</v>
      </c>
    </row>
    <row r="895" spans="1:20" x14ac:dyDescent="0.25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>
        <v>37</v>
      </c>
      <c r="J895" s="4">
        <v>45249.61</v>
      </c>
      <c r="K895" s="6">
        <v>19.41</v>
      </c>
      <c r="L895" s="4">
        <v>1349266.45</v>
      </c>
      <c r="M895" s="4" t="str" cm="1">
        <f t="array" ref="M895">IF(Excel_Advanced_Sales_Dataset_2000__3[[#This Row],[Total Sales]]&gt;50000,{"Yes"},{"No"})</f>
        <v>Yes</v>
      </c>
      <c r="N895" s="5">
        <v>46320</v>
      </c>
      <c r="O895" s="1" t="s">
        <v>24</v>
      </c>
      <c r="P895" t="s">
        <v>35</v>
      </c>
      <c r="Q895" t="str">
        <f>IF(Excel_Advanced_Sales_Dataset_2000__3[[#This Row],[Delivery Status]]="Pending","Follow Up","Ok")</f>
        <v>Ok</v>
      </c>
      <c r="R895" s="1" t="s">
        <v>36</v>
      </c>
      <c r="S895">
        <f>Excel_Advanced_Sales_Dataset_2000__3[[#This Row],[Quantity]]*Excel_Advanced_Sales_Dataset_2000__3[[#This Row],[Unit Price]]*Excel_Advanced_Sales_Dataset_2000__3[[#This Row],[Discount %]]/100</f>
        <v>324969.12413700001</v>
      </c>
      <c r="T895" s="4">
        <f>Excel_Advanced_Sales_Dataset_2000__3[[#This Row],[Quantity]]*Excel_Advanced_Sales_Dataset_2000__3[[#This Row],[Unit Price]]-Excel_Advanced_Sales_Dataset_2000__3[[#This Row],[Discount Amount]]</f>
        <v>1349266.4458630001</v>
      </c>
    </row>
    <row r="896" spans="1:20" x14ac:dyDescent="0.25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>
        <v>1</v>
      </c>
      <c r="J896" s="4">
        <v>4792.5600000000004</v>
      </c>
      <c r="K896" s="6">
        <v>10.31</v>
      </c>
      <c r="L896" s="4">
        <v>4298.45</v>
      </c>
      <c r="M896" s="4" t="str" cm="1">
        <f t="array" ref="M896">IF(Excel_Advanced_Sales_Dataset_2000__3[[#This Row],[Total Sales]]&gt;50000,{"Yes"},{"No"})</f>
        <v>No</v>
      </c>
      <c r="N896" s="5">
        <v>46031</v>
      </c>
      <c r="O896" s="1" t="s">
        <v>68</v>
      </c>
      <c r="P896" t="s">
        <v>35</v>
      </c>
      <c r="Q896" t="str">
        <f>IF(Excel_Advanced_Sales_Dataset_2000__3[[#This Row],[Delivery Status]]="Pending","Follow Up","Ok")</f>
        <v>Ok</v>
      </c>
      <c r="R896" s="1" t="s">
        <v>36</v>
      </c>
      <c r="S896">
        <f>Excel_Advanced_Sales_Dataset_2000__3[[#This Row],[Quantity]]*Excel_Advanced_Sales_Dataset_2000__3[[#This Row],[Unit Price]]*Excel_Advanced_Sales_Dataset_2000__3[[#This Row],[Discount %]]/100</f>
        <v>494.11293600000005</v>
      </c>
      <c r="T896" s="4">
        <f>Excel_Advanced_Sales_Dataset_2000__3[[#This Row],[Quantity]]*Excel_Advanced_Sales_Dataset_2000__3[[#This Row],[Unit Price]]-Excel_Advanced_Sales_Dataset_2000__3[[#This Row],[Discount Amount]]</f>
        <v>4298.447064</v>
      </c>
    </row>
    <row r="897" spans="1:20" x14ac:dyDescent="0.25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>
        <v>3</v>
      </c>
      <c r="J897" s="4">
        <v>6118.1</v>
      </c>
      <c r="K897" s="6">
        <v>15.13</v>
      </c>
      <c r="L897" s="4">
        <v>15577.29</v>
      </c>
      <c r="M897" s="4" t="str" cm="1">
        <f t="array" ref="M897">IF(Excel_Advanced_Sales_Dataset_2000__3[[#This Row],[Total Sales]]&gt;50000,{"Yes"},{"No"})</f>
        <v>No</v>
      </c>
      <c r="N897" s="5">
        <v>46218</v>
      </c>
      <c r="O897" s="1" t="s">
        <v>58</v>
      </c>
      <c r="P897" t="s">
        <v>35</v>
      </c>
      <c r="Q897" t="str">
        <f>IF(Excel_Advanced_Sales_Dataset_2000__3[[#This Row],[Delivery Status]]="Pending","Follow Up","Ok")</f>
        <v>Ok</v>
      </c>
      <c r="R897" s="1" t="s">
        <v>53</v>
      </c>
      <c r="S897">
        <f>Excel_Advanced_Sales_Dataset_2000__3[[#This Row],[Quantity]]*Excel_Advanced_Sales_Dataset_2000__3[[#This Row],[Unit Price]]*Excel_Advanced_Sales_Dataset_2000__3[[#This Row],[Discount %]]/100</f>
        <v>2777.0055900000007</v>
      </c>
      <c r="T897" s="4">
        <f>Excel_Advanced_Sales_Dataset_2000__3[[#This Row],[Quantity]]*Excel_Advanced_Sales_Dataset_2000__3[[#This Row],[Unit Price]]-Excel_Advanced_Sales_Dataset_2000__3[[#This Row],[Discount Amount]]</f>
        <v>15577.294410000002</v>
      </c>
    </row>
    <row r="898" spans="1:20" x14ac:dyDescent="0.25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>
        <v>48</v>
      </c>
      <c r="J898" s="4">
        <v>15183.26</v>
      </c>
      <c r="K898" s="6">
        <v>12.4</v>
      </c>
      <c r="L898" s="4">
        <v>638425.72</v>
      </c>
      <c r="M898" s="4" t="str" cm="1">
        <f t="array" ref="M898">IF(Excel_Advanced_Sales_Dataset_2000__3[[#This Row],[Total Sales]]&gt;50000,{"Yes"},{"No"})</f>
        <v>Yes</v>
      </c>
      <c r="N898" s="5">
        <v>46305</v>
      </c>
      <c r="O898" s="1" t="s">
        <v>68</v>
      </c>
      <c r="P898" t="s">
        <v>35</v>
      </c>
      <c r="Q898" t="str">
        <f>IF(Excel_Advanced_Sales_Dataset_2000__3[[#This Row],[Delivery Status]]="Pending","Follow Up","Ok")</f>
        <v>Ok</v>
      </c>
      <c r="R898" s="1" t="s">
        <v>36</v>
      </c>
      <c r="S898">
        <f>Excel_Advanced_Sales_Dataset_2000__3[[#This Row],[Quantity]]*Excel_Advanced_Sales_Dataset_2000__3[[#This Row],[Unit Price]]*Excel_Advanced_Sales_Dataset_2000__3[[#This Row],[Discount %]]/100</f>
        <v>90370.763519999993</v>
      </c>
      <c r="T898" s="4">
        <f>Excel_Advanced_Sales_Dataset_2000__3[[#This Row],[Quantity]]*Excel_Advanced_Sales_Dataset_2000__3[[#This Row],[Unit Price]]-Excel_Advanced_Sales_Dataset_2000__3[[#This Row],[Discount Amount]]</f>
        <v>638425.71647999994</v>
      </c>
    </row>
    <row r="899" spans="1:20" x14ac:dyDescent="0.25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>
        <v>49</v>
      </c>
      <c r="J899" s="4">
        <v>11082.04</v>
      </c>
      <c r="K899" s="6">
        <v>19.059999999999999</v>
      </c>
      <c r="L899" s="4">
        <v>439520.36</v>
      </c>
      <c r="M899" s="4" t="str" cm="1">
        <f t="array" ref="M899">IF(Excel_Advanced_Sales_Dataset_2000__3[[#This Row],[Total Sales]]&gt;50000,{"Yes"},{"No"})</f>
        <v>Yes</v>
      </c>
      <c r="N899" s="5">
        <v>46157</v>
      </c>
      <c r="O899" s="1" t="s">
        <v>24</v>
      </c>
      <c r="P899" t="s">
        <v>35</v>
      </c>
      <c r="Q899" t="str">
        <f>IF(Excel_Advanced_Sales_Dataset_2000__3[[#This Row],[Delivery Status]]="Pending","Follow Up","Ok")</f>
        <v>Ok</v>
      </c>
      <c r="R899" s="1" t="s">
        <v>53</v>
      </c>
      <c r="S899">
        <f>Excel_Advanced_Sales_Dataset_2000__3[[#This Row],[Quantity]]*Excel_Advanced_Sales_Dataset_2000__3[[#This Row],[Unit Price]]*Excel_Advanced_Sales_Dataset_2000__3[[#This Row],[Discount %]]/100</f>
        <v>103499.60437600002</v>
      </c>
      <c r="T899" s="4">
        <f>Excel_Advanced_Sales_Dataset_2000__3[[#This Row],[Quantity]]*Excel_Advanced_Sales_Dataset_2000__3[[#This Row],[Unit Price]]-Excel_Advanced_Sales_Dataset_2000__3[[#This Row],[Discount Amount]]</f>
        <v>439520.35562400008</v>
      </c>
    </row>
    <row r="900" spans="1:20" x14ac:dyDescent="0.25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>
        <v>3</v>
      </c>
      <c r="J900" s="4">
        <v>1090.21</v>
      </c>
      <c r="K900" s="6">
        <v>10.17</v>
      </c>
      <c r="L900" s="4">
        <v>2938.01</v>
      </c>
      <c r="M900" s="4" t="str" cm="1">
        <f t="array" ref="M900">IF(Excel_Advanced_Sales_Dataset_2000__3[[#This Row],[Total Sales]]&gt;50000,{"Yes"},{"No"})</f>
        <v>No</v>
      </c>
      <c r="N900" s="5">
        <v>46341</v>
      </c>
      <c r="O900" s="1" t="s">
        <v>45</v>
      </c>
      <c r="P900" t="s">
        <v>35</v>
      </c>
      <c r="Q900" t="str">
        <f>IF(Excel_Advanced_Sales_Dataset_2000__3[[#This Row],[Delivery Status]]="Pending","Follow Up","Ok")</f>
        <v>Ok</v>
      </c>
      <c r="R900" s="1" t="s">
        <v>26</v>
      </c>
      <c r="S900">
        <f>Excel_Advanced_Sales_Dataset_2000__3[[#This Row],[Quantity]]*Excel_Advanced_Sales_Dataset_2000__3[[#This Row],[Unit Price]]*Excel_Advanced_Sales_Dataset_2000__3[[#This Row],[Discount %]]/100</f>
        <v>332.62307099999998</v>
      </c>
      <c r="T900" s="4">
        <f>Excel_Advanced_Sales_Dataset_2000__3[[#This Row],[Quantity]]*Excel_Advanced_Sales_Dataset_2000__3[[#This Row],[Unit Price]]-Excel_Advanced_Sales_Dataset_2000__3[[#This Row],[Discount Amount]]</f>
        <v>2938.0069290000001</v>
      </c>
    </row>
    <row r="901" spans="1:20" x14ac:dyDescent="0.25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>
        <v>5</v>
      </c>
      <c r="J901" s="4">
        <v>22674.62</v>
      </c>
      <c r="K901" s="6">
        <v>18.91</v>
      </c>
      <c r="L901" s="4">
        <v>91934.25</v>
      </c>
      <c r="M901" s="4" t="str" cm="1">
        <f t="array" ref="M901">IF(Excel_Advanced_Sales_Dataset_2000__3[[#This Row],[Total Sales]]&gt;50000,{"Yes"},{"No"})</f>
        <v>Yes</v>
      </c>
      <c r="N901" s="5">
        <v>46376</v>
      </c>
      <c r="O901" s="1" t="s">
        <v>68</v>
      </c>
      <c r="P901" t="s">
        <v>25</v>
      </c>
      <c r="Q901" t="str">
        <f>IF(Excel_Advanced_Sales_Dataset_2000__3[[#This Row],[Delivery Status]]="Pending","Follow Up","Ok")</f>
        <v>Follow Up</v>
      </c>
      <c r="R901" s="1" t="s">
        <v>53</v>
      </c>
      <c r="S901">
        <f>Excel_Advanced_Sales_Dataset_2000__3[[#This Row],[Quantity]]*Excel_Advanced_Sales_Dataset_2000__3[[#This Row],[Unit Price]]*Excel_Advanced_Sales_Dataset_2000__3[[#This Row],[Discount %]]/100</f>
        <v>21438.853210000001</v>
      </c>
      <c r="T901" s="4">
        <f>Excel_Advanced_Sales_Dataset_2000__3[[#This Row],[Quantity]]*Excel_Advanced_Sales_Dataset_2000__3[[#This Row],[Unit Price]]-Excel_Advanced_Sales_Dataset_2000__3[[#This Row],[Discount Amount]]</f>
        <v>91934.24678999999</v>
      </c>
    </row>
    <row r="902" spans="1:20" x14ac:dyDescent="0.25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>
        <v>34</v>
      </c>
      <c r="J902" s="4">
        <v>8102.77</v>
      </c>
      <c r="K902" s="6">
        <v>1.47</v>
      </c>
      <c r="L902" s="4">
        <v>271444.42</v>
      </c>
      <c r="M902" s="4" t="str" cm="1">
        <f t="array" ref="M902">IF(Excel_Advanced_Sales_Dataset_2000__3[[#This Row],[Total Sales]]&gt;50000,{"Yes"},{"No"})</f>
        <v>Yes</v>
      </c>
      <c r="N902" s="5">
        <v>46302</v>
      </c>
      <c r="O902" s="1" t="s">
        <v>24</v>
      </c>
      <c r="P902" t="s">
        <v>25</v>
      </c>
      <c r="Q902" t="str">
        <f>IF(Excel_Advanced_Sales_Dataset_2000__3[[#This Row],[Delivery Status]]="Pending","Follow Up","Ok")</f>
        <v>Follow Up</v>
      </c>
      <c r="R902" s="1" t="s">
        <v>26</v>
      </c>
      <c r="S902">
        <f>Excel_Advanced_Sales_Dataset_2000__3[[#This Row],[Quantity]]*Excel_Advanced_Sales_Dataset_2000__3[[#This Row],[Unit Price]]*Excel_Advanced_Sales_Dataset_2000__3[[#This Row],[Discount %]]/100</f>
        <v>4049.7644459999997</v>
      </c>
      <c r="T902" s="4">
        <f>Excel_Advanced_Sales_Dataset_2000__3[[#This Row],[Quantity]]*Excel_Advanced_Sales_Dataset_2000__3[[#This Row],[Unit Price]]-Excel_Advanced_Sales_Dataset_2000__3[[#This Row],[Discount Amount]]</f>
        <v>271444.41555400001</v>
      </c>
    </row>
    <row r="903" spans="1:20" x14ac:dyDescent="0.25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>
        <v>13</v>
      </c>
      <c r="J903" s="4">
        <v>22265.63</v>
      </c>
      <c r="K903" s="6">
        <v>11.88</v>
      </c>
      <c r="L903" s="4">
        <v>255066.15</v>
      </c>
      <c r="M903" s="4" t="str" cm="1">
        <f t="array" ref="M903">IF(Excel_Advanced_Sales_Dataset_2000__3[[#This Row],[Total Sales]]&gt;50000,{"Yes"},{"No"})</f>
        <v>Yes</v>
      </c>
      <c r="N903" s="5">
        <v>46136</v>
      </c>
      <c r="O903" s="1" t="s">
        <v>113</v>
      </c>
      <c r="P903" t="s">
        <v>35</v>
      </c>
      <c r="Q903" t="str">
        <f>IF(Excel_Advanced_Sales_Dataset_2000__3[[#This Row],[Delivery Status]]="Pending","Follow Up","Ok")</f>
        <v>Ok</v>
      </c>
      <c r="R903" s="1" t="s">
        <v>53</v>
      </c>
      <c r="S903">
        <f>Excel_Advanced_Sales_Dataset_2000__3[[#This Row],[Quantity]]*Excel_Advanced_Sales_Dataset_2000__3[[#This Row],[Unit Price]]*Excel_Advanced_Sales_Dataset_2000__3[[#This Row],[Discount %]]/100</f>
        <v>34387.038972000002</v>
      </c>
      <c r="T903" s="4">
        <f>Excel_Advanced_Sales_Dataset_2000__3[[#This Row],[Quantity]]*Excel_Advanced_Sales_Dataset_2000__3[[#This Row],[Unit Price]]-Excel_Advanced_Sales_Dataset_2000__3[[#This Row],[Discount Amount]]</f>
        <v>255066.15102799999</v>
      </c>
    </row>
    <row r="904" spans="1:20" x14ac:dyDescent="0.25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>
        <v>27</v>
      </c>
      <c r="J904" s="4">
        <v>34291.53</v>
      </c>
      <c r="K904" s="6">
        <v>0.85</v>
      </c>
      <c r="L904" s="4">
        <v>918001.4</v>
      </c>
      <c r="M904" s="4" t="str" cm="1">
        <f t="array" ref="M904">IF(Excel_Advanced_Sales_Dataset_2000__3[[#This Row],[Total Sales]]&gt;50000,{"Yes"},{"No"})</f>
        <v>Yes</v>
      </c>
      <c r="N904" s="5">
        <v>46039</v>
      </c>
      <c r="O904" s="1" t="s">
        <v>68</v>
      </c>
      <c r="P904" t="s">
        <v>35</v>
      </c>
      <c r="Q904" t="str">
        <f>IF(Excel_Advanced_Sales_Dataset_2000__3[[#This Row],[Delivery Status]]="Pending","Follow Up","Ok")</f>
        <v>Ok</v>
      </c>
      <c r="R904" s="1" t="s">
        <v>36</v>
      </c>
      <c r="S904">
        <f>Excel_Advanced_Sales_Dataset_2000__3[[#This Row],[Quantity]]*Excel_Advanced_Sales_Dataset_2000__3[[#This Row],[Unit Price]]*Excel_Advanced_Sales_Dataset_2000__3[[#This Row],[Discount %]]/100</f>
        <v>7869.9061350000002</v>
      </c>
      <c r="T904" s="4">
        <f>Excel_Advanced_Sales_Dataset_2000__3[[#This Row],[Quantity]]*Excel_Advanced_Sales_Dataset_2000__3[[#This Row],[Unit Price]]-Excel_Advanced_Sales_Dataset_2000__3[[#This Row],[Discount Amount]]</f>
        <v>918001.40386499988</v>
      </c>
    </row>
    <row r="905" spans="1:20" x14ac:dyDescent="0.25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>
        <v>50</v>
      </c>
      <c r="J905" s="4">
        <v>28473.41</v>
      </c>
      <c r="K905" s="6">
        <v>7.91</v>
      </c>
      <c r="L905" s="4">
        <v>1311058.1599999999</v>
      </c>
      <c r="M905" s="4" t="str" cm="1">
        <f t="array" ref="M905">IF(Excel_Advanced_Sales_Dataset_2000__3[[#This Row],[Total Sales]]&gt;50000,{"Yes"},{"No"})</f>
        <v>Yes</v>
      </c>
      <c r="N905" s="5">
        <v>46152</v>
      </c>
      <c r="O905" s="1" t="s">
        <v>24</v>
      </c>
      <c r="P905" t="s">
        <v>35</v>
      </c>
      <c r="Q905" t="str">
        <f>IF(Excel_Advanced_Sales_Dataset_2000__3[[#This Row],[Delivery Status]]="Pending","Follow Up","Ok")</f>
        <v>Ok</v>
      </c>
      <c r="R905" s="1" t="s">
        <v>26</v>
      </c>
      <c r="S905">
        <f>Excel_Advanced_Sales_Dataset_2000__3[[#This Row],[Quantity]]*Excel_Advanced_Sales_Dataset_2000__3[[#This Row],[Unit Price]]*Excel_Advanced_Sales_Dataset_2000__3[[#This Row],[Discount %]]/100</f>
        <v>112612.33654999999</v>
      </c>
      <c r="T905" s="4">
        <f>Excel_Advanced_Sales_Dataset_2000__3[[#This Row],[Quantity]]*Excel_Advanced_Sales_Dataset_2000__3[[#This Row],[Unit Price]]-Excel_Advanced_Sales_Dataset_2000__3[[#This Row],[Discount Amount]]</f>
        <v>1311058.1634500001</v>
      </c>
    </row>
    <row r="906" spans="1:20" x14ac:dyDescent="0.25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>
        <v>21</v>
      </c>
      <c r="J906" s="4">
        <v>4316.84</v>
      </c>
      <c r="K906" s="6">
        <v>15.36</v>
      </c>
      <c r="L906" s="4">
        <v>76729.240000000005</v>
      </c>
      <c r="M906" s="4" t="str" cm="1">
        <f t="array" ref="M906">IF(Excel_Advanced_Sales_Dataset_2000__3[[#This Row],[Total Sales]]&gt;50000,{"Yes"},{"No"})</f>
        <v>Yes</v>
      </c>
      <c r="N906" s="5">
        <v>46227</v>
      </c>
      <c r="O906" s="1" t="s">
        <v>24</v>
      </c>
      <c r="P906" t="s">
        <v>35</v>
      </c>
      <c r="Q906" t="str">
        <f>IF(Excel_Advanced_Sales_Dataset_2000__3[[#This Row],[Delivery Status]]="Pending","Follow Up","Ok")</f>
        <v>Ok</v>
      </c>
      <c r="R906" s="1" t="s">
        <v>36</v>
      </c>
      <c r="S906">
        <f>Excel_Advanced_Sales_Dataset_2000__3[[#This Row],[Quantity]]*Excel_Advanced_Sales_Dataset_2000__3[[#This Row],[Unit Price]]*Excel_Advanced_Sales_Dataset_2000__3[[#This Row],[Discount %]]/100</f>
        <v>13924.399104</v>
      </c>
      <c r="T906" s="4">
        <f>Excel_Advanced_Sales_Dataset_2000__3[[#This Row],[Quantity]]*Excel_Advanced_Sales_Dataset_2000__3[[#This Row],[Unit Price]]-Excel_Advanced_Sales_Dataset_2000__3[[#This Row],[Discount Amount]]</f>
        <v>76729.240896000003</v>
      </c>
    </row>
    <row r="907" spans="1:20" x14ac:dyDescent="0.25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>
        <v>35</v>
      </c>
      <c r="J907" s="4">
        <v>25666.720000000001</v>
      </c>
      <c r="K907" s="6">
        <v>2.96</v>
      </c>
      <c r="L907" s="4">
        <v>871744.48</v>
      </c>
      <c r="M907" s="4" t="str" cm="1">
        <f t="array" ref="M907">IF(Excel_Advanced_Sales_Dataset_2000__3[[#This Row],[Total Sales]]&gt;50000,{"Yes"},{"No"})</f>
        <v>Yes</v>
      </c>
      <c r="N907" s="5">
        <v>46343</v>
      </c>
      <c r="O907" s="1" t="s">
        <v>45</v>
      </c>
      <c r="P907" t="s">
        <v>25</v>
      </c>
      <c r="Q907" t="str">
        <f>IF(Excel_Advanced_Sales_Dataset_2000__3[[#This Row],[Delivery Status]]="Pending","Follow Up","Ok")</f>
        <v>Follow Up</v>
      </c>
      <c r="R907" s="1" t="s">
        <v>26</v>
      </c>
      <c r="S907">
        <f>Excel_Advanced_Sales_Dataset_2000__3[[#This Row],[Quantity]]*Excel_Advanced_Sales_Dataset_2000__3[[#This Row],[Unit Price]]*Excel_Advanced_Sales_Dataset_2000__3[[#This Row],[Discount %]]/100</f>
        <v>26590.721920000004</v>
      </c>
      <c r="T907" s="4">
        <f>Excel_Advanced_Sales_Dataset_2000__3[[#This Row],[Quantity]]*Excel_Advanced_Sales_Dataset_2000__3[[#This Row],[Unit Price]]-Excel_Advanced_Sales_Dataset_2000__3[[#This Row],[Discount Amount]]</f>
        <v>871744.47808000003</v>
      </c>
    </row>
    <row r="908" spans="1:20" x14ac:dyDescent="0.25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>
        <v>50</v>
      </c>
      <c r="J908" s="4">
        <v>25981.73</v>
      </c>
      <c r="K908" s="6">
        <v>2.69</v>
      </c>
      <c r="L908" s="4">
        <v>1264141.07</v>
      </c>
      <c r="M908" s="4" t="str" cm="1">
        <f t="array" ref="M908">IF(Excel_Advanced_Sales_Dataset_2000__3[[#This Row],[Total Sales]]&gt;50000,{"Yes"},{"No"})</f>
        <v>Yes</v>
      </c>
      <c r="N908" s="5">
        <v>46280</v>
      </c>
      <c r="O908" s="1" t="s">
        <v>45</v>
      </c>
      <c r="P908" t="s">
        <v>35</v>
      </c>
      <c r="Q908" t="str">
        <f>IF(Excel_Advanced_Sales_Dataset_2000__3[[#This Row],[Delivery Status]]="Pending","Follow Up","Ok")</f>
        <v>Ok</v>
      </c>
      <c r="R908" s="1" t="s">
        <v>53</v>
      </c>
      <c r="S908">
        <f>Excel_Advanced_Sales_Dataset_2000__3[[#This Row],[Quantity]]*Excel_Advanced_Sales_Dataset_2000__3[[#This Row],[Unit Price]]*Excel_Advanced_Sales_Dataset_2000__3[[#This Row],[Discount %]]/100</f>
        <v>34945.426850000003</v>
      </c>
      <c r="T908" s="4">
        <f>Excel_Advanced_Sales_Dataset_2000__3[[#This Row],[Quantity]]*Excel_Advanced_Sales_Dataset_2000__3[[#This Row],[Unit Price]]-Excel_Advanced_Sales_Dataset_2000__3[[#This Row],[Discount Amount]]</f>
        <v>1264141.0731500001</v>
      </c>
    </row>
    <row r="909" spans="1:20" x14ac:dyDescent="0.25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>
        <v>41</v>
      </c>
      <c r="J909" s="4">
        <v>14084.6</v>
      </c>
      <c r="K909" s="6">
        <v>17.64</v>
      </c>
      <c r="L909" s="4">
        <v>475603.14</v>
      </c>
      <c r="M909" s="4" t="str" cm="1">
        <f t="array" ref="M909">IF(Excel_Advanced_Sales_Dataset_2000__3[[#This Row],[Total Sales]]&gt;50000,{"Yes"},{"No"})</f>
        <v>Yes</v>
      </c>
      <c r="N909" s="5">
        <v>46083</v>
      </c>
      <c r="O909" s="1" t="s">
        <v>113</v>
      </c>
      <c r="P909" t="s">
        <v>25</v>
      </c>
      <c r="Q909" t="str">
        <f>IF(Excel_Advanced_Sales_Dataset_2000__3[[#This Row],[Delivery Status]]="Pending","Follow Up","Ok")</f>
        <v>Follow Up</v>
      </c>
      <c r="R909" s="1" t="s">
        <v>26</v>
      </c>
      <c r="S909">
        <f>Excel_Advanced_Sales_Dataset_2000__3[[#This Row],[Quantity]]*Excel_Advanced_Sales_Dataset_2000__3[[#This Row],[Unit Price]]*Excel_Advanced_Sales_Dataset_2000__3[[#This Row],[Discount %]]/100</f>
        <v>101865.46104000001</v>
      </c>
      <c r="T909" s="4">
        <f>Excel_Advanced_Sales_Dataset_2000__3[[#This Row],[Quantity]]*Excel_Advanced_Sales_Dataset_2000__3[[#This Row],[Unit Price]]-Excel_Advanced_Sales_Dataset_2000__3[[#This Row],[Discount Amount]]</f>
        <v>475603.13895999995</v>
      </c>
    </row>
    <row r="910" spans="1:20" x14ac:dyDescent="0.25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>
        <v>35</v>
      </c>
      <c r="J910" s="4">
        <v>48742.07</v>
      </c>
      <c r="K910" s="6">
        <v>6.96</v>
      </c>
      <c r="L910" s="4">
        <v>1587236.77</v>
      </c>
      <c r="M910" s="4" t="str" cm="1">
        <f t="array" ref="M910">IF(Excel_Advanced_Sales_Dataset_2000__3[[#This Row],[Total Sales]]&gt;50000,{"Yes"},{"No"})</f>
        <v>Yes</v>
      </c>
      <c r="N910" s="5">
        <v>46377</v>
      </c>
      <c r="O910" s="1" t="s">
        <v>58</v>
      </c>
      <c r="P910" t="s">
        <v>35</v>
      </c>
      <c r="Q910" t="str">
        <f>IF(Excel_Advanced_Sales_Dataset_2000__3[[#This Row],[Delivery Status]]="Pending","Follow Up","Ok")</f>
        <v>Ok</v>
      </c>
      <c r="R910" s="1" t="s">
        <v>53</v>
      </c>
      <c r="S910">
        <f>Excel_Advanced_Sales_Dataset_2000__3[[#This Row],[Quantity]]*Excel_Advanced_Sales_Dataset_2000__3[[#This Row],[Unit Price]]*Excel_Advanced_Sales_Dataset_2000__3[[#This Row],[Discount %]]/100</f>
        <v>118735.68252</v>
      </c>
      <c r="T910" s="4">
        <f>Excel_Advanced_Sales_Dataset_2000__3[[#This Row],[Quantity]]*Excel_Advanced_Sales_Dataset_2000__3[[#This Row],[Unit Price]]-Excel_Advanced_Sales_Dataset_2000__3[[#This Row],[Discount Amount]]</f>
        <v>1587236.7674799999</v>
      </c>
    </row>
    <row r="911" spans="1:20" x14ac:dyDescent="0.25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>
        <v>8</v>
      </c>
      <c r="J911" s="4">
        <v>10000.16</v>
      </c>
      <c r="K911" s="6">
        <v>1</v>
      </c>
      <c r="L911" s="4">
        <v>79201.27</v>
      </c>
      <c r="M911" s="4" t="str" cm="1">
        <f t="array" ref="M911">IF(Excel_Advanced_Sales_Dataset_2000__3[[#This Row],[Total Sales]]&gt;50000,{"Yes"},{"No"})</f>
        <v>Yes</v>
      </c>
      <c r="N911" s="5">
        <v>46137</v>
      </c>
      <c r="O911" s="1" t="s">
        <v>58</v>
      </c>
      <c r="P911" t="s">
        <v>35</v>
      </c>
      <c r="Q911" t="str">
        <f>IF(Excel_Advanced_Sales_Dataset_2000__3[[#This Row],[Delivery Status]]="Pending","Follow Up","Ok")</f>
        <v>Ok</v>
      </c>
      <c r="R911" s="1" t="s">
        <v>26</v>
      </c>
      <c r="S911">
        <f>Excel_Advanced_Sales_Dataset_2000__3[[#This Row],[Quantity]]*Excel_Advanced_Sales_Dataset_2000__3[[#This Row],[Unit Price]]*Excel_Advanced_Sales_Dataset_2000__3[[#This Row],[Discount %]]/100</f>
        <v>800.01279999999997</v>
      </c>
      <c r="T911" s="4">
        <f>Excel_Advanced_Sales_Dataset_2000__3[[#This Row],[Quantity]]*Excel_Advanced_Sales_Dataset_2000__3[[#This Row],[Unit Price]]-Excel_Advanced_Sales_Dataset_2000__3[[#This Row],[Discount Amount]]</f>
        <v>79201.267200000002</v>
      </c>
    </row>
    <row r="912" spans="1:20" x14ac:dyDescent="0.25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>
        <v>5</v>
      </c>
      <c r="J912" s="4">
        <v>7839.33</v>
      </c>
      <c r="K912" s="6">
        <v>17.88</v>
      </c>
      <c r="L912" s="4">
        <v>32188.29</v>
      </c>
      <c r="M912" s="4" t="str" cm="1">
        <f t="array" ref="M912">IF(Excel_Advanced_Sales_Dataset_2000__3[[#This Row],[Total Sales]]&gt;50000,{"Yes"},{"No"})</f>
        <v>No</v>
      </c>
      <c r="N912" s="5">
        <v>46297</v>
      </c>
      <c r="O912" s="1" t="s">
        <v>45</v>
      </c>
      <c r="P912" t="s">
        <v>35</v>
      </c>
      <c r="Q912" t="str">
        <f>IF(Excel_Advanced_Sales_Dataset_2000__3[[#This Row],[Delivery Status]]="Pending","Follow Up","Ok")</f>
        <v>Ok</v>
      </c>
      <c r="R912" s="1" t="s">
        <v>53</v>
      </c>
      <c r="S912">
        <f>Excel_Advanced_Sales_Dataset_2000__3[[#This Row],[Quantity]]*Excel_Advanced_Sales_Dataset_2000__3[[#This Row],[Unit Price]]*Excel_Advanced_Sales_Dataset_2000__3[[#This Row],[Discount %]]/100</f>
        <v>7008.3610199999994</v>
      </c>
      <c r="T912" s="4">
        <f>Excel_Advanced_Sales_Dataset_2000__3[[#This Row],[Quantity]]*Excel_Advanced_Sales_Dataset_2000__3[[#This Row],[Unit Price]]-Excel_Advanced_Sales_Dataset_2000__3[[#This Row],[Discount Amount]]</f>
        <v>32188.288980000001</v>
      </c>
    </row>
    <row r="913" spans="1:20" x14ac:dyDescent="0.25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>
        <v>17</v>
      </c>
      <c r="J913" s="4">
        <v>34826.33</v>
      </c>
      <c r="K913" s="6">
        <v>6.16</v>
      </c>
      <c r="L913" s="4">
        <v>555577.48</v>
      </c>
      <c r="M913" s="4" t="str" cm="1">
        <f t="array" ref="M913">IF(Excel_Advanced_Sales_Dataset_2000__3[[#This Row],[Total Sales]]&gt;50000,{"Yes"},{"No"})</f>
        <v>Yes</v>
      </c>
      <c r="N913" s="5">
        <v>46169</v>
      </c>
      <c r="O913" s="1" t="s">
        <v>68</v>
      </c>
      <c r="P913" t="s">
        <v>35</v>
      </c>
      <c r="Q913" t="str">
        <f>IF(Excel_Advanced_Sales_Dataset_2000__3[[#This Row],[Delivery Status]]="Pending","Follow Up","Ok")</f>
        <v>Ok</v>
      </c>
      <c r="R913" s="1" t="s">
        <v>26</v>
      </c>
      <c r="S913">
        <f>Excel_Advanced_Sales_Dataset_2000__3[[#This Row],[Quantity]]*Excel_Advanced_Sales_Dataset_2000__3[[#This Row],[Unit Price]]*Excel_Advanced_Sales_Dataset_2000__3[[#This Row],[Discount %]]/100</f>
        <v>36470.132775999999</v>
      </c>
      <c r="T913" s="4">
        <f>Excel_Advanced_Sales_Dataset_2000__3[[#This Row],[Quantity]]*Excel_Advanced_Sales_Dataset_2000__3[[#This Row],[Unit Price]]-Excel_Advanced_Sales_Dataset_2000__3[[#This Row],[Discount Amount]]</f>
        <v>555577.47722400003</v>
      </c>
    </row>
    <row r="914" spans="1:20" x14ac:dyDescent="0.25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>
        <v>30</v>
      </c>
      <c r="J914" s="4">
        <v>27152.880000000001</v>
      </c>
      <c r="K914" s="6">
        <v>7.84</v>
      </c>
      <c r="L914" s="4">
        <v>750722.83</v>
      </c>
      <c r="M914" s="4" t="str" cm="1">
        <f t="array" ref="M914">IF(Excel_Advanced_Sales_Dataset_2000__3[[#This Row],[Total Sales]]&gt;50000,{"Yes"},{"No"})</f>
        <v>Yes</v>
      </c>
      <c r="N914" s="5">
        <v>46124</v>
      </c>
      <c r="O914" s="1" t="s">
        <v>45</v>
      </c>
      <c r="P914" t="s">
        <v>35</v>
      </c>
      <c r="Q914" t="str">
        <f>IF(Excel_Advanced_Sales_Dataset_2000__3[[#This Row],[Delivery Status]]="Pending","Follow Up","Ok")</f>
        <v>Ok</v>
      </c>
      <c r="R914" s="1" t="s">
        <v>26</v>
      </c>
      <c r="S914">
        <f>Excel_Advanced_Sales_Dataset_2000__3[[#This Row],[Quantity]]*Excel_Advanced_Sales_Dataset_2000__3[[#This Row],[Unit Price]]*Excel_Advanced_Sales_Dataset_2000__3[[#This Row],[Discount %]]/100</f>
        <v>63863.573759999999</v>
      </c>
      <c r="T914" s="4">
        <f>Excel_Advanced_Sales_Dataset_2000__3[[#This Row],[Quantity]]*Excel_Advanced_Sales_Dataset_2000__3[[#This Row],[Unit Price]]-Excel_Advanced_Sales_Dataset_2000__3[[#This Row],[Discount Amount]]</f>
        <v>750722.82624000008</v>
      </c>
    </row>
    <row r="915" spans="1:20" x14ac:dyDescent="0.25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>
        <v>41</v>
      </c>
      <c r="J915" s="4">
        <v>13775.89</v>
      </c>
      <c r="K915" s="6">
        <v>18.22</v>
      </c>
      <c r="L915" s="4">
        <v>461902.84</v>
      </c>
      <c r="M915" s="4" t="str" cm="1">
        <f t="array" ref="M915">IF(Excel_Advanced_Sales_Dataset_2000__3[[#This Row],[Total Sales]]&gt;50000,{"Yes"},{"No"})</f>
        <v>Yes</v>
      </c>
      <c r="N915" s="5">
        <v>46101</v>
      </c>
      <c r="O915" s="1" t="s">
        <v>58</v>
      </c>
      <c r="P915" t="s">
        <v>35</v>
      </c>
      <c r="Q915" t="str">
        <f>IF(Excel_Advanced_Sales_Dataset_2000__3[[#This Row],[Delivery Status]]="Pending","Follow Up","Ok")</f>
        <v>Ok</v>
      </c>
      <c r="R915" s="1" t="s">
        <v>53</v>
      </c>
      <c r="S915">
        <f>Excel_Advanced_Sales_Dataset_2000__3[[#This Row],[Quantity]]*Excel_Advanced_Sales_Dataset_2000__3[[#This Row],[Unit Price]]*Excel_Advanced_Sales_Dataset_2000__3[[#This Row],[Discount %]]/100</f>
        <v>102908.65347799999</v>
      </c>
      <c r="T915" s="4">
        <f>Excel_Advanced_Sales_Dataset_2000__3[[#This Row],[Quantity]]*Excel_Advanced_Sales_Dataset_2000__3[[#This Row],[Unit Price]]-Excel_Advanced_Sales_Dataset_2000__3[[#This Row],[Discount Amount]]</f>
        <v>461902.83652200003</v>
      </c>
    </row>
    <row r="916" spans="1:20" x14ac:dyDescent="0.25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>
        <v>7</v>
      </c>
      <c r="J916" s="4">
        <v>42714.34</v>
      </c>
      <c r="K916" s="6">
        <v>14.7</v>
      </c>
      <c r="L916" s="4">
        <v>255047.32</v>
      </c>
      <c r="M916" s="4" t="str" cm="1">
        <f t="array" ref="M916">IF(Excel_Advanced_Sales_Dataset_2000__3[[#This Row],[Total Sales]]&gt;50000,{"Yes"},{"No"})</f>
        <v>Yes</v>
      </c>
      <c r="N916" s="5">
        <v>46253</v>
      </c>
      <c r="O916" s="1" t="s">
        <v>58</v>
      </c>
      <c r="P916" t="s">
        <v>35</v>
      </c>
      <c r="Q916" t="str">
        <f>IF(Excel_Advanced_Sales_Dataset_2000__3[[#This Row],[Delivery Status]]="Pending","Follow Up","Ok")</f>
        <v>Ok</v>
      </c>
      <c r="R916" s="1" t="s">
        <v>36</v>
      </c>
      <c r="S916">
        <f>Excel_Advanced_Sales_Dataset_2000__3[[#This Row],[Quantity]]*Excel_Advanced_Sales_Dataset_2000__3[[#This Row],[Unit Price]]*Excel_Advanced_Sales_Dataset_2000__3[[#This Row],[Discount %]]/100</f>
        <v>43953.05586</v>
      </c>
      <c r="T916" s="4">
        <f>Excel_Advanced_Sales_Dataset_2000__3[[#This Row],[Quantity]]*Excel_Advanced_Sales_Dataset_2000__3[[#This Row],[Unit Price]]-Excel_Advanced_Sales_Dataset_2000__3[[#This Row],[Discount Amount]]</f>
        <v>255047.32414000001</v>
      </c>
    </row>
    <row r="917" spans="1:20" x14ac:dyDescent="0.25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>
        <v>42</v>
      </c>
      <c r="J917" s="4">
        <v>31855.98</v>
      </c>
      <c r="K917" s="6">
        <v>19.03</v>
      </c>
      <c r="L917" s="4">
        <v>1083339.05</v>
      </c>
      <c r="M917" s="4" t="str" cm="1">
        <f t="array" ref="M917">IF(Excel_Advanced_Sales_Dataset_2000__3[[#This Row],[Total Sales]]&gt;50000,{"Yes"},{"No"})</f>
        <v>Yes</v>
      </c>
      <c r="N917" s="5">
        <v>46206</v>
      </c>
      <c r="O917" s="1" t="s">
        <v>113</v>
      </c>
      <c r="P917" t="s">
        <v>59</v>
      </c>
      <c r="Q917" t="str">
        <f>IF(Excel_Advanced_Sales_Dataset_2000__3[[#This Row],[Delivery Status]]="Pending","Follow Up","Ok")</f>
        <v>Ok</v>
      </c>
      <c r="R917" s="1" t="s">
        <v>53</v>
      </c>
      <c r="S917">
        <f>Excel_Advanced_Sales_Dataset_2000__3[[#This Row],[Quantity]]*Excel_Advanced_Sales_Dataset_2000__3[[#This Row],[Unit Price]]*Excel_Advanced_Sales_Dataset_2000__3[[#This Row],[Discount %]]/100</f>
        <v>254612.105748</v>
      </c>
      <c r="T917" s="4">
        <f>Excel_Advanced_Sales_Dataset_2000__3[[#This Row],[Quantity]]*Excel_Advanced_Sales_Dataset_2000__3[[#This Row],[Unit Price]]-Excel_Advanced_Sales_Dataset_2000__3[[#This Row],[Discount Amount]]</f>
        <v>1083339.0542519998</v>
      </c>
    </row>
    <row r="918" spans="1:20" x14ac:dyDescent="0.25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>
        <v>28</v>
      </c>
      <c r="J918" s="4">
        <v>30457.18</v>
      </c>
      <c r="K918" s="6">
        <v>1.88</v>
      </c>
      <c r="L918" s="4">
        <v>836768.38</v>
      </c>
      <c r="M918" s="4" t="str" cm="1">
        <f t="array" ref="M918">IF(Excel_Advanced_Sales_Dataset_2000__3[[#This Row],[Total Sales]]&gt;50000,{"Yes"},{"No"})</f>
        <v>Yes</v>
      </c>
      <c r="N918" s="5">
        <v>46299</v>
      </c>
      <c r="O918" s="1" t="s">
        <v>24</v>
      </c>
      <c r="P918" t="s">
        <v>35</v>
      </c>
      <c r="Q918" t="str">
        <f>IF(Excel_Advanced_Sales_Dataset_2000__3[[#This Row],[Delivery Status]]="Pending","Follow Up","Ok")</f>
        <v>Ok</v>
      </c>
      <c r="R918" s="1" t="s">
        <v>53</v>
      </c>
      <c r="S918">
        <f>Excel_Advanced_Sales_Dataset_2000__3[[#This Row],[Quantity]]*Excel_Advanced_Sales_Dataset_2000__3[[#This Row],[Unit Price]]*Excel_Advanced_Sales_Dataset_2000__3[[#This Row],[Discount %]]/100</f>
        <v>16032.659551999999</v>
      </c>
      <c r="T918" s="4">
        <f>Excel_Advanced_Sales_Dataset_2000__3[[#This Row],[Quantity]]*Excel_Advanced_Sales_Dataset_2000__3[[#This Row],[Unit Price]]-Excel_Advanced_Sales_Dataset_2000__3[[#This Row],[Discount Amount]]</f>
        <v>836768.38044800004</v>
      </c>
    </row>
    <row r="919" spans="1:20" x14ac:dyDescent="0.25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>
        <v>45</v>
      </c>
      <c r="J919" s="4">
        <v>34471.81</v>
      </c>
      <c r="K919" s="6">
        <v>0.5</v>
      </c>
      <c r="L919" s="4">
        <v>1543475.29</v>
      </c>
      <c r="M919" s="4" t="str" cm="1">
        <f t="array" ref="M919">IF(Excel_Advanced_Sales_Dataset_2000__3[[#This Row],[Total Sales]]&gt;50000,{"Yes"},{"No"})</f>
        <v>Yes</v>
      </c>
      <c r="N919" s="5">
        <v>46090</v>
      </c>
      <c r="O919" s="1" t="s">
        <v>45</v>
      </c>
      <c r="P919" t="s">
        <v>35</v>
      </c>
      <c r="Q919" t="str">
        <f>IF(Excel_Advanced_Sales_Dataset_2000__3[[#This Row],[Delivery Status]]="Pending","Follow Up","Ok")</f>
        <v>Ok</v>
      </c>
      <c r="R919" s="1" t="s">
        <v>36</v>
      </c>
      <c r="S919">
        <f>Excel_Advanced_Sales_Dataset_2000__3[[#This Row],[Quantity]]*Excel_Advanced_Sales_Dataset_2000__3[[#This Row],[Unit Price]]*Excel_Advanced_Sales_Dataset_2000__3[[#This Row],[Discount %]]/100</f>
        <v>7756.1572500000002</v>
      </c>
      <c r="T919" s="4">
        <f>Excel_Advanced_Sales_Dataset_2000__3[[#This Row],[Quantity]]*Excel_Advanced_Sales_Dataset_2000__3[[#This Row],[Unit Price]]-Excel_Advanced_Sales_Dataset_2000__3[[#This Row],[Discount Amount]]</f>
        <v>1543475.29275</v>
      </c>
    </row>
    <row r="920" spans="1:20" x14ac:dyDescent="0.25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>
        <v>28</v>
      </c>
      <c r="J920" s="4">
        <v>17556.150000000001</v>
      </c>
      <c r="K920" s="6">
        <v>2.5099999999999998</v>
      </c>
      <c r="L920" s="4">
        <v>479233.74</v>
      </c>
      <c r="M920" s="4" t="str" cm="1">
        <f t="array" ref="M920">IF(Excel_Advanced_Sales_Dataset_2000__3[[#This Row],[Total Sales]]&gt;50000,{"Yes"},{"No"})</f>
        <v>Yes</v>
      </c>
      <c r="N920" s="5">
        <v>46139</v>
      </c>
      <c r="O920" s="1" t="s">
        <v>68</v>
      </c>
      <c r="P920" t="s">
        <v>35</v>
      </c>
      <c r="Q920" t="str">
        <f>IF(Excel_Advanced_Sales_Dataset_2000__3[[#This Row],[Delivery Status]]="Pending","Follow Up","Ok")</f>
        <v>Ok</v>
      </c>
      <c r="R920" s="1" t="s">
        <v>26</v>
      </c>
      <c r="S920">
        <f>Excel_Advanced_Sales_Dataset_2000__3[[#This Row],[Quantity]]*Excel_Advanced_Sales_Dataset_2000__3[[#This Row],[Unit Price]]*Excel_Advanced_Sales_Dataset_2000__3[[#This Row],[Discount %]]/100</f>
        <v>12338.462220000001</v>
      </c>
      <c r="T920" s="4">
        <f>Excel_Advanced_Sales_Dataset_2000__3[[#This Row],[Quantity]]*Excel_Advanced_Sales_Dataset_2000__3[[#This Row],[Unit Price]]-Excel_Advanced_Sales_Dataset_2000__3[[#This Row],[Discount Amount]]</f>
        <v>479233.73778000008</v>
      </c>
    </row>
    <row r="921" spans="1:20" x14ac:dyDescent="0.25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>
        <v>48</v>
      </c>
      <c r="J921" s="4">
        <v>47109.07</v>
      </c>
      <c r="K921" s="6">
        <v>11.21</v>
      </c>
      <c r="L921" s="4">
        <v>2007750.88</v>
      </c>
      <c r="M921" s="4" t="str" cm="1">
        <f t="array" ref="M921">IF(Excel_Advanced_Sales_Dataset_2000__3[[#This Row],[Total Sales]]&gt;50000,{"Yes"},{"No"})</f>
        <v>Yes</v>
      </c>
      <c r="N921" s="5">
        <v>46314</v>
      </c>
      <c r="O921" s="1" t="s">
        <v>58</v>
      </c>
      <c r="P921" t="s">
        <v>35</v>
      </c>
      <c r="Q921" t="str">
        <f>IF(Excel_Advanced_Sales_Dataset_2000__3[[#This Row],[Delivery Status]]="Pending","Follow Up","Ok")</f>
        <v>Ok</v>
      </c>
      <c r="R921" s="1" t="s">
        <v>26</v>
      </c>
      <c r="S921">
        <f>Excel_Advanced_Sales_Dataset_2000__3[[#This Row],[Quantity]]*Excel_Advanced_Sales_Dataset_2000__3[[#This Row],[Unit Price]]*Excel_Advanced_Sales_Dataset_2000__3[[#This Row],[Discount %]]/100</f>
        <v>253484.48385600001</v>
      </c>
      <c r="T921" s="4">
        <f>Excel_Advanced_Sales_Dataset_2000__3[[#This Row],[Quantity]]*Excel_Advanced_Sales_Dataset_2000__3[[#This Row],[Unit Price]]-Excel_Advanced_Sales_Dataset_2000__3[[#This Row],[Discount Amount]]</f>
        <v>2007750.8761439999</v>
      </c>
    </row>
    <row r="922" spans="1:20" x14ac:dyDescent="0.25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>
        <v>8</v>
      </c>
      <c r="J922" s="4">
        <v>17181.43</v>
      </c>
      <c r="K922" s="6">
        <v>11.22</v>
      </c>
      <c r="L922" s="4">
        <v>122029.39</v>
      </c>
      <c r="M922" s="4" t="str" cm="1">
        <f t="array" ref="M922">IF(Excel_Advanced_Sales_Dataset_2000__3[[#This Row],[Total Sales]]&gt;50000,{"Yes"},{"No"})</f>
        <v>Yes</v>
      </c>
      <c r="N922" s="5">
        <v>46253</v>
      </c>
      <c r="O922" s="1" t="s">
        <v>24</v>
      </c>
      <c r="P922" t="s">
        <v>35</v>
      </c>
      <c r="Q922" t="str">
        <f>IF(Excel_Advanced_Sales_Dataset_2000__3[[#This Row],[Delivery Status]]="Pending","Follow Up","Ok")</f>
        <v>Ok</v>
      </c>
      <c r="R922" s="1" t="s">
        <v>26</v>
      </c>
      <c r="S922">
        <f>Excel_Advanced_Sales_Dataset_2000__3[[#This Row],[Quantity]]*Excel_Advanced_Sales_Dataset_2000__3[[#This Row],[Unit Price]]*Excel_Advanced_Sales_Dataset_2000__3[[#This Row],[Discount %]]/100</f>
        <v>15422.051568000003</v>
      </c>
      <c r="T922" s="4">
        <f>Excel_Advanced_Sales_Dataset_2000__3[[#This Row],[Quantity]]*Excel_Advanced_Sales_Dataset_2000__3[[#This Row],[Unit Price]]-Excel_Advanced_Sales_Dataset_2000__3[[#This Row],[Discount Amount]]</f>
        <v>122029.38843200001</v>
      </c>
    </row>
    <row r="923" spans="1:20" x14ac:dyDescent="0.25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>
        <v>9</v>
      </c>
      <c r="J923" s="4">
        <v>31020.13</v>
      </c>
      <c r="K923" s="6">
        <v>15.26</v>
      </c>
      <c r="L923" s="4">
        <v>236578.12</v>
      </c>
      <c r="M923" s="4" t="str" cm="1">
        <f t="array" ref="M923">IF(Excel_Advanced_Sales_Dataset_2000__3[[#This Row],[Total Sales]]&gt;50000,{"Yes"},{"No"})</f>
        <v>Yes</v>
      </c>
      <c r="N923" s="5">
        <v>46141</v>
      </c>
      <c r="O923" s="1" t="s">
        <v>113</v>
      </c>
      <c r="P923" t="s">
        <v>35</v>
      </c>
      <c r="Q923" t="str">
        <f>IF(Excel_Advanced_Sales_Dataset_2000__3[[#This Row],[Delivery Status]]="Pending","Follow Up","Ok")</f>
        <v>Ok</v>
      </c>
      <c r="R923" s="1" t="s">
        <v>26</v>
      </c>
      <c r="S923">
        <f>Excel_Advanced_Sales_Dataset_2000__3[[#This Row],[Quantity]]*Excel_Advanced_Sales_Dataset_2000__3[[#This Row],[Unit Price]]*Excel_Advanced_Sales_Dataset_2000__3[[#This Row],[Discount %]]/100</f>
        <v>42603.046541999996</v>
      </c>
      <c r="T923" s="4">
        <f>Excel_Advanced_Sales_Dataset_2000__3[[#This Row],[Quantity]]*Excel_Advanced_Sales_Dataset_2000__3[[#This Row],[Unit Price]]-Excel_Advanced_Sales_Dataset_2000__3[[#This Row],[Discount Amount]]</f>
        <v>236578.12345799999</v>
      </c>
    </row>
    <row r="924" spans="1:20" x14ac:dyDescent="0.25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>
        <v>14</v>
      </c>
      <c r="J924" s="4">
        <v>43526.27</v>
      </c>
      <c r="K924" s="6">
        <v>14.75</v>
      </c>
      <c r="L924" s="4">
        <v>519486.03</v>
      </c>
      <c r="M924" s="4" t="str" cm="1">
        <f t="array" ref="M924">IF(Excel_Advanced_Sales_Dataset_2000__3[[#This Row],[Total Sales]]&gt;50000,{"Yes"},{"No"})</f>
        <v>Yes</v>
      </c>
      <c r="N924" s="5">
        <v>46184</v>
      </c>
      <c r="O924" s="1" t="s">
        <v>58</v>
      </c>
      <c r="P924" t="s">
        <v>35</v>
      </c>
      <c r="Q924" t="str">
        <f>IF(Excel_Advanced_Sales_Dataset_2000__3[[#This Row],[Delivery Status]]="Pending","Follow Up","Ok")</f>
        <v>Ok</v>
      </c>
      <c r="R924" s="1" t="s">
        <v>26</v>
      </c>
      <c r="S924">
        <f>Excel_Advanced_Sales_Dataset_2000__3[[#This Row],[Quantity]]*Excel_Advanced_Sales_Dataset_2000__3[[#This Row],[Unit Price]]*Excel_Advanced_Sales_Dataset_2000__3[[#This Row],[Discount %]]/100</f>
        <v>89881.747549999985</v>
      </c>
      <c r="T924" s="4">
        <f>Excel_Advanced_Sales_Dataset_2000__3[[#This Row],[Quantity]]*Excel_Advanced_Sales_Dataset_2000__3[[#This Row],[Unit Price]]-Excel_Advanced_Sales_Dataset_2000__3[[#This Row],[Discount Amount]]</f>
        <v>519486.03244999994</v>
      </c>
    </row>
    <row r="925" spans="1:20" x14ac:dyDescent="0.25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>
        <v>33</v>
      </c>
      <c r="J925" s="4">
        <v>17168.82</v>
      </c>
      <c r="K925" s="6">
        <v>7.43</v>
      </c>
      <c r="L925" s="4">
        <v>524474.82999999996</v>
      </c>
      <c r="M925" s="4" t="str" cm="1">
        <f t="array" ref="M925">IF(Excel_Advanced_Sales_Dataset_2000__3[[#This Row],[Total Sales]]&gt;50000,{"Yes"},{"No"})</f>
        <v>Yes</v>
      </c>
      <c r="N925" s="5">
        <v>46190</v>
      </c>
      <c r="O925" s="1" t="s">
        <v>24</v>
      </c>
      <c r="P925" t="s">
        <v>35</v>
      </c>
      <c r="Q925" t="str">
        <f>IF(Excel_Advanced_Sales_Dataset_2000__3[[#This Row],[Delivery Status]]="Pending","Follow Up","Ok")</f>
        <v>Ok</v>
      </c>
      <c r="R925" s="1" t="s">
        <v>53</v>
      </c>
      <c r="S925">
        <f>Excel_Advanced_Sales_Dataset_2000__3[[#This Row],[Quantity]]*Excel_Advanced_Sales_Dataset_2000__3[[#This Row],[Unit Price]]*Excel_Advanced_Sales_Dataset_2000__3[[#This Row],[Discount %]]/100</f>
        <v>42096.229757999994</v>
      </c>
      <c r="T925" s="4">
        <f>Excel_Advanced_Sales_Dataset_2000__3[[#This Row],[Quantity]]*Excel_Advanced_Sales_Dataset_2000__3[[#This Row],[Unit Price]]-Excel_Advanced_Sales_Dataset_2000__3[[#This Row],[Discount Amount]]</f>
        <v>524474.83024199994</v>
      </c>
    </row>
    <row r="926" spans="1:20" x14ac:dyDescent="0.25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>
        <v>42</v>
      </c>
      <c r="J926" s="4">
        <v>42851.35</v>
      </c>
      <c r="K926" s="6">
        <v>7.52</v>
      </c>
      <c r="L926" s="4">
        <v>1664415</v>
      </c>
      <c r="M926" s="4" t="str" cm="1">
        <f t="array" ref="M926">IF(Excel_Advanced_Sales_Dataset_2000__3[[#This Row],[Total Sales]]&gt;50000,{"Yes"},{"No"})</f>
        <v>Yes</v>
      </c>
      <c r="N926" s="5">
        <v>46204</v>
      </c>
      <c r="O926" s="1" t="s">
        <v>113</v>
      </c>
      <c r="P926" t="s">
        <v>35</v>
      </c>
      <c r="Q926" t="str">
        <f>IF(Excel_Advanced_Sales_Dataset_2000__3[[#This Row],[Delivery Status]]="Pending","Follow Up","Ok")</f>
        <v>Ok</v>
      </c>
      <c r="R926" s="1" t="s">
        <v>26</v>
      </c>
      <c r="S926">
        <f>Excel_Advanced_Sales_Dataset_2000__3[[#This Row],[Quantity]]*Excel_Advanced_Sales_Dataset_2000__3[[#This Row],[Unit Price]]*Excel_Advanced_Sales_Dataset_2000__3[[#This Row],[Discount %]]/100</f>
        <v>135341.70384</v>
      </c>
      <c r="T926" s="4">
        <f>Excel_Advanced_Sales_Dataset_2000__3[[#This Row],[Quantity]]*Excel_Advanced_Sales_Dataset_2000__3[[#This Row],[Unit Price]]-Excel_Advanced_Sales_Dataset_2000__3[[#This Row],[Discount Amount]]</f>
        <v>1664414.9961599999</v>
      </c>
    </row>
    <row r="927" spans="1:20" x14ac:dyDescent="0.25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>
        <v>30</v>
      </c>
      <c r="J927" s="4">
        <v>31418.84</v>
      </c>
      <c r="K927" s="6">
        <v>0.96</v>
      </c>
      <c r="L927" s="4">
        <v>933516.57</v>
      </c>
      <c r="M927" s="4" t="str" cm="1">
        <f t="array" ref="M927">IF(Excel_Advanced_Sales_Dataset_2000__3[[#This Row],[Total Sales]]&gt;50000,{"Yes"},{"No"})</f>
        <v>Yes</v>
      </c>
      <c r="N927" s="5">
        <v>46318</v>
      </c>
      <c r="O927" s="1" t="s">
        <v>68</v>
      </c>
      <c r="P927" t="s">
        <v>25</v>
      </c>
      <c r="Q927" t="str">
        <f>IF(Excel_Advanced_Sales_Dataset_2000__3[[#This Row],[Delivery Status]]="Pending","Follow Up","Ok")</f>
        <v>Follow Up</v>
      </c>
      <c r="R927" s="1" t="s">
        <v>53</v>
      </c>
      <c r="S927">
        <f>Excel_Advanced_Sales_Dataset_2000__3[[#This Row],[Quantity]]*Excel_Advanced_Sales_Dataset_2000__3[[#This Row],[Unit Price]]*Excel_Advanced_Sales_Dataset_2000__3[[#This Row],[Discount %]]/100</f>
        <v>9048.6259199999986</v>
      </c>
      <c r="T927" s="4">
        <f>Excel_Advanced_Sales_Dataset_2000__3[[#This Row],[Quantity]]*Excel_Advanced_Sales_Dataset_2000__3[[#This Row],[Unit Price]]-Excel_Advanced_Sales_Dataset_2000__3[[#This Row],[Discount Amount]]</f>
        <v>933516.57407999993</v>
      </c>
    </row>
    <row r="928" spans="1:20" x14ac:dyDescent="0.25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>
        <v>33</v>
      </c>
      <c r="J928" s="4">
        <v>1984.91</v>
      </c>
      <c r="K928" s="6">
        <v>10.050000000000001</v>
      </c>
      <c r="L928" s="4">
        <v>58919.08</v>
      </c>
      <c r="M928" s="4" t="str" cm="1">
        <f t="array" ref="M928">IF(Excel_Advanced_Sales_Dataset_2000__3[[#This Row],[Total Sales]]&gt;50000,{"Yes"},{"No"})</f>
        <v>Yes</v>
      </c>
      <c r="N928" s="5">
        <v>46044</v>
      </c>
      <c r="O928" s="1" t="s">
        <v>113</v>
      </c>
      <c r="P928" t="s">
        <v>35</v>
      </c>
      <c r="Q928" t="str">
        <f>IF(Excel_Advanced_Sales_Dataset_2000__3[[#This Row],[Delivery Status]]="Pending","Follow Up","Ok")</f>
        <v>Ok</v>
      </c>
      <c r="R928" s="1" t="s">
        <v>53</v>
      </c>
      <c r="S928">
        <f>Excel_Advanced_Sales_Dataset_2000__3[[#This Row],[Quantity]]*Excel_Advanced_Sales_Dataset_2000__3[[#This Row],[Unit Price]]*Excel_Advanced_Sales_Dataset_2000__3[[#This Row],[Discount %]]/100</f>
        <v>6582.9540150000012</v>
      </c>
      <c r="T928" s="4">
        <f>Excel_Advanced_Sales_Dataset_2000__3[[#This Row],[Quantity]]*Excel_Advanced_Sales_Dataset_2000__3[[#This Row],[Unit Price]]-Excel_Advanced_Sales_Dataset_2000__3[[#This Row],[Discount Amount]]</f>
        <v>58919.075985000003</v>
      </c>
    </row>
    <row r="929" spans="1:20" x14ac:dyDescent="0.25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>
        <v>4</v>
      </c>
      <c r="J929" s="4">
        <v>1307.3399999999999</v>
      </c>
      <c r="K929" s="6">
        <v>12.87</v>
      </c>
      <c r="L929" s="4">
        <v>4556.34</v>
      </c>
      <c r="M929" s="4" t="str" cm="1">
        <f t="array" ref="M929">IF(Excel_Advanced_Sales_Dataset_2000__3[[#This Row],[Total Sales]]&gt;50000,{"Yes"},{"No"})</f>
        <v>No</v>
      </c>
      <c r="N929" s="5">
        <v>46113</v>
      </c>
      <c r="O929" s="1" t="s">
        <v>24</v>
      </c>
      <c r="P929" t="s">
        <v>35</v>
      </c>
      <c r="Q929" t="str">
        <f>IF(Excel_Advanced_Sales_Dataset_2000__3[[#This Row],[Delivery Status]]="Pending","Follow Up","Ok")</f>
        <v>Ok</v>
      </c>
      <c r="R929" s="1" t="s">
        <v>36</v>
      </c>
      <c r="S929">
        <f>Excel_Advanced_Sales_Dataset_2000__3[[#This Row],[Quantity]]*Excel_Advanced_Sales_Dataset_2000__3[[#This Row],[Unit Price]]*Excel_Advanced_Sales_Dataset_2000__3[[#This Row],[Discount %]]/100</f>
        <v>673.01863199999991</v>
      </c>
      <c r="T929" s="4">
        <f>Excel_Advanced_Sales_Dataset_2000__3[[#This Row],[Quantity]]*Excel_Advanced_Sales_Dataset_2000__3[[#This Row],[Unit Price]]-Excel_Advanced_Sales_Dataset_2000__3[[#This Row],[Discount Amount]]</f>
        <v>4556.3413679999994</v>
      </c>
    </row>
    <row r="930" spans="1:20" x14ac:dyDescent="0.25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>
        <v>17</v>
      </c>
      <c r="J930" s="4">
        <v>25565.71</v>
      </c>
      <c r="K930" s="6">
        <v>14.54</v>
      </c>
      <c r="L930" s="4">
        <v>371423.75</v>
      </c>
      <c r="M930" s="4" t="str" cm="1">
        <f t="array" ref="M930">IF(Excel_Advanced_Sales_Dataset_2000__3[[#This Row],[Total Sales]]&gt;50000,{"Yes"},{"No"})</f>
        <v>Yes</v>
      </c>
      <c r="N930" s="5">
        <v>46355</v>
      </c>
      <c r="O930" s="1" t="s">
        <v>113</v>
      </c>
      <c r="P930" t="s">
        <v>35</v>
      </c>
      <c r="Q930" t="str">
        <f>IF(Excel_Advanced_Sales_Dataset_2000__3[[#This Row],[Delivery Status]]="Pending","Follow Up","Ok")</f>
        <v>Ok</v>
      </c>
      <c r="R930" s="1" t="s">
        <v>53</v>
      </c>
      <c r="S930">
        <f>Excel_Advanced_Sales_Dataset_2000__3[[#This Row],[Quantity]]*Excel_Advanced_Sales_Dataset_2000__3[[#This Row],[Unit Price]]*Excel_Advanced_Sales_Dataset_2000__3[[#This Row],[Discount %]]/100</f>
        <v>63193.321977999993</v>
      </c>
      <c r="T930" s="4">
        <f>Excel_Advanced_Sales_Dataset_2000__3[[#This Row],[Quantity]]*Excel_Advanced_Sales_Dataset_2000__3[[#This Row],[Unit Price]]-Excel_Advanced_Sales_Dataset_2000__3[[#This Row],[Discount Amount]]</f>
        <v>371423.74802200001</v>
      </c>
    </row>
    <row r="931" spans="1:20" x14ac:dyDescent="0.25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>
        <v>15</v>
      </c>
      <c r="J931" s="4">
        <v>1437.89</v>
      </c>
      <c r="K931" s="6">
        <v>11.89</v>
      </c>
      <c r="L931" s="4">
        <v>19003.87</v>
      </c>
      <c r="M931" s="4" t="str" cm="1">
        <f t="array" ref="M931">IF(Excel_Advanced_Sales_Dataset_2000__3[[#This Row],[Total Sales]]&gt;50000,{"Yes"},{"No"})</f>
        <v>No</v>
      </c>
      <c r="N931" s="5">
        <v>46191</v>
      </c>
      <c r="O931" s="1" t="s">
        <v>45</v>
      </c>
      <c r="P931" t="s">
        <v>35</v>
      </c>
      <c r="Q931" t="str">
        <f>IF(Excel_Advanced_Sales_Dataset_2000__3[[#This Row],[Delivery Status]]="Pending","Follow Up","Ok")</f>
        <v>Ok</v>
      </c>
      <c r="R931" s="1" t="s">
        <v>36</v>
      </c>
      <c r="S931">
        <f>Excel_Advanced_Sales_Dataset_2000__3[[#This Row],[Quantity]]*Excel_Advanced_Sales_Dataset_2000__3[[#This Row],[Unit Price]]*Excel_Advanced_Sales_Dataset_2000__3[[#This Row],[Discount %]]/100</f>
        <v>2564.4768150000004</v>
      </c>
      <c r="T931" s="4">
        <f>Excel_Advanced_Sales_Dataset_2000__3[[#This Row],[Quantity]]*Excel_Advanced_Sales_Dataset_2000__3[[#This Row],[Unit Price]]-Excel_Advanced_Sales_Dataset_2000__3[[#This Row],[Discount Amount]]</f>
        <v>19003.873185</v>
      </c>
    </row>
    <row r="932" spans="1:20" x14ac:dyDescent="0.25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>
        <v>3</v>
      </c>
      <c r="J932" s="4">
        <v>13996.46</v>
      </c>
      <c r="K932" s="6">
        <v>6.23</v>
      </c>
      <c r="L932" s="4">
        <v>39373.440000000002</v>
      </c>
      <c r="M932" s="4" t="str" cm="1">
        <f t="array" ref="M932">IF(Excel_Advanced_Sales_Dataset_2000__3[[#This Row],[Total Sales]]&gt;50000,{"Yes"},{"No"})</f>
        <v>No</v>
      </c>
      <c r="N932" s="5">
        <v>46083</v>
      </c>
      <c r="O932" s="1" t="s">
        <v>58</v>
      </c>
      <c r="P932" t="s">
        <v>35</v>
      </c>
      <c r="Q932" t="str">
        <f>IF(Excel_Advanced_Sales_Dataset_2000__3[[#This Row],[Delivery Status]]="Pending","Follow Up","Ok")</f>
        <v>Ok</v>
      </c>
      <c r="R932" s="1" t="s">
        <v>53</v>
      </c>
      <c r="S932">
        <f>Excel_Advanced_Sales_Dataset_2000__3[[#This Row],[Quantity]]*Excel_Advanced_Sales_Dataset_2000__3[[#This Row],[Unit Price]]*Excel_Advanced_Sales_Dataset_2000__3[[#This Row],[Discount %]]/100</f>
        <v>2615.9383739999998</v>
      </c>
      <c r="T932" s="4">
        <f>Excel_Advanced_Sales_Dataset_2000__3[[#This Row],[Quantity]]*Excel_Advanced_Sales_Dataset_2000__3[[#This Row],[Unit Price]]-Excel_Advanced_Sales_Dataset_2000__3[[#This Row],[Discount Amount]]</f>
        <v>39373.441626</v>
      </c>
    </row>
    <row r="933" spans="1:20" x14ac:dyDescent="0.25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>
        <v>41</v>
      </c>
      <c r="J933" s="4">
        <v>14315.43</v>
      </c>
      <c r="K933" s="6">
        <v>11.51</v>
      </c>
      <c r="L933" s="4">
        <v>519376.68</v>
      </c>
      <c r="M933" s="4" t="str" cm="1">
        <f t="array" ref="M933">IF(Excel_Advanced_Sales_Dataset_2000__3[[#This Row],[Total Sales]]&gt;50000,{"Yes"},{"No"})</f>
        <v>Yes</v>
      </c>
      <c r="N933" s="5">
        <v>46251</v>
      </c>
      <c r="O933" s="1" t="s">
        <v>68</v>
      </c>
      <c r="P933" t="s">
        <v>35</v>
      </c>
      <c r="Q933" t="str">
        <f>IF(Excel_Advanced_Sales_Dataset_2000__3[[#This Row],[Delivery Status]]="Pending","Follow Up","Ok")</f>
        <v>Ok</v>
      </c>
      <c r="R933" s="1" t="s">
        <v>53</v>
      </c>
      <c r="S933">
        <f>Excel_Advanced_Sales_Dataset_2000__3[[#This Row],[Quantity]]*Excel_Advanced_Sales_Dataset_2000__3[[#This Row],[Unit Price]]*Excel_Advanced_Sales_Dataset_2000__3[[#This Row],[Discount %]]/100</f>
        <v>67555.945712999994</v>
      </c>
      <c r="T933" s="4">
        <f>Excel_Advanced_Sales_Dataset_2000__3[[#This Row],[Quantity]]*Excel_Advanced_Sales_Dataset_2000__3[[#This Row],[Unit Price]]-Excel_Advanced_Sales_Dataset_2000__3[[#This Row],[Discount Amount]]</f>
        <v>519376.68428699998</v>
      </c>
    </row>
    <row r="934" spans="1:20" x14ac:dyDescent="0.25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>
        <v>20</v>
      </c>
      <c r="J934" s="4">
        <v>30763.61</v>
      </c>
      <c r="K934" s="6">
        <v>14.29</v>
      </c>
      <c r="L934" s="4">
        <v>527349.80000000005</v>
      </c>
      <c r="M934" s="4" t="str" cm="1">
        <f t="array" ref="M934">IF(Excel_Advanced_Sales_Dataset_2000__3[[#This Row],[Total Sales]]&gt;50000,{"Yes"},{"No"})</f>
        <v>Yes</v>
      </c>
      <c r="N934" s="5">
        <v>46039</v>
      </c>
      <c r="O934" s="1" t="s">
        <v>58</v>
      </c>
      <c r="P934" t="s">
        <v>35</v>
      </c>
      <c r="Q934" t="str">
        <f>IF(Excel_Advanced_Sales_Dataset_2000__3[[#This Row],[Delivery Status]]="Pending","Follow Up","Ok")</f>
        <v>Ok</v>
      </c>
      <c r="R934" s="1" t="s">
        <v>26</v>
      </c>
      <c r="S934">
        <f>Excel_Advanced_Sales_Dataset_2000__3[[#This Row],[Quantity]]*Excel_Advanced_Sales_Dataset_2000__3[[#This Row],[Unit Price]]*Excel_Advanced_Sales_Dataset_2000__3[[#This Row],[Discount %]]/100</f>
        <v>87922.39737999998</v>
      </c>
      <c r="T934" s="4">
        <f>Excel_Advanced_Sales_Dataset_2000__3[[#This Row],[Quantity]]*Excel_Advanced_Sales_Dataset_2000__3[[#This Row],[Unit Price]]-Excel_Advanced_Sales_Dataset_2000__3[[#This Row],[Discount Amount]]</f>
        <v>527349.80261999997</v>
      </c>
    </row>
    <row r="935" spans="1:20" x14ac:dyDescent="0.25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>
        <v>19</v>
      </c>
      <c r="J935" s="4">
        <v>7092.06</v>
      </c>
      <c r="K935" s="6">
        <v>5.6</v>
      </c>
      <c r="L935" s="4">
        <v>127203.19</v>
      </c>
      <c r="M935" s="4" t="str" cm="1">
        <f t="array" ref="M935">IF(Excel_Advanced_Sales_Dataset_2000__3[[#This Row],[Total Sales]]&gt;50000,{"Yes"},{"No"})</f>
        <v>Yes</v>
      </c>
      <c r="N935" s="5">
        <v>46371</v>
      </c>
      <c r="O935" s="1" t="s">
        <v>68</v>
      </c>
      <c r="P935" t="s">
        <v>35</v>
      </c>
      <c r="Q935" t="str">
        <f>IF(Excel_Advanced_Sales_Dataset_2000__3[[#This Row],[Delivery Status]]="Pending","Follow Up","Ok")</f>
        <v>Ok</v>
      </c>
      <c r="R935" s="1" t="s">
        <v>36</v>
      </c>
      <c r="S935">
        <f>Excel_Advanced_Sales_Dataset_2000__3[[#This Row],[Quantity]]*Excel_Advanced_Sales_Dataset_2000__3[[#This Row],[Unit Price]]*Excel_Advanced_Sales_Dataset_2000__3[[#This Row],[Discount %]]/100</f>
        <v>7545.9518399999997</v>
      </c>
      <c r="T935" s="4">
        <f>Excel_Advanced_Sales_Dataset_2000__3[[#This Row],[Quantity]]*Excel_Advanced_Sales_Dataset_2000__3[[#This Row],[Unit Price]]-Excel_Advanced_Sales_Dataset_2000__3[[#This Row],[Discount Amount]]</f>
        <v>127203.18816000002</v>
      </c>
    </row>
    <row r="936" spans="1:20" x14ac:dyDescent="0.25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>
        <v>23</v>
      </c>
      <c r="J936" s="4">
        <v>11284.87</v>
      </c>
      <c r="K936" s="6">
        <v>2.63</v>
      </c>
      <c r="L936" s="4">
        <v>252725.79</v>
      </c>
      <c r="M936" s="4" t="str" cm="1">
        <f t="array" ref="M936">IF(Excel_Advanced_Sales_Dataset_2000__3[[#This Row],[Total Sales]]&gt;50000,{"Yes"},{"No"})</f>
        <v>Yes</v>
      </c>
      <c r="N936" s="5">
        <v>46129</v>
      </c>
      <c r="O936" s="1" t="s">
        <v>24</v>
      </c>
      <c r="P936" t="s">
        <v>35</v>
      </c>
      <c r="Q936" t="str">
        <f>IF(Excel_Advanced_Sales_Dataset_2000__3[[#This Row],[Delivery Status]]="Pending","Follow Up","Ok")</f>
        <v>Ok</v>
      </c>
      <c r="R936" s="1" t="s">
        <v>26</v>
      </c>
      <c r="S936">
        <f>Excel_Advanced_Sales_Dataset_2000__3[[#This Row],[Quantity]]*Excel_Advanced_Sales_Dataset_2000__3[[#This Row],[Unit Price]]*Excel_Advanced_Sales_Dataset_2000__3[[#This Row],[Discount %]]/100</f>
        <v>6826.2178630000008</v>
      </c>
      <c r="T936" s="4">
        <f>Excel_Advanced_Sales_Dataset_2000__3[[#This Row],[Quantity]]*Excel_Advanced_Sales_Dataset_2000__3[[#This Row],[Unit Price]]-Excel_Advanced_Sales_Dataset_2000__3[[#This Row],[Discount Amount]]</f>
        <v>252725.79213700001</v>
      </c>
    </row>
    <row r="937" spans="1:20" x14ac:dyDescent="0.25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>
        <v>21</v>
      </c>
      <c r="J937" s="4">
        <v>36886.5</v>
      </c>
      <c r="K937" s="6">
        <v>19.02</v>
      </c>
      <c r="L937" s="4">
        <v>627284.43999999994</v>
      </c>
      <c r="M937" s="4" t="str" cm="1">
        <f t="array" ref="M937">IF(Excel_Advanced_Sales_Dataset_2000__3[[#This Row],[Total Sales]]&gt;50000,{"Yes"},{"No"})</f>
        <v>Yes</v>
      </c>
      <c r="N937" s="5">
        <v>46056</v>
      </c>
      <c r="O937" s="1" t="s">
        <v>45</v>
      </c>
      <c r="P937" t="s">
        <v>35</v>
      </c>
      <c r="Q937" t="str">
        <f>IF(Excel_Advanced_Sales_Dataset_2000__3[[#This Row],[Delivery Status]]="Pending","Follow Up","Ok")</f>
        <v>Ok</v>
      </c>
      <c r="R937" s="1" t="s">
        <v>36</v>
      </c>
      <c r="S937">
        <f>Excel_Advanced_Sales_Dataset_2000__3[[#This Row],[Quantity]]*Excel_Advanced_Sales_Dataset_2000__3[[#This Row],[Unit Price]]*Excel_Advanced_Sales_Dataset_2000__3[[#This Row],[Discount %]]/100</f>
        <v>147332.0583</v>
      </c>
      <c r="T937" s="4">
        <f>Excel_Advanced_Sales_Dataset_2000__3[[#This Row],[Quantity]]*Excel_Advanced_Sales_Dataset_2000__3[[#This Row],[Unit Price]]-Excel_Advanced_Sales_Dataset_2000__3[[#This Row],[Discount Amount]]</f>
        <v>627284.44169999997</v>
      </c>
    </row>
    <row r="938" spans="1:20" x14ac:dyDescent="0.25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>
        <v>29</v>
      </c>
      <c r="J938" s="4">
        <v>41532.69</v>
      </c>
      <c r="K938" s="6">
        <v>3.91</v>
      </c>
      <c r="L938" s="4">
        <v>1157354.0900000001</v>
      </c>
      <c r="M938" s="4" t="str" cm="1">
        <f t="array" ref="M938">IF(Excel_Advanced_Sales_Dataset_2000__3[[#This Row],[Total Sales]]&gt;50000,{"Yes"},{"No"})</f>
        <v>Yes</v>
      </c>
      <c r="N938" s="5">
        <v>46214</v>
      </c>
      <c r="O938" s="1" t="s">
        <v>58</v>
      </c>
      <c r="P938" t="s">
        <v>35</v>
      </c>
      <c r="Q938" t="str">
        <f>IF(Excel_Advanced_Sales_Dataset_2000__3[[#This Row],[Delivery Status]]="Pending","Follow Up","Ok")</f>
        <v>Ok</v>
      </c>
      <c r="R938" s="1" t="s">
        <v>36</v>
      </c>
      <c r="S938">
        <f>Excel_Advanced_Sales_Dataset_2000__3[[#This Row],[Quantity]]*Excel_Advanced_Sales_Dataset_2000__3[[#This Row],[Unit Price]]*Excel_Advanced_Sales_Dataset_2000__3[[#This Row],[Discount %]]/100</f>
        <v>47093.917191</v>
      </c>
      <c r="T938" s="4">
        <f>Excel_Advanced_Sales_Dataset_2000__3[[#This Row],[Quantity]]*Excel_Advanced_Sales_Dataset_2000__3[[#This Row],[Unit Price]]-Excel_Advanced_Sales_Dataset_2000__3[[#This Row],[Discount Amount]]</f>
        <v>1157354.0928090001</v>
      </c>
    </row>
    <row r="939" spans="1:20" x14ac:dyDescent="0.25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>
        <v>12</v>
      </c>
      <c r="J939" s="4">
        <v>38153.79</v>
      </c>
      <c r="K939" s="6">
        <v>10.11</v>
      </c>
      <c r="L939" s="4">
        <v>411557.3</v>
      </c>
      <c r="M939" s="4" t="str" cm="1">
        <f t="array" ref="M939">IF(Excel_Advanced_Sales_Dataset_2000__3[[#This Row],[Total Sales]]&gt;50000,{"Yes"},{"No"})</f>
        <v>Yes</v>
      </c>
      <c r="N939" s="5">
        <v>46214</v>
      </c>
      <c r="O939" s="1" t="s">
        <v>68</v>
      </c>
      <c r="P939" t="s">
        <v>35</v>
      </c>
      <c r="Q939" t="str">
        <f>IF(Excel_Advanced_Sales_Dataset_2000__3[[#This Row],[Delivery Status]]="Pending","Follow Up","Ok")</f>
        <v>Ok</v>
      </c>
      <c r="R939" s="1" t="s">
        <v>53</v>
      </c>
      <c r="S939">
        <f>Excel_Advanced_Sales_Dataset_2000__3[[#This Row],[Quantity]]*Excel_Advanced_Sales_Dataset_2000__3[[#This Row],[Unit Price]]*Excel_Advanced_Sales_Dataset_2000__3[[#This Row],[Discount %]]/100</f>
        <v>46288.178027999995</v>
      </c>
      <c r="T939" s="4">
        <f>Excel_Advanced_Sales_Dataset_2000__3[[#This Row],[Quantity]]*Excel_Advanced_Sales_Dataset_2000__3[[#This Row],[Unit Price]]-Excel_Advanced_Sales_Dataset_2000__3[[#This Row],[Discount Amount]]</f>
        <v>411557.30197199999</v>
      </c>
    </row>
    <row r="940" spans="1:20" x14ac:dyDescent="0.25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>
        <v>15</v>
      </c>
      <c r="J940" s="4">
        <v>9086.65</v>
      </c>
      <c r="K940" s="6">
        <v>8.64</v>
      </c>
      <c r="L940" s="4">
        <v>124523.45</v>
      </c>
      <c r="M940" s="4" t="str" cm="1">
        <f t="array" ref="M940">IF(Excel_Advanced_Sales_Dataset_2000__3[[#This Row],[Total Sales]]&gt;50000,{"Yes"},{"No"})</f>
        <v>Yes</v>
      </c>
      <c r="N940" s="5">
        <v>46382</v>
      </c>
      <c r="O940" s="1" t="s">
        <v>24</v>
      </c>
      <c r="P940" t="s">
        <v>25</v>
      </c>
      <c r="Q940" t="str">
        <f>IF(Excel_Advanced_Sales_Dataset_2000__3[[#This Row],[Delivery Status]]="Pending","Follow Up","Ok")</f>
        <v>Follow Up</v>
      </c>
      <c r="R940" s="1" t="s">
        <v>26</v>
      </c>
      <c r="S940">
        <f>Excel_Advanced_Sales_Dataset_2000__3[[#This Row],[Quantity]]*Excel_Advanced_Sales_Dataset_2000__3[[#This Row],[Unit Price]]*Excel_Advanced_Sales_Dataset_2000__3[[#This Row],[Discount %]]/100</f>
        <v>11776.298400000001</v>
      </c>
      <c r="T940" s="4">
        <f>Excel_Advanced_Sales_Dataset_2000__3[[#This Row],[Quantity]]*Excel_Advanced_Sales_Dataset_2000__3[[#This Row],[Unit Price]]-Excel_Advanced_Sales_Dataset_2000__3[[#This Row],[Discount Amount]]</f>
        <v>124523.4516</v>
      </c>
    </row>
    <row r="941" spans="1:20" x14ac:dyDescent="0.25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>
        <v>29</v>
      </c>
      <c r="J941" s="4">
        <v>5110.71</v>
      </c>
      <c r="K941" s="6">
        <v>1.99</v>
      </c>
      <c r="L941" s="4">
        <v>145261.20000000001</v>
      </c>
      <c r="M941" s="4" t="str" cm="1">
        <f t="array" ref="M941">IF(Excel_Advanced_Sales_Dataset_2000__3[[#This Row],[Total Sales]]&gt;50000,{"Yes"},{"No"})</f>
        <v>Yes</v>
      </c>
      <c r="N941" s="5">
        <v>46262</v>
      </c>
      <c r="O941" s="1" t="s">
        <v>45</v>
      </c>
      <c r="P941" t="s">
        <v>25</v>
      </c>
      <c r="Q941" t="str">
        <f>IF(Excel_Advanced_Sales_Dataset_2000__3[[#This Row],[Delivery Status]]="Pending","Follow Up","Ok")</f>
        <v>Follow Up</v>
      </c>
      <c r="R941" s="1" t="s">
        <v>53</v>
      </c>
      <c r="S941">
        <f>Excel_Advanced_Sales_Dataset_2000__3[[#This Row],[Quantity]]*Excel_Advanced_Sales_Dataset_2000__3[[#This Row],[Unit Price]]*Excel_Advanced_Sales_Dataset_2000__3[[#This Row],[Discount %]]/100</f>
        <v>2949.3907409999997</v>
      </c>
      <c r="T941" s="4">
        <f>Excel_Advanced_Sales_Dataset_2000__3[[#This Row],[Quantity]]*Excel_Advanced_Sales_Dataset_2000__3[[#This Row],[Unit Price]]-Excel_Advanced_Sales_Dataset_2000__3[[#This Row],[Discount Amount]]</f>
        <v>145261.19925899999</v>
      </c>
    </row>
    <row r="942" spans="1:20" x14ac:dyDescent="0.25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>
        <v>27</v>
      </c>
      <c r="J942" s="4">
        <v>6840.65</v>
      </c>
      <c r="K942" s="6">
        <v>15.51</v>
      </c>
      <c r="L942" s="4">
        <v>156050.96</v>
      </c>
      <c r="M942" s="4" t="str" cm="1">
        <f t="array" ref="M942">IF(Excel_Advanced_Sales_Dataset_2000__3[[#This Row],[Total Sales]]&gt;50000,{"Yes"},{"No"})</f>
        <v>Yes</v>
      </c>
      <c r="N942" s="5">
        <v>46197</v>
      </c>
      <c r="O942" s="1" t="s">
        <v>68</v>
      </c>
      <c r="P942" t="s">
        <v>35</v>
      </c>
      <c r="Q942" t="str">
        <f>IF(Excel_Advanced_Sales_Dataset_2000__3[[#This Row],[Delivery Status]]="Pending","Follow Up","Ok")</f>
        <v>Ok</v>
      </c>
      <c r="R942" s="1" t="s">
        <v>26</v>
      </c>
      <c r="S942">
        <f>Excel_Advanced_Sales_Dataset_2000__3[[#This Row],[Quantity]]*Excel_Advanced_Sales_Dataset_2000__3[[#This Row],[Unit Price]]*Excel_Advanced_Sales_Dataset_2000__3[[#This Row],[Discount %]]/100</f>
        <v>28646.590004999995</v>
      </c>
      <c r="T942" s="4">
        <f>Excel_Advanced_Sales_Dataset_2000__3[[#This Row],[Quantity]]*Excel_Advanced_Sales_Dataset_2000__3[[#This Row],[Unit Price]]-Excel_Advanced_Sales_Dataset_2000__3[[#This Row],[Discount Amount]]</f>
        <v>156050.95999499998</v>
      </c>
    </row>
    <row r="943" spans="1:20" x14ac:dyDescent="0.25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>
        <v>23</v>
      </c>
      <c r="J943" s="4">
        <v>21806.880000000001</v>
      </c>
      <c r="K943" s="6">
        <v>9.2200000000000006</v>
      </c>
      <c r="L943" s="4">
        <v>455314.57</v>
      </c>
      <c r="M943" s="4" t="str" cm="1">
        <f t="array" ref="M943">IF(Excel_Advanced_Sales_Dataset_2000__3[[#This Row],[Total Sales]]&gt;50000,{"Yes"},{"No"})</f>
        <v>Yes</v>
      </c>
      <c r="N943" s="5">
        <v>46135</v>
      </c>
      <c r="O943" s="1" t="s">
        <v>113</v>
      </c>
      <c r="P943" t="s">
        <v>35</v>
      </c>
      <c r="Q943" t="str">
        <f>IF(Excel_Advanced_Sales_Dataset_2000__3[[#This Row],[Delivery Status]]="Pending","Follow Up","Ok")</f>
        <v>Ok</v>
      </c>
      <c r="R943" s="1" t="s">
        <v>26</v>
      </c>
      <c r="S943">
        <f>Excel_Advanced_Sales_Dataset_2000__3[[#This Row],[Quantity]]*Excel_Advanced_Sales_Dataset_2000__3[[#This Row],[Unit Price]]*Excel_Advanced_Sales_Dataset_2000__3[[#This Row],[Discount %]]/100</f>
        <v>46243.669728000008</v>
      </c>
      <c r="T943" s="4">
        <f>Excel_Advanced_Sales_Dataset_2000__3[[#This Row],[Quantity]]*Excel_Advanced_Sales_Dataset_2000__3[[#This Row],[Unit Price]]-Excel_Advanced_Sales_Dataset_2000__3[[#This Row],[Discount Amount]]</f>
        <v>455314.57027200004</v>
      </c>
    </row>
    <row r="944" spans="1:20" x14ac:dyDescent="0.25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>
        <v>32</v>
      </c>
      <c r="J944" s="4">
        <v>29335.33</v>
      </c>
      <c r="K944" s="6">
        <v>12.3</v>
      </c>
      <c r="L944" s="4">
        <v>823266.7</v>
      </c>
      <c r="M944" s="4" t="str" cm="1">
        <f t="array" ref="M944">IF(Excel_Advanced_Sales_Dataset_2000__3[[#This Row],[Total Sales]]&gt;50000,{"Yes"},{"No"})</f>
        <v>Yes</v>
      </c>
      <c r="N944" s="5">
        <v>46337</v>
      </c>
      <c r="O944" s="1" t="s">
        <v>58</v>
      </c>
      <c r="P944" t="s">
        <v>35</v>
      </c>
      <c r="Q944" t="str">
        <f>IF(Excel_Advanced_Sales_Dataset_2000__3[[#This Row],[Delivery Status]]="Pending","Follow Up","Ok")</f>
        <v>Ok</v>
      </c>
      <c r="R944" s="1" t="s">
        <v>53</v>
      </c>
      <c r="S944">
        <f>Excel_Advanced_Sales_Dataset_2000__3[[#This Row],[Quantity]]*Excel_Advanced_Sales_Dataset_2000__3[[#This Row],[Unit Price]]*Excel_Advanced_Sales_Dataset_2000__3[[#This Row],[Discount %]]/100</f>
        <v>115463.85888000001</v>
      </c>
      <c r="T944" s="4">
        <f>Excel_Advanced_Sales_Dataset_2000__3[[#This Row],[Quantity]]*Excel_Advanced_Sales_Dataset_2000__3[[#This Row],[Unit Price]]-Excel_Advanced_Sales_Dataset_2000__3[[#This Row],[Discount Amount]]</f>
        <v>823266.7011200001</v>
      </c>
    </row>
    <row r="945" spans="1:20" x14ac:dyDescent="0.25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>
        <v>30</v>
      </c>
      <c r="J945" s="4">
        <v>47208.79</v>
      </c>
      <c r="K945" s="6">
        <v>2.89</v>
      </c>
      <c r="L945" s="4">
        <v>1375333.68</v>
      </c>
      <c r="M945" s="4" t="str" cm="1">
        <f t="array" ref="M945">IF(Excel_Advanced_Sales_Dataset_2000__3[[#This Row],[Total Sales]]&gt;50000,{"Yes"},{"No"})</f>
        <v>Yes</v>
      </c>
      <c r="N945" s="5">
        <v>46248</v>
      </c>
      <c r="O945" s="1" t="s">
        <v>113</v>
      </c>
      <c r="P945" t="s">
        <v>35</v>
      </c>
      <c r="Q945" t="str">
        <f>IF(Excel_Advanced_Sales_Dataset_2000__3[[#This Row],[Delivery Status]]="Pending","Follow Up","Ok")</f>
        <v>Ok</v>
      </c>
      <c r="R945" s="1" t="s">
        <v>26</v>
      </c>
      <c r="S945">
        <f>Excel_Advanced_Sales_Dataset_2000__3[[#This Row],[Quantity]]*Excel_Advanced_Sales_Dataset_2000__3[[#This Row],[Unit Price]]*Excel_Advanced_Sales_Dataset_2000__3[[#This Row],[Discount %]]/100</f>
        <v>40930.020929999999</v>
      </c>
      <c r="T945" s="4">
        <f>Excel_Advanced_Sales_Dataset_2000__3[[#This Row],[Quantity]]*Excel_Advanced_Sales_Dataset_2000__3[[#This Row],[Unit Price]]-Excel_Advanced_Sales_Dataset_2000__3[[#This Row],[Discount Amount]]</f>
        <v>1375333.6790700001</v>
      </c>
    </row>
    <row r="946" spans="1:20" x14ac:dyDescent="0.25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>
        <v>2</v>
      </c>
      <c r="J946" s="4">
        <v>1516.95</v>
      </c>
      <c r="K946" s="6">
        <v>6.07</v>
      </c>
      <c r="L946" s="4">
        <v>2849.74</v>
      </c>
      <c r="M946" s="4" t="str" cm="1">
        <f t="array" ref="M946">IF(Excel_Advanced_Sales_Dataset_2000__3[[#This Row],[Total Sales]]&gt;50000,{"Yes"},{"No"})</f>
        <v>No</v>
      </c>
      <c r="N946" s="5">
        <v>46226</v>
      </c>
      <c r="O946" s="1" t="s">
        <v>24</v>
      </c>
      <c r="P946" t="s">
        <v>35</v>
      </c>
      <c r="Q946" t="str">
        <f>IF(Excel_Advanced_Sales_Dataset_2000__3[[#This Row],[Delivery Status]]="Pending","Follow Up","Ok")</f>
        <v>Ok</v>
      </c>
      <c r="R946" s="1" t="s">
        <v>53</v>
      </c>
      <c r="S946">
        <f>Excel_Advanced_Sales_Dataset_2000__3[[#This Row],[Quantity]]*Excel_Advanced_Sales_Dataset_2000__3[[#This Row],[Unit Price]]*Excel_Advanced_Sales_Dataset_2000__3[[#This Row],[Discount %]]/100</f>
        <v>184.15773000000002</v>
      </c>
      <c r="T946" s="4">
        <f>Excel_Advanced_Sales_Dataset_2000__3[[#This Row],[Quantity]]*Excel_Advanced_Sales_Dataset_2000__3[[#This Row],[Unit Price]]-Excel_Advanced_Sales_Dataset_2000__3[[#This Row],[Discount Amount]]</f>
        <v>2849.7422700000002</v>
      </c>
    </row>
    <row r="947" spans="1:20" x14ac:dyDescent="0.25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>
        <v>1</v>
      </c>
      <c r="J947" s="4">
        <v>17243.62</v>
      </c>
      <c r="K947" s="6">
        <v>10.15</v>
      </c>
      <c r="L947" s="4">
        <v>15493.39</v>
      </c>
      <c r="M947" s="4" t="str" cm="1">
        <f t="array" ref="M947">IF(Excel_Advanced_Sales_Dataset_2000__3[[#This Row],[Total Sales]]&gt;50000,{"Yes"},{"No"})</f>
        <v>No</v>
      </c>
      <c r="N947" s="5">
        <v>46081</v>
      </c>
      <c r="O947" s="1" t="s">
        <v>113</v>
      </c>
      <c r="P947" t="s">
        <v>35</v>
      </c>
      <c r="Q947" t="str">
        <f>IF(Excel_Advanced_Sales_Dataset_2000__3[[#This Row],[Delivery Status]]="Pending","Follow Up","Ok")</f>
        <v>Ok</v>
      </c>
      <c r="R947" s="1" t="s">
        <v>53</v>
      </c>
      <c r="S947">
        <f>Excel_Advanced_Sales_Dataset_2000__3[[#This Row],[Quantity]]*Excel_Advanced_Sales_Dataset_2000__3[[#This Row],[Unit Price]]*Excel_Advanced_Sales_Dataset_2000__3[[#This Row],[Discount %]]/100</f>
        <v>1750.2274299999999</v>
      </c>
      <c r="T947" s="4">
        <f>Excel_Advanced_Sales_Dataset_2000__3[[#This Row],[Quantity]]*Excel_Advanced_Sales_Dataset_2000__3[[#This Row],[Unit Price]]-Excel_Advanced_Sales_Dataset_2000__3[[#This Row],[Discount Amount]]</f>
        <v>15493.39257</v>
      </c>
    </row>
    <row r="948" spans="1:20" x14ac:dyDescent="0.25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>
        <v>8</v>
      </c>
      <c r="J948" s="4">
        <v>1277.06</v>
      </c>
      <c r="K948" s="6">
        <v>19.68</v>
      </c>
      <c r="L948" s="4">
        <v>8205.8799999999992</v>
      </c>
      <c r="M948" s="4" t="str" cm="1">
        <f t="array" ref="M948">IF(Excel_Advanced_Sales_Dataset_2000__3[[#This Row],[Total Sales]]&gt;50000,{"Yes"},{"No"})</f>
        <v>No</v>
      </c>
      <c r="N948" s="5">
        <v>46215</v>
      </c>
      <c r="O948" s="1" t="s">
        <v>24</v>
      </c>
      <c r="P948" t="s">
        <v>35</v>
      </c>
      <c r="Q948" t="str">
        <f>IF(Excel_Advanced_Sales_Dataset_2000__3[[#This Row],[Delivery Status]]="Pending","Follow Up","Ok")</f>
        <v>Ok</v>
      </c>
      <c r="R948" s="1" t="s">
        <v>53</v>
      </c>
      <c r="S948">
        <f>Excel_Advanced_Sales_Dataset_2000__3[[#This Row],[Quantity]]*Excel_Advanced_Sales_Dataset_2000__3[[#This Row],[Unit Price]]*Excel_Advanced_Sales_Dataset_2000__3[[#This Row],[Discount %]]/100</f>
        <v>2010.6032639999999</v>
      </c>
      <c r="T948" s="4">
        <f>Excel_Advanced_Sales_Dataset_2000__3[[#This Row],[Quantity]]*Excel_Advanced_Sales_Dataset_2000__3[[#This Row],[Unit Price]]-Excel_Advanced_Sales_Dataset_2000__3[[#This Row],[Discount Amount]]</f>
        <v>8205.8767360000002</v>
      </c>
    </row>
    <row r="949" spans="1:20" x14ac:dyDescent="0.25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>
        <v>34</v>
      </c>
      <c r="J949" s="4">
        <v>36892.870000000003</v>
      </c>
      <c r="K949" s="6">
        <v>17.53</v>
      </c>
      <c r="L949" s="4">
        <v>1034468.7</v>
      </c>
      <c r="M949" s="4" t="str" cm="1">
        <f t="array" ref="M949">IF(Excel_Advanced_Sales_Dataset_2000__3[[#This Row],[Total Sales]]&gt;50000,{"Yes"},{"No"})</f>
        <v>Yes</v>
      </c>
      <c r="N949" s="5">
        <v>46108</v>
      </c>
      <c r="O949" s="1" t="s">
        <v>113</v>
      </c>
      <c r="P949" t="s">
        <v>35</v>
      </c>
      <c r="Q949" t="str">
        <f>IF(Excel_Advanced_Sales_Dataset_2000__3[[#This Row],[Delivery Status]]="Pending","Follow Up","Ok")</f>
        <v>Ok</v>
      </c>
      <c r="R949" s="1" t="s">
        <v>26</v>
      </c>
      <c r="S949">
        <f>Excel_Advanced_Sales_Dataset_2000__3[[#This Row],[Quantity]]*Excel_Advanced_Sales_Dataset_2000__3[[#This Row],[Unit Price]]*Excel_Advanced_Sales_Dataset_2000__3[[#This Row],[Discount %]]/100</f>
        <v>219888.88377400005</v>
      </c>
      <c r="T949" s="4">
        <f>Excel_Advanced_Sales_Dataset_2000__3[[#This Row],[Quantity]]*Excel_Advanced_Sales_Dataset_2000__3[[#This Row],[Unit Price]]-Excel_Advanced_Sales_Dataset_2000__3[[#This Row],[Discount Amount]]</f>
        <v>1034468.6962260001</v>
      </c>
    </row>
    <row r="950" spans="1:20" x14ac:dyDescent="0.25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>
        <v>43</v>
      </c>
      <c r="J950" s="4">
        <v>47726.19</v>
      </c>
      <c r="K950" s="6">
        <v>11.18</v>
      </c>
      <c r="L950" s="4">
        <v>1822787.28</v>
      </c>
      <c r="M950" s="4" t="str" cm="1">
        <f t="array" ref="M950">IF(Excel_Advanced_Sales_Dataset_2000__3[[#This Row],[Total Sales]]&gt;50000,{"Yes"},{"No"})</f>
        <v>Yes</v>
      </c>
      <c r="N950" s="5">
        <v>46270</v>
      </c>
      <c r="O950" s="1" t="s">
        <v>24</v>
      </c>
      <c r="P950" t="s">
        <v>35</v>
      </c>
      <c r="Q950" t="str">
        <f>IF(Excel_Advanced_Sales_Dataset_2000__3[[#This Row],[Delivery Status]]="Pending","Follow Up","Ok")</f>
        <v>Ok</v>
      </c>
      <c r="R950" s="1" t="s">
        <v>53</v>
      </c>
      <c r="S950">
        <f>Excel_Advanced_Sales_Dataset_2000__3[[#This Row],[Quantity]]*Excel_Advanced_Sales_Dataset_2000__3[[#This Row],[Unit Price]]*Excel_Advanced_Sales_Dataset_2000__3[[#This Row],[Discount %]]/100</f>
        <v>229438.88580600001</v>
      </c>
      <c r="T950" s="4">
        <f>Excel_Advanced_Sales_Dataset_2000__3[[#This Row],[Quantity]]*Excel_Advanced_Sales_Dataset_2000__3[[#This Row],[Unit Price]]-Excel_Advanced_Sales_Dataset_2000__3[[#This Row],[Discount Amount]]</f>
        <v>1822787.2841940001</v>
      </c>
    </row>
    <row r="951" spans="1:20" x14ac:dyDescent="0.25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>
        <v>7</v>
      </c>
      <c r="J951" s="4">
        <v>16129.28</v>
      </c>
      <c r="K951" s="6">
        <v>10.039999999999999</v>
      </c>
      <c r="L951" s="4">
        <v>101569.3</v>
      </c>
      <c r="M951" s="4" t="str" cm="1">
        <f t="array" ref="M951">IF(Excel_Advanced_Sales_Dataset_2000__3[[#This Row],[Total Sales]]&gt;50000,{"Yes"},{"No"})</f>
        <v>Yes</v>
      </c>
      <c r="N951" s="5">
        <v>46192</v>
      </c>
      <c r="O951" s="1" t="s">
        <v>113</v>
      </c>
      <c r="P951" t="s">
        <v>35</v>
      </c>
      <c r="Q951" t="str">
        <f>IF(Excel_Advanced_Sales_Dataset_2000__3[[#This Row],[Delivery Status]]="Pending","Follow Up","Ok")</f>
        <v>Ok</v>
      </c>
      <c r="R951" s="1" t="s">
        <v>26</v>
      </c>
      <c r="S951">
        <f>Excel_Advanced_Sales_Dataset_2000__3[[#This Row],[Quantity]]*Excel_Advanced_Sales_Dataset_2000__3[[#This Row],[Unit Price]]*Excel_Advanced_Sales_Dataset_2000__3[[#This Row],[Discount %]]/100</f>
        <v>11335.657983999999</v>
      </c>
      <c r="T951" s="4">
        <f>Excel_Advanced_Sales_Dataset_2000__3[[#This Row],[Quantity]]*Excel_Advanced_Sales_Dataset_2000__3[[#This Row],[Unit Price]]-Excel_Advanced_Sales_Dataset_2000__3[[#This Row],[Discount Amount]]</f>
        <v>101569.302016</v>
      </c>
    </row>
    <row r="952" spans="1:20" x14ac:dyDescent="0.25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>
        <v>42</v>
      </c>
      <c r="J952" s="4">
        <v>3003.18</v>
      </c>
      <c r="K952" s="6">
        <v>3.29</v>
      </c>
      <c r="L952" s="4">
        <v>121983.77</v>
      </c>
      <c r="M952" s="4" t="str" cm="1">
        <f t="array" ref="M952">IF(Excel_Advanced_Sales_Dataset_2000__3[[#This Row],[Total Sales]]&gt;50000,{"Yes"},{"No"})</f>
        <v>Yes</v>
      </c>
      <c r="N952" s="5">
        <v>46138</v>
      </c>
      <c r="O952" s="1" t="s">
        <v>68</v>
      </c>
      <c r="P952" t="s">
        <v>35</v>
      </c>
      <c r="Q952" t="str">
        <f>IF(Excel_Advanced_Sales_Dataset_2000__3[[#This Row],[Delivery Status]]="Pending","Follow Up","Ok")</f>
        <v>Ok</v>
      </c>
      <c r="R952" s="1" t="s">
        <v>26</v>
      </c>
      <c r="S952">
        <f>Excel_Advanced_Sales_Dataset_2000__3[[#This Row],[Quantity]]*Excel_Advanced_Sales_Dataset_2000__3[[#This Row],[Unit Price]]*Excel_Advanced_Sales_Dataset_2000__3[[#This Row],[Discount %]]/100</f>
        <v>4149.794124</v>
      </c>
      <c r="T952" s="4">
        <f>Excel_Advanced_Sales_Dataset_2000__3[[#This Row],[Quantity]]*Excel_Advanced_Sales_Dataset_2000__3[[#This Row],[Unit Price]]-Excel_Advanced_Sales_Dataset_2000__3[[#This Row],[Discount Amount]]</f>
        <v>121983.76587599999</v>
      </c>
    </row>
    <row r="953" spans="1:20" x14ac:dyDescent="0.25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>
        <v>21</v>
      </c>
      <c r="J953" s="4">
        <v>13773.63</v>
      </c>
      <c r="K953" s="6">
        <v>0.68</v>
      </c>
      <c r="L953" s="4">
        <v>287279.35999999999</v>
      </c>
      <c r="M953" s="4" t="str" cm="1">
        <f t="array" ref="M953">IF(Excel_Advanced_Sales_Dataset_2000__3[[#This Row],[Total Sales]]&gt;50000,{"Yes"},{"No"})</f>
        <v>Yes</v>
      </c>
      <c r="N953" s="5">
        <v>46054</v>
      </c>
      <c r="O953" s="1" t="s">
        <v>113</v>
      </c>
      <c r="P953" t="s">
        <v>25</v>
      </c>
      <c r="Q953" t="str">
        <f>IF(Excel_Advanced_Sales_Dataset_2000__3[[#This Row],[Delivery Status]]="Pending","Follow Up","Ok")</f>
        <v>Follow Up</v>
      </c>
      <c r="R953" s="1" t="s">
        <v>53</v>
      </c>
      <c r="S953">
        <f>Excel_Advanced_Sales_Dataset_2000__3[[#This Row],[Quantity]]*Excel_Advanced_Sales_Dataset_2000__3[[#This Row],[Unit Price]]*Excel_Advanced_Sales_Dataset_2000__3[[#This Row],[Discount %]]/100</f>
        <v>1966.874364</v>
      </c>
      <c r="T953" s="4">
        <f>Excel_Advanced_Sales_Dataset_2000__3[[#This Row],[Quantity]]*Excel_Advanced_Sales_Dataset_2000__3[[#This Row],[Unit Price]]-Excel_Advanced_Sales_Dataset_2000__3[[#This Row],[Discount Amount]]</f>
        <v>287279.35563599999</v>
      </c>
    </row>
    <row r="954" spans="1:20" x14ac:dyDescent="0.25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>
        <v>13</v>
      </c>
      <c r="J954" s="4">
        <v>19704.43</v>
      </c>
      <c r="K954" s="6">
        <v>19.190000000000001</v>
      </c>
      <c r="L954" s="4">
        <v>207000.95</v>
      </c>
      <c r="M954" s="4" t="str" cm="1">
        <f t="array" ref="M954">IF(Excel_Advanced_Sales_Dataset_2000__3[[#This Row],[Total Sales]]&gt;50000,{"Yes"},{"No"})</f>
        <v>Yes</v>
      </c>
      <c r="N954" s="5">
        <v>46140</v>
      </c>
      <c r="O954" s="1" t="s">
        <v>24</v>
      </c>
      <c r="P954" t="s">
        <v>35</v>
      </c>
      <c r="Q954" t="str">
        <f>IF(Excel_Advanced_Sales_Dataset_2000__3[[#This Row],[Delivery Status]]="Pending","Follow Up","Ok")</f>
        <v>Ok</v>
      </c>
      <c r="R954" s="1" t="s">
        <v>36</v>
      </c>
      <c r="S954">
        <f>Excel_Advanced_Sales_Dataset_2000__3[[#This Row],[Quantity]]*Excel_Advanced_Sales_Dataset_2000__3[[#This Row],[Unit Price]]*Excel_Advanced_Sales_Dataset_2000__3[[#This Row],[Discount %]]/100</f>
        <v>49156.641521000005</v>
      </c>
      <c r="T954" s="4">
        <f>Excel_Advanced_Sales_Dataset_2000__3[[#This Row],[Quantity]]*Excel_Advanced_Sales_Dataset_2000__3[[#This Row],[Unit Price]]-Excel_Advanced_Sales_Dataset_2000__3[[#This Row],[Discount Amount]]</f>
        <v>207000.94847899998</v>
      </c>
    </row>
    <row r="955" spans="1:20" x14ac:dyDescent="0.25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>
        <v>1</v>
      </c>
      <c r="J955" s="4">
        <v>36877.33</v>
      </c>
      <c r="K955" s="6">
        <v>14.42</v>
      </c>
      <c r="L955" s="4">
        <v>31559.62</v>
      </c>
      <c r="M955" s="4" t="str" cm="1">
        <f t="array" ref="M955">IF(Excel_Advanced_Sales_Dataset_2000__3[[#This Row],[Total Sales]]&gt;50000,{"Yes"},{"No"})</f>
        <v>No</v>
      </c>
      <c r="N955" s="5">
        <v>46247</v>
      </c>
      <c r="O955" s="1" t="s">
        <v>45</v>
      </c>
      <c r="P955" t="s">
        <v>35</v>
      </c>
      <c r="Q955" t="str">
        <f>IF(Excel_Advanced_Sales_Dataset_2000__3[[#This Row],[Delivery Status]]="Pending","Follow Up","Ok")</f>
        <v>Ok</v>
      </c>
      <c r="R955" s="1" t="s">
        <v>53</v>
      </c>
      <c r="S955">
        <f>Excel_Advanced_Sales_Dataset_2000__3[[#This Row],[Quantity]]*Excel_Advanced_Sales_Dataset_2000__3[[#This Row],[Unit Price]]*Excel_Advanced_Sales_Dataset_2000__3[[#This Row],[Discount %]]/100</f>
        <v>5317.710986</v>
      </c>
      <c r="T955" s="4">
        <f>Excel_Advanced_Sales_Dataset_2000__3[[#This Row],[Quantity]]*Excel_Advanced_Sales_Dataset_2000__3[[#This Row],[Unit Price]]-Excel_Advanced_Sales_Dataset_2000__3[[#This Row],[Discount Amount]]</f>
        <v>31559.619014000004</v>
      </c>
    </row>
    <row r="956" spans="1:20" x14ac:dyDescent="0.25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>
        <v>48</v>
      </c>
      <c r="J956" s="4">
        <v>36029.17</v>
      </c>
      <c r="K956" s="6">
        <v>7.75</v>
      </c>
      <c r="L956" s="4">
        <v>1595371.65</v>
      </c>
      <c r="M956" s="4" t="str" cm="1">
        <f t="array" ref="M956">IF(Excel_Advanced_Sales_Dataset_2000__3[[#This Row],[Total Sales]]&gt;50000,{"Yes"},{"No"})</f>
        <v>Yes</v>
      </c>
      <c r="N956" s="5">
        <v>46036</v>
      </c>
      <c r="O956" s="1" t="s">
        <v>24</v>
      </c>
      <c r="P956" t="s">
        <v>35</v>
      </c>
      <c r="Q956" t="str">
        <f>IF(Excel_Advanced_Sales_Dataset_2000__3[[#This Row],[Delivery Status]]="Pending","Follow Up","Ok")</f>
        <v>Ok</v>
      </c>
      <c r="R956" s="1" t="s">
        <v>26</v>
      </c>
      <c r="S956">
        <f>Excel_Advanced_Sales_Dataset_2000__3[[#This Row],[Quantity]]*Excel_Advanced_Sales_Dataset_2000__3[[#This Row],[Unit Price]]*Excel_Advanced_Sales_Dataset_2000__3[[#This Row],[Discount %]]/100</f>
        <v>134028.51240000001</v>
      </c>
      <c r="T956" s="4">
        <f>Excel_Advanced_Sales_Dataset_2000__3[[#This Row],[Quantity]]*Excel_Advanced_Sales_Dataset_2000__3[[#This Row],[Unit Price]]-Excel_Advanced_Sales_Dataset_2000__3[[#This Row],[Discount Amount]]</f>
        <v>1595371.6475999998</v>
      </c>
    </row>
    <row r="957" spans="1:20" x14ac:dyDescent="0.25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>
        <v>44</v>
      </c>
      <c r="J957" s="4">
        <v>44092.7</v>
      </c>
      <c r="K957" s="6">
        <v>8.9</v>
      </c>
      <c r="L957" s="4">
        <v>1767411.79</v>
      </c>
      <c r="M957" s="4" t="str" cm="1">
        <f t="array" ref="M957">IF(Excel_Advanced_Sales_Dataset_2000__3[[#This Row],[Total Sales]]&gt;50000,{"Yes"},{"No"})</f>
        <v>Yes</v>
      </c>
      <c r="N957" s="5">
        <v>46127</v>
      </c>
      <c r="O957" s="1" t="s">
        <v>68</v>
      </c>
      <c r="P957" t="s">
        <v>35</v>
      </c>
      <c r="Q957" t="str">
        <f>IF(Excel_Advanced_Sales_Dataset_2000__3[[#This Row],[Delivery Status]]="Pending","Follow Up","Ok")</f>
        <v>Ok</v>
      </c>
      <c r="R957" s="1" t="s">
        <v>53</v>
      </c>
      <c r="S957">
        <f>Excel_Advanced_Sales_Dataset_2000__3[[#This Row],[Quantity]]*Excel_Advanced_Sales_Dataset_2000__3[[#This Row],[Unit Price]]*Excel_Advanced_Sales_Dataset_2000__3[[#This Row],[Discount %]]/100</f>
        <v>172667.01320000002</v>
      </c>
      <c r="T957" s="4">
        <f>Excel_Advanced_Sales_Dataset_2000__3[[#This Row],[Quantity]]*Excel_Advanced_Sales_Dataset_2000__3[[#This Row],[Unit Price]]-Excel_Advanced_Sales_Dataset_2000__3[[#This Row],[Discount Amount]]</f>
        <v>1767411.7867999999</v>
      </c>
    </row>
    <row r="958" spans="1:20" x14ac:dyDescent="0.25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>
        <v>6</v>
      </c>
      <c r="J958" s="4">
        <v>13927.46</v>
      </c>
      <c r="K958" s="6">
        <v>9.3000000000000007</v>
      </c>
      <c r="L958" s="4">
        <v>75793.240000000005</v>
      </c>
      <c r="M958" s="4" t="str" cm="1">
        <f t="array" ref="M958">IF(Excel_Advanced_Sales_Dataset_2000__3[[#This Row],[Total Sales]]&gt;50000,{"Yes"},{"No"})</f>
        <v>Yes</v>
      </c>
      <c r="N958" s="5">
        <v>46068</v>
      </c>
      <c r="O958" s="1" t="s">
        <v>24</v>
      </c>
      <c r="P958" t="s">
        <v>35</v>
      </c>
      <c r="Q958" t="str">
        <f>IF(Excel_Advanced_Sales_Dataset_2000__3[[#This Row],[Delivery Status]]="Pending","Follow Up","Ok")</f>
        <v>Ok</v>
      </c>
      <c r="R958" s="1" t="s">
        <v>36</v>
      </c>
      <c r="S958">
        <f>Excel_Advanced_Sales_Dataset_2000__3[[#This Row],[Quantity]]*Excel_Advanced_Sales_Dataset_2000__3[[#This Row],[Unit Price]]*Excel_Advanced_Sales_Dataset_2000__3[[#This Row],[Discount %]]/100</f>
        <v>7771.52268</v>
      </c>
      <c r="T958" s="4">
        <f>Excel_Advanced_Sales_Dataset_2000__3[[#This Row],[Quantity]]*Excel_Advanced_Sales_Dataset_2000__3[[#This Row],[Unit Price]]-Excel_Advanced_Sales_Dataset_2000__3[[#This Row],[Discount Amount]]</f>
        <v>75793.23732</v>
      </c>
    </row>
    <row r="959" spans="1:20" x14ac:dyDescent="0.25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>
        <v>8</v>
      </c>
      <c r="J959" s="4">
        <v>10931.64</v>
      </c>
      <c r="K959" s="6">
        <v>0.94</v>
      </c>
      <c r="L959" s="4">
        <v>86631.06</v>
      </c>
      <c r="M959" s="4" t="str" cm="1">
        <f t="array" ref="M959">IF(Excel_Advanced_Sales_Dataset_2000__3[[#This Row],[Total Sales]]&gt;50000,{"Yes"},{"No"})</f>
        <v>Yes</v>
      </c>
      <c r="N959" s="5">
        <v>46057</v>
      </c>
      <c r="O959" s="1" t="s">
        <v>58</v>
      </c>
      <c r="P959" t="s">
        <v>35</v>
      </c>
      <c r="Q959" t="str">
        <f>IF(Excel_Advanced_Sales_Dataset_2000__3[[#This Row],[Delivery Status]]="Pending","Follow Up","Ok")</f>
        <v>Ok</v>
      </c>
      <c r="R959" s="1" t="s">
        <v>36</v>
      </c>
      <c r="S959">
        <f>Excel_Advanced_Sales_Dataset_2000__3[[#This Row],[Quantity]]*Excel_Advanced_Sales_Dataset_2000__3[[#This Row],[Unit Price]]*Excel_Advanced_Sales_Dataset_2000__3[[#This Row],[Discount %]]/100</f>
        <v>822.05932799999994</v>
      </c>
      <c r="T959" s="4">
        <f>Excel_Advanced_Sales_Dataset_2000__3[[#This Row],[Quantity]]*Excel_Advanced_Sales_Dataset_2000__3[[#This Row],[Unit Price]]-Excel_Advanced_Sales_Dataset_2000__3[[#This Row],[Discount Amount]]</f>
        <v>86631.060671999992</v>
      </c>
    </row>
    <row r="960" spans="1:20" x14ac:dyDescent="0.25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>
        <v>49</v>
      </c>
      <c r="J960" s="4">
        <v>16559.97</v>
      </c>
      <c r="K960" s="6">
        <v>9.25</v>
      </c>
      <c r="L960" s="4">
        <v>736380.47</v>
      </c>
      <c r="M960" s="4" t="str" cm="1">
        <f t="array" ref="M960">IF(Excel_Advanced_Sales_Dataset_2000__3[[#This Row],[Total Sales]]&gt;50000,{"Yes"},{"No"})</f>
        <v>Yes</v>
      </c>
      <c r="N960" s="5">
        <v>46108</v>
      </c>
      <c r="O960" s="1" t="s">
        <v>45</v>
      </c>
      <c r="P960" t="s">
        <v>35</v>
      </c>
      <c r="Q960" t="str">
        <f>IF(Excel_Advanced_Sales_Dataset_2000__3[[#This Row],[Delivery Status]]="Pending","Follow Up","Ok")</f>
        <v>Ok</v>
      </c>
      <c r="R960" s="1" t="s">
        <v>26</v>
      </c>
      <c r="S960">
        <f>Excel_Advanced_Sales_Dataset_2000__3[[#This Row],[Quantity]]*Excel_Advanced_Sales_Dataset_2000__3[[#This Row],[Unit Price]]*Excel_Advanced_Sales_Dataset_2000__3[[#This Row],[Discount %]]/100</f>
        <v>75058.064025</v>
      </c>
      <c r="T960" s="4">
        <f>Excel_Advanced_Sales_Dataset_2000__3[[#This Row],[Quantity]]*Excel_Advanced_Sales_Dataset_2000__3[[#This Row],[Unit Price]]-Excel_Advanced_Sales_Dataset_2000__3[[#This Row],[Discount Amount]]</f>
        <v>736380.46597500006</v>
      </c>
    </row>
    <row r="961" spans="1:20" x14ac:dyDescent="0.25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>
        <v>37</v>
      </c>
      <c r="J961" s="4">
        <v>22077.25</v>
      </c>
      <c r="K961" s="6">
        <v>10.029999999999999</v>
      </c>
      <c r="L961" s="4">
        <v>734927.37</v>
      </c>
      <c r="M961" s="4" t="str" cm="1">
        <f t="array" ref="M961">IF(Excel_Advanced_Sales_Dataset_2000__3[[#This Row],[Total Sales]]&gt;50000,{"Yes"},{"No"})</f>
        <v>Yes</v>
      </c>
      <c r="N961" s="5">
        <v>46218</v>
      </c>
      <c r="O961" s="1" t="s">
        <v>24</v>
      </c>
      <c r="P961" t="s">
        <v>35</v>
      </c>
      <c r="Q961" t="str">
        <f>IF(Excel_Advanced_Sales_Dataset_2000__3[[#This Row],[Delivery Status]]="Pending","Follow Up","Ok")</f>
        <v>Ok</v>
      </c>
      <c r="R961" s="1" t="s">
        <v>36</v>
      </c>
      <c r="S961">
        <f>Excel_Advanced_Sales_Dataset_2000__3[[#This Row],[Quantity]]*Excel_Advanced_Sales_Dataset_2000__3[[#This Row],[Unit Price]]*Excel_Advanced_Sales_Dataset_2000__3[[#This Row],[Discount %]]/100</f>
        <v>81930.882474999991</v>
      </c>
      <c r="T961" s="4">
        <f>Excel_Advanced_Sales_Dataset_2000__3[[#This Row],[Quantity]]*Excel_Advanced_Sales_Dataset_2000__3[[#This Row],[Unit Price]]-Excel_Advanced_Sales_Dataset_2000__3[[#This Row],[Discount Amount]]</f>
        <v>734927.36752500001</v>
      </c>
    </row>
    <row r="962" spans="1:20" x14ac:dyDescent="0.25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>
        <v>28</v>
      </c>
      <c r="J962" s="4">
        <v>46046.11</v>
      </c>
      <c r="K962" s="6">
        <v>15.67</v>
      </c>
      <c r="L962" s="4">
        <v>1087259.17</v>
      </c>
      <c r="M962" s="4" t="str" cm="1">
        <f t="array" ref="M962">IF(Excel_Advanced_Sales_Dataset_2000__3[[#This Row],[Total Sales]]&gt;50000,{"Yes"},{"No"})</f>
        <v>Yes</v>
      </c>
      <c r="N962" s="5">
        <v>46182</v>
      </c>
      <c r="O962" s="1" t="s">
        <v>58</v>
      </c>
      <c r="P962" t="s">
        <v>35</v>
      </c>
      <c r="Q962" t="str">
        <f>IF(Excel_Advanced_Sales_Dataset_2000__3[[#This Row],[Delivery Status]]="Pending","Follow Up","Ok")</f>
        <v>Ok</v>
      </c>
      <c r="R962" s="1" t="s">
        <v>36</v>
      </c>
      <c r="S962">
        <f>Excel_Advanced_Sales_Dataset_2000__3[[#This Row],[Quantity]]*Excel_Advanced_Sales_Dataset_2000__3[[#This Row],[Unit Price]]*Excel_Advanced_Sales_Dataset_2000__3[[#This Row],[Discount %]]/100</f>
        <v>202031.912236</v>
      </c>
      <c r="T962" s="4">
        <f>Excel_Advanced_Sales_Dataset_2000__3[[#This Row],[Quantity]]*Excel_Advanced_Sales_Dataset_2000__3[[#This Row],[Unit Price]]-Excel_Advanced_Sales_Dataset_2000__3[[#This Row],[Discount Amount]]</f>
        <v>1087259.1677640001</v>
      </c>
    </row>
    <row r="963" spans="1:20" x14ac:dyDescent="0.25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>
        <v>8</v>
      </c>
      <c r="J963" s="4">
        <v>45271.05</v>
      </c>
      <c r="K963" s="6">
        <v>8.43</v>
      </c>
      <c r="L963" s="4">
        <v>331637.59999999998</v>
      </c>
      <c r="M963" s="4" t="str" cm="1">
        <f t="array" ref="M963">IF(Excel_Advanced_Sales_Dataset_2000__3[[#This Row],[Total Sales]]&gt;50000,{"Yes"},{"No"})</f>
        <v>Yes</v>
      </c>
      <c r="N963" s="5">
        <v>46126</v>
      </c>
      <c r="O963" s="1" t="s">
        <v>24</v>
      </c>
      <c r="P963" t="s">
        <v>35</v>
      </c>
      <c r="Q963" t="str">
        <f>IF(Excel_Advanced_Sales_Dataset_2000__3[[#This Row],[Delivery Status]]="Pending","Follow Up","Ok")</f>
        <v>Ok</v>
      </c>
      <c r="R963" s="1" t="s">
        <v>26</v>
      </c>
      <c r="S963">
        <f>Excel_Advanced_Sales_Dataset_2000__3[[#This Row],[Quantity]]*Excel_Advanced_Sales_Dataset_2000__3[[#This Row],[Unit Price]]*Excel_Advanced_Sales_Dataset_2000__3[[#This Row],[Discount %]]/100</f>
        <v>30530.796120000003</v>
      </c>
      <c r="T963" s="4">
        <f>Excel_Advanced_Sales_Dataset_2000__3[[#This Row],[Quantity]]*Excel_Advanced_Sales_Dataset_2000__3[[#This Row],[Unit Price]]-Excel_Advanced_Sales_Dataset_2000__3[[#This Row],[Discount Amount]]</f>
        <v>331637.60388000001</v>
      </c>
    </row>
    <row r="964" spans="1:20" x14ac:dyDescent="0.25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>
        <v>3</v>
      </c>
      <c r="J964" s="4">
        <v>30439.89</v>
      </c>
      <c r="K964" s="6">
        <v>17.399999999999999</v>
      </c>
      <c r="L964" s="4">
        <v>75430.05</v>
      </c>
      <c r="M964" s="4" t="str" cm="1">
        <f t="array" ref="M964">IF(Excel_Advanced_Sales_Dataset_2000__3[[#This Row],[Total Sales]]&gt;50000,{"Yes"},{"No"})</f>
        <v>Yes</v>
      </c>
      <c r="N964" s="5">
        <v>46259</v>
      </c>
      <c r="O964" s="1" t="s">
        <v>45</v>
      </c>
      <c r="P964" t="s">
        <v>35</v>
      </c>
      <c r="Q964" t="str">
        <f>IF(Excel_Advanced_Sales_Dataset_2000__3[[#This Row],[Delivery Status]]="Pending","Follow Up","Ok")</f>
        <v>Ok</v>
      </c>
      <c r="R964" s="1" t="s">
        <v>53</v>
      </c>
      <c r="S964">
        <f>Excel_Advanced_Sales_Dataset_2000__3[[#This Row],[Quantity]]*Excel_Advanced_Sales_Dataset_2000__3[[#This Row],[Unit Price]]*Excel_Advanced_Sales_Dataset_2000__3[[#This Row],[Discount %]]/100</f>
        <v>15889.622579999999</v>
      </c>
      <c r="T964" s="4">
        <f>Excel_Advanced_Sales_Dataset_2000__3[[#This Row],[Quantity]]*Excel_Advanced_Sales_Dataset_2000__3[[#This Row],[Unit Price]]-Excel_Advanced_Sales_Dataset_2000__3[[#This Row],[Discount Amount]]</f>
        <v>75430.047420000003</v>
      </c>
    </row>
    <row r="965" spans="1:20" x14ac:dyDescent="0.25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>
        <v>30</v>
      </c>
      <c r="J965" s="4">
        <v>40579.42</v>
      </c>
      <c r="K965" s="6">
        <v>15.61</v>
      </c>
      <c r="L965" s="4">
        <v>1027349.18</v>
      </c>
      <c r="M965" s="4" t="str" cm="1">
        <f t="array" ref="M965">IF(Excel_Advanced_Sales_Dataset_2000__3[[#This Row],[Total Sales]]&gt;50000,{"Yes"},{"No"})</f>
        <v>Yes</v>
      </c>
      <c r="N965" s="5">
        <v>46055</v>
      </c>
      <c r="O965" s="1" t="s">
        <v>58</v>
      </c>
      <c r="P965" t="s">
        <v>35</v>
      </c>
      <c r="Q965" t="str">
        <f>IF(Excel_Advanced_Sales_Dataset_2000__3[[#This Row],[Delivery Status]]="Pending","Follow Up","Ok")</f>
        <v>Ok</v>
      </c>
      <c r="R965" s="1" t="s">
        <v>26</v>
      </c>
      <c r="S965">
        <f>Excel_Advanced_Sales_Dataset_2000__3[[#This Row],[Quantity]]*Excel_Advanced_Sales_Dataset_2000__3[[#This Row],[Unit Price]]*Excel_Advanced_Sales_Dataset_2000__3[[#This Row],[Discount %]]/100</f>
        <v>190033.42385999995</v>
      </c>
      <c r="T965" s="4">
        <f>Excel_Advanced_Sales_Dataset_2000__3[[#This Row],[Quantity]]*Excel_Advanced_Sales_Dataset_2000__3[[#This Row],[Unit Price]]-Excel_Advanced_Sales_Dataset_2000__3[[#This Row],[Discount Amount]]</f>
        <v>1027349.1761399999</v>
      </c>
    </row>
    <row r="966" spans="1:20" x14ac:dyDescent="0.25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>
        <v>40</v>
      </c>
      <c r="J966" s="4">
        <v>16945.21</v>
      </c>
      <c r="K966" s="6">
        <v>8.2799999999999994</v>
      </c>
      <c r="L966" s="4">
        <v>621685.86</v>
      </c>
      <c r="M966" s="4" t="str" cm="1">
        <f t="array" ref="M966">IF(Excel_Advanced_Sales_Dataset_2000__3[[#This Row],[Total Sales]]&gt;50000,{"Yes"},{"No"})</f>
        <v>Yes</v>
      </c>
      <c r="N966" s="5">
        <v>46144</v>
      </c>
      <c r="O966" s="1" t="s">
        <v>24</v>
      </c>
      <c r="P966" t="s">
        <v>35</v>
      </c>
      <c r="Q966" t="str">
        <f>IF(Excel_Advanced_Sales_Dataset_2000__3[[#This Row],[Delivery Status]]="Pending","Follow Up","Ok")</f>
        <v>Ok</v>
      </c>
      <c r="R966" s="1" t="s">
        <v>53</v>
      </c>
      <c r="S966">
        <f>Excel_Advanced_Sales_Dataset_2000__3[[#This Row],[Quantity]]*Excel_Advanced_Sales_Dataset_2000__3[[#This Row],[Unit Price]]*Excel_Advanced_Sales_Dataset_2000__3[[#This Row],[Discount %]]/100</f>
        <v>56122.53551999999</v>
      </c>
      <c r="T966" s="4">
        <f>Excel_Advanced_Sales_Dataset_2000__3[[#This Row],[Quantity]]*Excel_Advanced_Sales_Dataset_2000__3[[#This Row],[Unit Price]]-Excel_Advanced_Sales_Dataset_2000__3[[#This Row],[Discount Amount]]</f>
        <v>621685.86447999987</v>
      </c>
    </row>
    <row r="967" spans="1:20" x14ac:dyDescent="0.25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>
        <v>29</v>
      </c>
      <c r="J967" s="4">
        <v>6373.03</v>
      </c>
      <c r="K967" s="6">
        <v>5.05</v>
      </c>
      <c r="L967" s="4">
        <v>175484.57</v>
      </c>
      <c r="M967" s="4" t="str" cm="1">
        <f t="array" ref="M967">IF(Excel_Advanced_Sales_Dataset_2000__3[[#This Row],[Total Sales]]&gt;50000,{"Yes"},{"No"})</f>
        <v>Yes</v>
      </c>
      <c r="N967" s="5">
        <v>46181</v>
      </c>
      <c r="O967" s="1" t="s">
        <v>68</v>
      </c>
      <c r="P967" t="s">
        <v>35</v>
      </c>
      <c r="Q967" t="str">
        <f>IF(Excel_Advanced_Sales_Dataset_2000__3[[#This Row],[Delivery Status]]="Pending","Follow Up","Ok")</f>
        <v>Ok</v>
      </c>
      <c r="R967" s="1" t="s">
        <v>26</v>
      </c>
      <c r="S967">
        <f>Excel_Advanced_Sales_Dataset_2000__3[[#This Row],[Quantity]]*Excel_Advanced_Sales_Dataset_2000__3[[#This Row],[Unit Price]]*Excel_Advanced_Sales_Dataset_2000__3[[#This Row],[Discount %]]/100</f>
        <v>9333.3024349999996</v>
      </c>
      <c r="T967" s="4">
        <f>Excel_Advanced_Sales_Dataset_2000__3[[#This Row],[Quantity]]*Excel_Advanced_Sales_Dataset_2000__3[[#This Row],[Unit Price]]-Excel_Advanced_Sales_Dataset_2000__3[[#This Row],[Discount Amount]]</f>
        <v>175484.567565</v>
      </c>
    </row>
    <row r="968" spans="1:20" x14ac:dyDescent="0.25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>
        <v>12</v>
      </c>
      <c r="J968" s="4">
        <v>20971.759999999998</v>
      </c>
      <c r="K968" s="6">
        <v>5.4</v>
      </c>
      <c r="L968" s="4">
        <v>238071.42</v>
      </c>
      <c r="M968" s="4" t="str" cm="1">
        <f t="array" ref="M968">IF(Excel_Advanced_Sales_Dataset_2000__3[[#This Row],[Total Sales]]&gt;50000,{"Yes"},{"No"})</f>
        <v>Yes</v>
      </c>
      <c r="N968" s="5">
        <v>46381</v>
      </c>
      <c r="O968" s="1" t="s">
        <v>45</v>
      </c>
      <c r="P968" t="s">
        <v>35</v>
      </c>
      <c r="Q968" t="str">
        <f>IF(Excel_Advanced_Sales_Dataset_2000__3[[#This Row],[Delivery Status]]="Pending","Follow Up","Ok")</f>
        <v>Ok</v>
      </c>
      <c r="R968" s="1" t="s">
        <v>26</v>
      </c>
      <c r="S968">
        <f>Excel_Advanced_Sales_Dataset_2000__3[[#This Row],[Quantity]]*Excel_Advanced_Sales_Dataset_2000__3[[#This Row],[Unit Price]]*Excel_Advanced_Sales_Dataset_2000__3[[#This Row],[Discount %]]/100</f>
        <v>13589.70048</v>
      </c>
      <c r="T968" s="4">
        <f>Excel_Advanced_Sales_Dataset_2000__3[[#This Row],[Quantity]]*Excel_Advanced_Sales_Dataset_2000__3[[#This Row],[Unit Price]]-Excel_Advanced_Sales_Dataset_2000__3[[#This Row],[Discount Amount]]</f>
        <v>238071.41952</v>
      </c>
    </row>
    <row r="969" spans="1:20" x14ac:dyDescent="0.25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>
        <v>1</v>
      </c>
      <c r="J969" s="4">
        <v>5123.58</v>
      </c>
      <c r="K969" s="6">
        <v>15</v>
      </c>
      <c r="L969" s="4">
        <v>4355.04</v>
      </c>
      <c r="M969" s="4" t="str" cm="1">
        <f t="array" ref="M969">IF(Excel_Advanced_Sales_Dataset_2000__3[[#This Row],[Total Sales]]&gt;50000,{"Yes"},{"No"})</f>
        <v>No</v>
      </c>
      <c r="N969" s="5">
        <v>46300</v>
      </c>
      <c r="O969" s="1" t="s">
        <v>113</v>
      </c>
      <c r="P969" t="s">
        <v>35</v>
      </c>
      <c r="Q969" t="str">
        <f>IF(Excel_Advanced_Sales_Dataset_2000__3[[#This Row],[Delivery Status]]="Pending","Follow Up","Ok")</f>
        <v>Ok</v>
      </c>
      <c r="R969" s="1" t="s">
        <v>36</v>
      </c>
      <c r="S969">
        <f>Excel_Advanced_Sales_Dataset_2000__3[[#This Row],[Quantity]]*Excel_Advanced_Sales_Dataset_2000__3[[#This Row],[Unit Price]]*Excel_Advanced_Sales_Dataset_2000__3[[#This Row],[Discount %]]/100</f>
        <v>768.53699999999992</v>
      </c>
      <c r="T969" s="4">
        <f>Excel_Advanced_Sales_Dataset_2000__3[[#This Row],[Quantity]]*Excel_Advanced_Sales_Dataset_2000__3[[#This Row],[Unit Price]]-Excel_Advanced_Sales_Dataset_2000__3[[#This Row],[Discount Amount]]</f>
        <v>4355.0429999999997</v>
      </c>
    </row>
    <row r="970" spans="1:20" x14ac:dyDescent="0.25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>
        <v>11</v>
      </c>
      <c r="J970" s="4">
        <v>13188.45</v>
      </c>
      <c r="K970" s="6">
        <v>4.55</v>
      </c>
      <c r="L970" s="4">
        <v>138472.13</v>
      </c>
      <c r="M970" s="4" t="str" cm="1">
        <f t="array" ref="M970">IF(Excel_Advanced_Sales_Dataset_2000__3[[#This Row],[Total Sales]]&gt;50000,{"Yes"},{"No"})</f>
        <v>Yes</v>
      </c>
      <c r="N970" s="5">
        <v>46260</v>
      </c>
      <c r="O970" s="1" t="s">
        <v>113</v>
      </c>
      <c r="P970" t="s">
        <v>25</v>
      </c>
      <c r="Q970" t="str">
        <f>IF(Excel_Advanced_Sales_Dataset_2000__3[[#This Row],[Delivery Status]]="Pending","Follow Up","Ok")</f>
        <v>Follow Up</v>
      </c>
      <c r="R970" s="1" t="s">
        <v>36</v>
      </c>
      <c r="S970">
        <f>Excel_Advanced_Sales_Dataset_2000__3[[#This Row],[Quantity]]*Excel_Advanced_Sales_Dataset_2000__3[[#This Row],[Unit Price]]*Excel_Advanced_Sales_Dataset_2000__3[[#This Row],[Discount %]]/100</f>
        <v>6600.8192250000002</v>
      </c>
      <c r="T970" s="4">
        <f>Excel_Advanced_Sales_Dataset_2000__3[[#This Row],[Quantity]]*Excel_Advanced_Sales_Dataset_2000__3[[#This Row],[Unit Price]]-Excel_Advanced_Sales_Dataset_2000__3[[#This Row],[Discount Amount]]</f>
        <v>138472.130775</v>
      </c>
    </row>
    <row r="971" spans="1:20" x14ac:dyDescent="0.25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>
        <v>22</v>
      </c>
      <c r="J971" s="4">
        <v>27970.07</v>
      </c>
      <c r="K971" s="6">
        <v>19.96</v>
      </c>
      <c r="L971" s="4">
        <v>492519.37</v>
      </c>
      <c r="M971" s="4" t="str" cm="1">
        <f t="array" ref="M971">IF(Excel_Advanced_Sales_Dataset_2000__3[[#This Row],[Total Sales]]&gt;50000,{"Yes"},{"No"})</f>
        <v>Yes</v>
      </c>
      <c r="N971" s="5">
        <v>46366</v>
      </c>
      <c r="O971" s="1" t="s">
        <v>45</v>
      </c>
      <c r="P971" t="s">
        <v>35</v>
      </c>
      <c r="Q971" t="str">
        <f>IF(Excel_Advanced_Sales_Dataset_2000__3[[#This Row],[Delivery Status]]="Pending","Follow Up","Ok")</f>
        <v>Ok</v>
      </c>
      <c r="R971" s="1" t="s">
        <v>26</v>
      </c>
      <c r="S971">
        <f>Excel_Advanced_Sales_Dataset_2000__3[[#This Row],[Quantity]]*Excel_Advanced_Sales_Dataset_2000__3[[#This Row],[Unit Price]]*Excel_Advanced_Sales_Dataset_2000__3[[#This Row],[Discount %]]/100</f>
        <v>122822.17138400002</v>
      </c>
      <c r="T971" s="4">
        <f>Excel_Advanced_Sales_Dataset_2000__3[[#This Row],[Quantity]]*Excel_Advanced_Sales_Dataset_2000__3[[#This Row],[Unit Price]]-Excel_Advanced_Sales_Dataset_2000__3[[#This Row],[Discount Amount]]</f>
        <v>492519.36861600005</v>
      </c>
    </row>
    <row r="972" spans="1:20" x14ac:dyDescent="0.25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>
        <v>34</v>
      </c>
      <c r="J972" s="4">
        <v>10192.02</v>
      </c>
      <c r="K972" s="6">
        <v>6.35</v>
      </c>
      <c r="L972" s="4">
        <v>324524.11</v>
      </c>
      <c r="M972" s="4" t="str" cm="1">
        <f t="array" ref="M972">IF(Excel_Advanced_Sales_Dataset_2000__3[[#This Row],[Total Sales]]&gt;50000,{"Yes"},{"No"})</f>
        <v>Yes</v>
      </c>
      <c r="N972" s="5">
        <v>46366</v>
      </c>
      <c r="O972" s="1" t="s">
        <v>113</v>
      </c>
      <c r="P972" t="s">
        <v>35</v>
      </c>
      <c r="Q972" t="str">
        <f>IF(Excel_Advanced_Sales_Dataset_2000__3[[#This Row],[Delivery Status]]="Pending","Follow Up","Ok")</f>
        <v>Ok</v>
      </c>
      <c r="R972" s="1" t="s">
        <v>53</v>
      </c>
      <c r="S972">
        <f>Excel_Advanced_Sales_Dataset_2000__3[[#This Row],[Quantity]]*Excel_Advanced_Sales_Dataset_2000__3[[#This Row],[Unit Price]]*Excel_Advanced_Sales_Dataset_2000__3[[#This Row],[Discount %]]/100</f>
        <v>22004.571179999999</v>
      </c>
      <c r="T972" s="4">
        <f>Excel_Advanced_Sales_Dataset_2000__3[[#This Row],[Quantity]]*Excel_Advanced_Sales_Dataset_2000__3[[#This Row],[Unit Price]]-Excel_Advanced_Sales_Dataset_2000__3[[#This Row],[Discount Amount]]</f>
        <v>324524.10881999996</v>
      </c>
    </row>
    <row r="973" spans="1:20" x14ac:dyDescent="0.25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>
        <v>50</v>
      </c>
      <c r="J973" s="4">
        <v>46615.91</v>
      </c>
      <c r="K973" s="6">
        <v>11.98</v>
      </c>
      <c r="L973" s="4">
        <v>2051566.2</v>
      </c>
      <c r="M973" s="4" t="str" cm="1">
        <f t="array" ref="M973">IF(Excel_Advanced_Sales_Dataset_2000__3[[#This Row],[Total Sales]]&gt;50000,{"Yes"},{"No"})</f>
        <v>Yes</v>
      </c>
      <c r="N973" s="5">
        <v>46345</v>
      </c>
      <c r="O973" s="1" t="s">
        <v>113</v>
      </c>
      <c r="P973" t="s">
        <v>35</v>
      </c>
      <c r="Q973" t="str">
        <f>IF(Excel_Advanced_Sales_Dataset_2000__3[[#This Row],[Delivery Status]]="Pending","Follow Up","Ok")</f>
        <v>Ok</v>
      </c>
      <c r="R973" s="1" t="s">
        <v>26</v>
      </c>
      <c r="S973">
        <f>Excel_Advanced_Sales_Dataset_2000__3[[#This Row],[Quantity]]*Excel_Advanced_Sales_Dataset_2000__3[[#This Row],[Unit Price]]*Excel_Advanced_Sales_Dataset_2000__3[[#This Row],[Discount %]]/100</f>
        <v>279229.30089999997</v>
      </c>
      <c r="T973" s="4">
        <f>Excel_Advanced_Sales_Dataset_2000__3[[#This Row],[Quantity]]*Excel_Advanced_Sales_Dataset_2000__3[[#This Row],[Unit Price]]-Excel_Advanced_Sales_Dataset_2000__3[[#This Row],[Discount Amount]]</f>
        <v>2051566.1991000001</v>
      </c>
    </row>
    <row r="974" spans="1:20" x14ac:dyDescent="0.25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>
        <v>42</v>
      </c>
      <c r="J974" s="4">
        <v>21149.11</v>
      </c>
      <c r="K974" s="6">
        <v>9.5299999999999994</v>
      </c>
      <c r="L974" s="4">
        <v>803611.19</v>
      </c>
      <c r="M974" s="4" t="str" cm="1">
        <f t="array" ref="M974">IF(Excel_Advanced_Sales_Dataset_2000__3[[#This Row],[Total Sales]]&gt;50000,{"Yes"},{"No"})</f>
        <v>Yes</v>
      </c>
      <c r="N974" s="5">
        <v>46272</v>
      </c>
      <c r="O974" s="1" t="s">
        <v>24</v>
      </c>
      <c r="P974" t="s">
        <v>35</v>
      </c>
      <c r="Q974" t="str">
        <f>IF(Excel_Advanced_Sales_Dataset_2000__3[[#This Row],[Delivery Status]]="Pending","Follow Up","Ok")</f>
        <v>Ok</v>
      </c>
      <c r="R974" s="1" t="s">
        <v>53</v>
      </c>
      <c r="S974">
        <f>Excel_Advanced_Sales_Dataset_2000__3[[#This Row],[Quantity]]*Excel_Advanced_Sales_Dataset_2000__3[[#This Row],[Unit Price]]*Excel_Advanced_Sales_Dataset_2000__3[[#This Row],[Discount %]]/100</f>
        <v>84651.427685999995</v>
      </c>
      <c r="T974" s="4">
        <f>Excel_Advanced_Sales_Dataset_2000__3[[#This Row],[Quantity]]*Excel_Advanced_Sales_Dataset_2000__3[[#This Row],[Unit Price]]-Excel_Advanced_Sales_Dataset_2000__3[[#This Row],[Discount Amount]]</f>
        <v>803611.19231399999</v>
      </c>
    </row>
    <row r="975" spans="1:20" x14ac:dyDescent="0.25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>
        <v>16</v>
      </c>
      <c r="J975" s="4">
        <v>20217.79</v>
      </c>
      <c r="K975" s="6">
        <v>18.63</v>
      </c>
      <c r="L975" s="4">
        <v>263219.45</v>
      </c>
      <c r="M975" s="4" t="str" cm="1">
        <f t="array" ref="M975">IF(Excel_Advanced_Sales_Dataset_2000__3[[#This Row],[Total Sales]]&gt;50000,{"Yes"},{"No"})</f>
        <v>Yes</v>
      </c>
      <c r="N975" s="5">
        <v>46143</v>
      </c>
      <c r="O975" s="1" t="s">
        <v>68</v>
      </c>
      <c r="P975" t="s">
        <v>35</v>
      </c>
      <c r="Q975" t="str">
        <f>IF(Excel_Advanced_Sales_Dataset_2000__3[[#This Row],[Delivery Status]]="Pending","Follow Up","Ok")</f>
        <v>Ok</v>
      </c>
      <c r="R975" s="1" t="s">
        <v>53</v>
      </c>
      <c r="S975">
        <f>Excel_Advanced_Sales_Dataset_2000__3[[#This Row],[Quantity]]*Excel_Advanced_Sales_Dataset_2000__3[[#This Row],[Unit Price]]*Excel_Advanced_Sales_Dataset_2000__3[[#This Row],[Discount %]]/100</f>
        <v>60265.188432000003</v>
      </c>
      <c r="T975" s="4">
        <f>Excel_Advanced_Sales_Dataset_2000__3[[#This Row],[Quantity]]*Excel_Advanced_Sales_Dataset_2000__3[[#This Row],[Unit Price]]-Excel_Advanced_Sales_Dataset_2000__3[[#This Row],[Discount Amount]]</f>
        <v>263219.45156800002</v>
      </c>
    </row>
    <row r="976" spans="1:20" x14ac:dyDescent="0.25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>
        <v>16</v>
      </c>
      <c r="J976" s="4">
        <v>28070.560000000001</v>
      </c>
      <c r="K976" s="6">
        <v>6</v>
      </c>
      <c r="L976" s="4">
        <v>422181.22</v>
      </c>
      <c r="M976" s="4" t="str" cm="1">
        <f t="array" ref="M976">IF(Excel_Advanced_Sales_Dataset_2000__3[[#This Row],[Total Sales]]&gt;50000,{"Yes"},{"No"})</f>
        <v>Yes</v>
      </c>
      <c r="N976" s="5">
        <v>46175</v>
      </c>
      <c r="O976" s="1" t="s">
        <v>45</v>
      </c>
      <c r="P976" t="s">
        <v>35</v>
      </c>
      <c r="Q976" t="str">
        <f>IF(Excel_Advanced_Sales_Dataset_2000__3[[#This Row],[Delivery Status]]="Pending","Follow Up","Ok")</f>
        <v>Ok</v>
      </c>
      <c r="R976" s="1" t="s">
        <v>53</v>
      </c>
      <c r="S976">
        <f>Excel_Advanced_Sales_Dataset_2000__3[[#This Row],[Quantity]]*Excel_Advanced_Sales_Dataset_2000__3[[#This Row],[Unit Price]]*Excel_Advanced_Sales_Dataset_2000__3[[#This Row],[Discount %]]/100</f>
        <v>26947.737600000004</v>
      </c>
      <c r="T976" s="4">
        <f>Excel_Advanced_Sales_Dataset_2000__3[[#This Row],[Quantity]]*Excel_Advanced_Sales_Dataset_2000__3[[#This Row],[Unit Price]]-Excel_Advanced_Sales_Dataset_2000__3[[#This Row],[Discount Amount]]</f>
        <v>422181.22240000003</v>
      </c>
    </row>
    <row r="977" spans="1:20" x14ac:dyDescent="0.25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>
        <v>3</v>
      </c>
      <c r="J977" s="4">
        <v>28151.88</v>
      </c>
      <c r="K977" s="6">
        <v>3.96</v>
      </c>
      <c r="L977" s="4">
        <v>81111.199999999997</v>
      </c>
      <c r="M977" s="4" t="str" cm="1">
        <f t="array" ref="M977">IF(Excel_Advanced_Sales_Dataset_2000__3[[#This Row],[Total Sales]]&gt;50000,{"Yes"},{"No"})</f>
        <v>Yes</v>
      </c>
      <c r="N977" s="5">
        <v>46316</v>
      </c>
      <c r="O977" s="1" t="s">
        <v>45</v>
      </c>
      <c r="P977" t="s">
        <v>35</v>
      </c>
      <c r="Q977" t="str">
        <f>IF(Excel_Advanced_Sales_Dataset_2000__3[[#This Row],[Delivery Status]]="Pending","Follow Up","Ok")</f>
        <v>Ok</v>
      </c>
      <c r="R977" s="1" t="s">
        <v>26</v>
      </c>
      <c r="S977">
        <f>Excel_Advanced_Sales_Dataset_2000__3[[#This Row],[Quantity]]*Excel_Advanced_Sales_Dataset_2000__3[[#This Row],[Unit Price]]*Excel_Advanced_Sales_Dataset_2000__3[[#This Row],[Discount %]]/100</f>
        <v>3344.4433439999998</v>
      </c>
      <c r="T977" s="4">
        <f>Excel_Advanced_Sales_Dataset_2000__3[[#This Row],[Quantity]]*Excel_Advanced_Sales_Dataset_2000__3[[#This Row],[Unit Price]]-Excel_Advanced_Sales_Dataset_2000__3[[#This Row],[Discount Amount]]</f>
        <v>81111.196656</v>
      </c>
    </row>
    <row r="978" spans="1:20" x14ac:dyDescent="0.25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>
        <v>31</v>
      </c>
      <c r="J978" s="4">
        <v>41377.18</v>
      </c>
      <c r="K978" s="6">
        <v>14.04</v>
      </c>
      <c r="L978" s="4">
        <v>1102602.54</v>
      </c>
      <c r="M978" s="4" t="str" cm="1">
        <f t="array" ref="M978">IF(Excel_Advanced_Sales_Dataset_2000__3[[#This Row],[Total Sales]]&gt;50000,{"Yes"},{"No"})</f>
        <v>Yes</v>
      </c>
      <c r="N978" s="5">
        <v>46161</v>
      </c>
      <c r="O978" s="1" t="s">
        <v>24</v>
      </c>
      <c r="P978" t="s">
        <v>35</v>
      </c>
      <c r="Q978" t="str">
        <f>IF(Excel_Advanced_Sales_Dataset_2000__3[[#This Row],[Delivery Status]]="Pending","Follow Up","Ok")</f>
        <v>Ok</v>
      </c>
      <c r="R978" s="1" t="s">
        <v>53</v>
      </c>
      <c r="S978">
        <f>Excel_Advanced_Sales_Dataset_2000__3[[#This Row],[Quantity]]*Excel_Advanced_Sales_Dataset_2000__3[[#This Row],[Unit Price]]*Excel_Advanced_Sales_Dataset_2000__3[[#This Row],[Discount %]]/100</f>
        <v>180090.03823199999</v>
      </c>
      <c r="T978" s="4">
        <f>Excel_Advanced_Sales_Dataset_2000__3[[#This Row],[Quantity]]*Excel_Advanced_Sales_Dataset_2000__3[[#This Row],[Unit Price]]-Excel_Advanced_Sales_Dataset_2000__3[[#This Row],[Discount Amount]]</f>
        <v>1102602.541768</v>
      </c>
    </row>
    <row r="979" spans="1:20" x14ac:dyDescent="0.25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>
        <v>48</v>
      </c>
      <c r="J979" s="4">
        <v>45255.8</v>
      </c>
      <c r="K979" s="6">
        <v>4.3899999999999997</v>
      </c>
      <c r="L979" s="4">
        <v>2076915.38</v>
      </c>
      <c r="M979" s="4" t="str" cm="1">
        <f t="array" ref="M979">IF(Excel_Advanced_Sales_Dataset_2000__3[[#This Row],[Total Sales]]&gt;50000,{"Yes"},{"No"})</f>
        <v>Yes</v>
      </c>
      <c r="N979" s="5">
        <v>46041</v>
      </c>
      <c r="O979" s="1" t="s">
        <v>24</v>
      </c>
      <c r="P979" t="s">
        <v>35</v>
      </c>
      <c r="Q979" t="str">
        <f>IF(Excel_Advanced_Sales_Dataset_2000__3[[#This Row],[Delivery Status]]="Pending","Follow Up","Ok")</f>
        <v>Ok</v>
      </c>
      <c r="R979" s="1" t="s">
        <v>26</v>
      </c>
      <c r="S979">
        <f>Excel_Advanced_Sales_Dataset_2000__3[[#This Row],[Quantity]]*Excel_Advanced_Sales_Dataset_2000__3[[#This Row],[Unit Price]]*Excel_Advanced_Sales_Dataset_2000__3[[#This Row],[Discount %]]/100</f>
        <v>95363.021760000003</v>
      </c>
      <c r="T979" s="4">
        <f>Excel_Advanced_Sales_Dataset_2000__3[[#This Row],[Quantity]]*Excel_Advanced_Sales_Dataset_2000__3[[#This Row],[Unit Price]]-Excel_Advanced_Sales_Dataset_2000__3[[#This Row],[Discount Amount]]</f>
        <v>2076915.3782400005</v>
      </c>
    </row>
    <row r="980" spans="1:20" x14ac:dyDescent="0.25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>
        <v>41</v>
      </c>
      <c r="J980" s="4">
        <v>49010.55</v>
      </c>
      <c r="K980" s="6">
        <v>16.38</v>
      </c>
      <c r="L980" s="4">
        <v>1680287.5</v>
      </c>
      <c r="M980" s="4" t="str" cm="1">
        <f t="array" ref="M980">IF(Excel_Advanced_Sales_Dataset_2000__3[[#This Row],[Total Sales]]&gt;50000,{"Yes"},{"No"})</f>
        <v>Yes</v>
      </c>
      <c r="N980" s="5">
        <v>46130</v>
      </c>
      <c r="O980" s="1" t="s">
        <v>58</v>
      </c>
      <c r="P980" t="s">
        <v>59</v>
      </c>
      <c r="Q980" t="str">
        <f>IF(Excel_Advanced_Sales_Dataset_2000__3[[#This Row],[Delivery Status]]="Pending","Follow Up","Ok")</f>
        <v>Ok</v>
      </c>
      <c r="R980" s="1" t="s">
        <v>53</v>
      </c>
      <c r="S980">
        <f>Excel_Advanced_Sales_Dataset_2000__3[[#This Row],[Quantity]]*Excel_Advanced_Sales_Dataset_2000__3[[#This Row],[Unit Price]]*Excel_Advanced_Sales_Dataset_2000__3[[#This Row],[Discount %]]/100</f>
        <v>329145.05168999999</v>
      </c>
      <c r="T980" s="4">
        <f>Excel_Advanced_Sales_Dataset_2000__3[[#This Row],[Quantity]]*Excel_Advanced_Sales_Dataset_2000__3[[#This Row],[Unit Price]]-Excel_Advanced_Sales_Dataset_2000__3[[#This Row],[Discount Amount]]</f>
        <v>1680287.4983100002</v>
      </c>
    </row>
    <row r="981" spans="1:20" x14ac:dyDescent="0.25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>
        <v>47</v>
      </c>
      <c r="J981" s="4">
        <v>4154.37</v>
      </c>
      <c r="K981" s="6">
        <v>18.079999999999998</v>
      </c>
      <c r="L981" s="4">
        <v>159953.22</v>
      </c>
      <c r="M981" s="4" t="str" cm="1">
        <f t="array" ref="M981">IF(Excel_Advanced_Sales_Dataset_2000__3[[#This Row],[Total Sales]]&gt;50000,{"Yes"},{"No"})</f>
        <v>Yes</v>
      </c>
      <c r="N981" s="5">
        <v>46042</v>
      </c>
      <c r="O981" s="1" t="s">
        <v>68</v>
      </c>
      <c r="P981" t="s">
        <v>35</v>
      </c>
      <c r="Q981" t="str">
        <f>IF(Excel_Advanced_Sales_Dataset_2000__3[[#This Row],[Delivery Status]]="Pending","Follow Up","Ok")</f>
        <v>Ok</v>
      </c>
      <c r="R981" s="1" t="s">
        <v>26</v>
      </c>
      <c r="S981">
        <f>Excel_Advanced_Sales_Dataset_2000__3[[#This Row],[Quantity]]*Excel_Advanced_Sales_Dataset_2000__3[[#This Row],[Unit Price]]*Excel_Advanced_Sales_Dataset_2000__3[[#This Row],[Discount %]]/100</f>
        <v>35302.174511999998</v>
      </c>
      <c r="T981" s="4">
        <f>Excel_Advanced_Sales_Dataset_2000__3[[#This Row],[Quantity]]*Excel_Advanced_Sales_Dataset_2000__3[[#This Row],[Unit Price]]-Excel_Advanced_Sales_Dataset_2000__3[[#This Row],[Discount Amount]]</f>
        <v>159953.21548799999</v>
      </c>
    </row>
    <row r="982" spans="1:20" x14ac:dyDescent="0.25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>
        <v>38</v>
      </c>
      <c r="J982" s="4">
        <v>44592.94</v>
      </c>
      <c r="K982" s="6">
        <v>8.9499999999999993</v>
      </c>
      <c r="L982" s="4">
        <v>1542871.13</v>
      </c>
      <c r="M982" s="4" t="str" cm="1">
        <f t="array" ref="M982">IF(Excel_Advanced_Sales_Dataset_2000__3[[#This Row],[Total Sales]]&gt;50000,{"Yes"},{"No"})</f>
        <v>Yes</v>
      </c>
      <c r="N982" s="5">
        <v>46080</v>
      </c>
      <c r="O982" s="1" t="s">
        <v>68</v>
      </c>
      <c r="P982" t="s">
        <v>35</v>
      </c>
      <c r="Q982" t="str">
        <f>IF(Excel_Advanced_Sales_Dataset_2000__3[[#This Row],[Delivery Status]]="Pending","Follow Up","Ok")</f>
        <v>Ok</v>
      </c>
      <c r="R982" s="1" t="s">
        <v>36</v>
      </c>
      <c r="S982">
        <f>Excel_Advanced_Sales_Dataset_2000__3[[#This Row],[Quantity]]*Excel_Advanced_Sales_Dataset_2000__3[[#This Row],[Unit Price]]*Excel_Advanced_Sales_Dataset_2000__3[[#This Row],[Discount %]]/100</f>
        <v>151660.58894000002</v>
      </c>
      <c r="T982" s="4">
        <f>Excel_Advanced_Sales_Dataset_2000__3[[#This Row],[Quantity]]*Excel_Advanced_Sales_Dataset_2000__3[[#This Row],[Unit Price]]-Excel_Advanced_Sales_Dataset_2000__3[[#This Row],[Discount Amount]]</f>
        <v>1542871.1310600003</v>
      </c>
    </row>
    <row r="983" spans="1:20" x14ac:dyDescent="0.25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>
        <v>4</v>
      </c>
      <c r="J983" s="4">
        <v>43629.86</v>
      </c>
      <c r="K983" s="6">
        <v>10.8</v>
      </c>
      <c r="L983" s="4">
        <v>155671.34</v>
      </c>
      <c r="M983" s="4" t="str" cm="1">
        <f t="array" ref="M983">IF(Excel_Advanced_Sales_Dataset_2000__3[[#This Row],[Total Sales]]&gt;50000,{"Yes"},{"No"})</f>
        <v>Yes</v>
      </c>
      <c r="N983" s="5">
        <v>46345</v>
      </c>
      <c r="O983" s="1" t="s">
        <v>68</v>
      </c>
      <c r="P983" t="s">
        <v>35</v>
      </c>
      <c r="Q983" t="str">
        <f>IF(Excel_Advanced_Sales_Dataset_2000__3[[#This Row],[Delivery Status]]="Pending","Follow Up","Ok")</f>
        <v>Ok</v>
      </c>
      <c r="R983" s="1" t="s">
        <v>36</v>
      </c>
      <c r="S983">
        <f>Excel_Advanced_Sales_Dataset_2000__3[[#This Row],[Quantity]]*Excel_Advanced_Sales_Dataset_2000__3[[#This Row],[Unit Price]]*Excel_Advanced_Sales_Dataset_2000__3[[#This Row],[Discount %]]/100</f>
        <v>18848.09952</v>
      </c>
      <c r="T983" s="4">
        <f>Excel_Advanced_Sales_Dataset_2000__3[[#This Row],[Quantity]]*Excel_Advanced_Sales_Dataset_2000__3[[#This Row],[Unit Price]]-Excel_Advanced_Sales_Dataset_2000__3[[#This Row],[Discount Amount]]</f>
        <v>155671.34048000001</v>
      </c>
    </row>
    <row r="984" spans="1:20" x14ac:dyDescent="0.25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>
        <v>3</v>
      </c>
      <c r="J984" s="4">
        <v>40887.06</v>
      </c>
      <c r="K984" s="6">
        <v>12.65</v>
      </c>
      <c r="L984" s="4">
        <v>107144.54</v>
      </c>
      <c r="M984" s="4" t="str" cm="1">
        <f t="array" ref="M984">IF(Excel_Advanced_Sales_Dataset_2000__3[[#This Row],[Total Sales]]&gt;50000,{"Yes"},{"No"})</f>
        <v>Yes</v>
      </c>
      <c r="N984" s="5">
        <v>46134</v>
      </c>
      <c r="O984" s="1" t="s">
        <v>68</v>
      </c>
      <c r="P984" t="s">
        <v>35</v>
      </c>
      <c r="Q984" t="str">
        <f>IF(Excel_Advanced_Sales_Dataset_2000__3[[#This Row],[Delivery Status]]="Pending","Follow Up","Ok")</f>
        <v>Ok</v>
      </c>
      <c r="R984" s="1" t="s">
        <v>26</v>
      </c>
      <c r="S984">
        <f>Excel_Advanced_Sales_Dataset_2000__3[[#This Row],[Quantity]]*Excel_Advanced_Sales_Dataset_2000__3[[#This Row],[Unit Price]]*Excel_Advanced_Sales_Dataset_2000__3[[#This Row],[Discount %]]/100</f>
        <v>15516.63927</v>
      </c>
      <c r="T984" s="4">
        <f>Excel_Advanced_Sales_Dataset_2000__3[[#This Row],[Quantity]]*Excel_Advanced_Sales_Dataset_2000__3[[#This Row],[Unit Price]]-Excel_Advanced_Sales_Dataset_2000__3[[#This Row],[Discount Amount]]</f>
        <v>107144.54072999999</v>
      </c>
    </row>
    <row r="985" spans="1:20" x14ac:dyDescent="0.25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>
        <v>33</v>
      </c>
      <c r="J985" s="4">
        <v>5431.98</v>
      </c>
      <c r="K985" s="6">
        <v>1.1399999999999999</v>
      </c>
      <c r="L985" s="4">
        <v>177211.83</v>
      </c>
      <c r="M985" s="4" t="str" cm="1">
        <f t="array" ref="M985">IF(Excel_Advanced_Sales_Dataset_2000__3[[#This Row],[Total Sales]]&gt;50000,{"Yes"},{"No"})</f>
        <v>Yes</v>
      </c>
      <c r="N985" s="5">
        <v>46143</v>
      </c>
      <c r="O985" s="1" t="s">
        <v>113</v>
      </c>
      <c r="P985" t="s">
        <v>25</v>
      </c>
      <c r="Q985" t="str">
        <f>IF(Excel_Advanced_Sales_Dataset_2000__3[[#This Row],[Delivery Status]]="Pending","Follow Up","Ok")</f>
        <v>Follow Up</v>
      </c>
      <c r="R985" s="1" t="s">
        <v>26</v>
      </c>
      <c r="S985">
        <f>Excel_Advanced_Sales_Dataset_2000__3[[#This Row],[Quantity]]*Excel_Advanced_Sales_Dataset_2000__3[[#This Row],[Unit Price]]*Excel_Advanced_Sales_Dataset_2000__3[[#This Row],[Discount %]]/100</f>
        <v>2043.5108759999996</v>
      </c>
      <c r="T985" s="4">
        <f>Excel_Advanced_Sales_Dataset_2000__3[[#This Row],[Quantity]]*Excel_Advanced_Sales_Dataset_2000__3[[#This Row],[Unit Price]]-Excel_Advanced_Sales_Dataset_2000__3[[#This Row],[Discount Amount]]</f>
        <v>177211.82912400001</v>
      </c>
    </row>
    <row r="986" spans="1:20" x14ac:dyDescent="0.25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>
        <v>33</v>
      </c>
      <c r="J986" s="4">
        <v>24867.82</v>
      </c>
      <c r="K986" s="6">
        <v>13.74</v>
      </c>
      <c r="L986" s="4">
        <v>707882.39</v>
      </c>
      <c r="M986" s="4" t="str" cm="1">
        <f t="array" ref="M986">IF(Excel_Advanced_Sales_Dataset_2000__3[[#This Row],[Total Sales]]&gt;50000,{"Yes"},{"No"})</f>
        <v>Yes</v>
      </c>
      <c r="N986" s="5">
        <v>46359</v>
      </c>
      <c r="O986" s="1" t="s">
        <v>68</v>
      </c>
      <c r="P986" t="s">
        <v>35</v>
      </c>
      <c r="Q986" t="str">
        <f>IF(Excel_Advanced_Sales_Dataset_2000__3[[#This Row],[Delivery Status]]="Pending","Follow Up","Ok")</f>
        <v>Ok</v>
      </c>
      <c r="R986" s="1" t="s">
        <v>53</v>
      </c>
      <c r="S986">
        <f>Excel_Advanced_Sales_Dataset_2000__3[[#This Row],[Quantity]]*Excel_Advanced_Sales_Dataset_2000__3[[#This Row],[Unit Price]]*Excel_Advanced_Sales_Dataset_2000__3[[#This Row],[Discount %]]/100</f>
        <v>112755.669444</v>
      </c>
      <c r="T986" s="4">
        <f>Excel_Advanced_Sales_Dataset_2000__3[[#This Row],[Quantity]]*Excel_Advanced_Sales_Dataset_2000__3[[#This Row],[Unit Price]]-Excel_Advanced_Sales_Dataset_2000__3[[#This Row],[Discount Amount]]</f>
        <v>707882.39055599994</v>
      </c>
    </row>
    <row r="987" spans="1:20" x14ac:dyDescent="0.25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>
        <v>22</v>
      </c>
      <c r="J987" s="4">
        <v>1479.43</v>
      </c>
      <c r="K987" s="6">
        <v>10.09</v>
      </c>
      <c r="L987" s="4">
        <v>29263.42</v>
      </c>
      <c r="M987" s="4" t="str" cm="1">
        <f t="array" ref="M987">IF(Excel_Advanced_Sales_Dataset_2000__3[[#This Row],[Total Sales]]&gt;50000,{"Yes"},{"No"})</f>
        <v>No</v>
      </c>
      <c r="N987" s="5">
        <v>46212</v>
      </c>
      <c r="O987" s="1" t="s">
        <v>58</v>
      </c>
      <c r="P987" t="s">
        <v>35</v>
      </c>
      <c r="Q987" t="str">
        <f>IF(Excel_Advanced_Sales_Dataset_2000__3[[#This Row],[Delivery Status]]="Pending","Follow Up","Ok")</f>
        <v>Ok</v>
      </c>
      <c r="R987" s="1" t="s">
        <v>26</v>
      </c>
      <c r="S987">
        <f>Excel_Advanced_Sales_Dataset_2000__3[[#This Row],[Quantity]]*Excel_Advanced_Sales_Dataset_2000__3[[#This Row],[Unit Price]]*Excel_Advanced_Sales_Dataset_2000__3[[#This Row],[Discount %]]/100</f>
        <v>3284.0387140000003</v>
      </c>
      <c r="T987" s="4">
        <f>Excel_Advanced_Sales_Dataset_2000__3[[#This Row],[Quantity]]*Excel_Advanced_Sales_Dataset_2000__3[[#This Row],[Unit Price]]-Excel_Advanced_Sales_Dataset_2000__3[[#This Row],[Discount Amount]]</f>
        <v>29263.421286000004</v>
      </c>
    </row>
    <row r="988" spans="1:20" x14ac:dyDescent="0.25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>
        <v>15</v>
      </c>
      <c r="J988" s="4">
        <v>30672.27</v>
      </c>
      <c r="K988" s="6">
        <v>13.73</v>
      </c>
      <c r="L988" s="4">
        <v>396914.51</v>
      </c>
      <c r="M988" s="4" t="str" cm="1">
        <f t="array" ref="M988">IF(Excel_Advanced_Sales_Dataset_2000__3[[#This Row],[Total Sales]]&gt;50000,{"Yes"},{"No"})</f>
        <v>Yes</v>
      </c>
      <c r="N988" s="5">
        <v>46119</v>
      </c>
      <c r="O988" s="1" t="s">
        <v>24</v>
      </c>
      <c r="P988" t="s">
        <v>35</v>
      </c>
      <c r="Q988" t="str">
        <f>IF(Excel_Advanced_Sales_Dataset_2000__3[[#This Row],[Delivery Status]]="Pending","Follow Up","Ok")</f>
        <v>Ok</v>
      </c>
      <c r="R988" s="1" t="s">
        <v>36</v>
      </c>
      <c r="S988">
        <f>Excel_Advanced_Sales_Dataset_2000__3[[#This Row],[Quantity]]*Excel_Advanced_Sales_Dataset_2000__3[[#This Row],[Unit Price]]*Excel_Advanced_Sales_Dataset_2000__3[[#This Row],[Discount %]]/100</f>
        <v>63169.540065000001</v>
      </c>
      <c r="T988" s="4">
        <f>Excel_Advanced_Sales_Dataset_2000__3[[#This Row],[Quantity]]*Excel_Advanced_Sales_Dataset_2000__3[[#This Row],[Unit Price]]-Excel_Advanced_Sales_Dataset_2000__3[[#This Row],[Discount Amount]]</f>
        <v>396914.50993499998</v>
      </c>
    </row>
    <row r="989" spans="1:20" x14ac:dyDescent="0.25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>
        <v>23</v>
      </c>
      <c r="J989" s="4">
        <v>4599.0600000000004</v>
      </c>
      <c r="K989" s="6">
        <v>5.74</v>
      </c>
      <c r="L989" s="4">
        <v>99706.7</v>
      </c>
      <c r="M989" s="4" t="str" cm="1">
        <f t="array" ref="M989">IF(Excel_Advanced_Sales_Dataset_2000__3[[#This Row],[Total Sales]]&gt;50000,{"Yes"},{"No"})</f>
        <v>Yes</v>
      </c>
      <c r="N989" s="5">
        <v>46271</v>
      </c>
      <c r="O989" s="1" t="s">
        <v>58</v>
      </c>
      <c r="P989" t="s">
        <v>35</v>
      </c>
      <c r="Q989" t="str">
        <f>IF(Excel_Advanced_Sales_Dataset_2000__3[[#This Row],[Delivery Status]]="Pending","Follow Up","Ok")</f>
        <v>Ok</v>
      </c>
      <c r="R989" s="1" t="s">
        <v>36</v>
      </c>
      <c r="S989">
        <f>Excel_Advanced_Sales_Dataset_2000__3[[#This Row],[Quantity]]*Excel_Advanced_Sales_Dataset_2000__3[[#This Row],[Unit Price]]*Excel_Advanced_Sales_Dataset_2000__3[[#This Row],[Discount %]]/100</f>
        <v>6071.6790120000005</v>
      </c>
      <c r="T989" s="4">
        <f>Excel_Advanced_Sales_Dataset_2000__3[[#This Row],[Quantity]]*Excel_Advanced_Sales_Dataset_2000__3[[#This Row],[Unit Price]]-Excel_Advanced_Sales_Dataset_2000__3[[#This Row],[Discount Amount]]</f>
        <v>99706.700987999997</v>
      </c>
    </row>
    <row r="990" spans="1:20" x14ac:dyDescent="0.25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>
        <v>21</v>
      </c>
      <c r="J990" s="4">
        <v>25037.94</v>
      </c>
      <c r="K990" s="6">
        <v>11.8</v>
      </c>
      <c r="L990" s="4">
        <v>463752.72</v>
      </c>
      <c r="M990" s="4" t="str" cm="1">
        <f t="array" ref="M990">IF(Excel_Advanced_Sales_Dataset_2000__3[[#This Row],[Total Sales]]&gt;50000,{"Yes"},{"No"})</f>
        <v>Yes</v>
      </c>
      <c r="N990" s="5">
        <v>46372</v>
      </c>
      <c r="O990" s="1" t="s">
        <v>58</v>
      </c>
      <c r="P990" t="s">
        <v>35</v>
      </c>
      <c r="Q990" t="str">
        <f>IF(Excel_Advanced_Sales_Dataset_2000__3[[#This Row],[Delivery Status]]="Pending","Follow Up","Ok")</f>
        <v>Ok</v>
      </c>
      <c r="R990" s="1" t="s">
        <v>26</v>
      </c>
      <c r="S990">
        <f>Excel_Advanced_Sales_Dataset_2000__3[[#This Row],[Quantity]]*Excel_Advanced_Sales_Dataset_2000__3[[#This Row],[Unit Price]]*Excel_Advanced_Sales_Dataset_2000__3[[#This Row],[Discount %]]/100</f>
        <v>62044.015320000006</v>
      </c>
      <c r="T990" s="4">
        <f>Excel_Advanced_Sales_Dataset_2000__3[[#This Row],[Quantity]]*Excel_Advanced_Sales_Dataset_2000__3[[#This Row],[Unit Price]]-Excel_Advanced_Sales_Dataset_2000__3[[#This Row],[Discount Amount]]</f>
        <v>463752.72467999998</v>
      </c>
    </row>
    <row r="991" spans="1:20" x14ac:dyDescent="0.25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>
        <v>41</v>
      </c>
      <c r="J991" s="4">
        <v>14112.89</v>
      </c>
      <c r="K991" s="6">
        <v>13.58</v>
      </c>
      <c r="L991" s="4">
        <v>500050.74</v>
      </c>
      <c r="M991" s="4" t="str" cm="1">
        <f t="array" ref="M991">IF(Excel_Advanced_Sales_Dataset_2000__3[[#This Row],[Total Sales]]&gt;50000,{"Yes"},{"No"})</f>
        <v>Yes</v>
      </c>
      <c r="N991" s="5">
        <v>46053</v>
      </c>
      <c r="O991" s="1" t="s">
        <v>68</v>
      </c>
      <c r="P991" t="s">
        <v>35</v>
      </c>
      <c r="Q991" t="str">
        <f>IF(Excel_Advanced_Sales_Dataset_2000__3[[#This Row],[Delivery Status]]="Pending","Follow Up","Ok")</f>
        <v>Ok</v>
      </c>
      <c r="R991" s="1" t="s">
        <v>26</v>
      </c>
      <c r="S991">
        <f>Excel_Advanced_Sales_Dataset_2000__3[[#This Row],[Quantity]]*Excel_Advanced_Sales_Dataset_2000__3[[#This Row],[Unit Price]]*Excel_Advanced_Sales_Dataset_2000__3[[#This Row],[Discount %]]/100</f>
        <v>78577.748942000006</v>
      </c>
      <c r="T991" s="4">
        <f>Excel_Advanced_Sales_Dataset_2000__3[[#This Row],[Quantity]]*Excel_Advanced_Sales_Dataset_2000__3[[#This Row],[Unit Price]]-Excel_Advanced_Sales_Dataset_2000__3[[#This Row],[Discount Amount]]</f>
        <v>500050.74105800001</v>
      </c>
    </row>
    <row r="992" spans="1:20" x14ac:dyDescent="0.25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>
        <v>38</v>
      </c>
      <c r="J992" s="4">
        <v>48939.85</v>
      </c>
      <c r="K992" s="6">
        <v>3.51</v>
      </c>
      <c r="L992" s="4">
        <v>1794438.33</v>
      </c>
      <c r="M992" s="4" t="str" cm="1">
        <f t="array" ref="M992">IF(Excel_Advanced_Sales_Dataset_2000__3[[#This Row],[Total Sales]]&gt;50000,{"Yes"},{"No"})</f>
        <v>Yes</v>
      </c>
      <c r="N992" s="5">
        <v>46237</v>
      </c>
      <c r="O992" s="1" t="s">
        <v>45</v>
      </c>
      <c r="P992" t="s">
        <v>35</v>
      </c>
      <c r="Q992" t="str">
        <f>IF(Excel_Advanced_Sales_Dataset_2000__3[[#This Row],[Delivery Status]]="Pending","Follow Up","Ok")</f>
        <v>Ok</v>
      </c>
      <c r="R992" s="1" t="s">
        <v>53</v>
      </c>
      <c r="S992">
        <f>Excel_Advanced_Sales_Dataset_2000__3[[#This Row],[Quantity]]*Excel_Advanced_Sales_Dataset_2000__3[[#This Row],[Unit Price]]*Excel_Advanced_Sales_Dataset_2000__3[[#This Row],[Discount %]]/100</f>
        <v>65275.97193</v>
      </c>
      <c r="T992" s="4">
        <f>Excel_Advanced_Sales_Dataset_2000__3[[#This Row],[Quantity]]*Excel_Advanced_Sales_Dataset_2000__3[[#This Row],[Unit Price]]-Excel_Advanced_Sales_Dataset_2000__3[[#This Row],[Discount Amount]]</f>
        <v>1794438.32807</v>
      </c>
    </row>
    <row r="993" spans="1:20" x14ac:dyDescent="0.25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>
        <v>3</v>
      </c>
      <c r="J993" s="4">
        <v>2018.58</v>
      </c>
      <c r="K993" s="6">
        <v>0.02</v>
      </c>
      <c r="L993" s="4">
        <v>6054.53</v>
      </c>
      <c r="M993" s="4" t="str" cm="1">
        <f t="array" ref="M993">IF(Excel_Advanced_Sales_Dataset_2000__3[[#This Row],[Total Sales]]&gt;50000,{"Yes"},{"No"})</f>
        <v>No</v>
      </c>
      <c r="N993" s="5">
        <v>46082</v>
      </c>
      <c r="O993" s="1" t="s">
        <v>24</v>
      </c>
      <c r="P993" t="s">
        <v>35</v>
      </c>
      <c r="Q993" t="str">
        <f>IF(Excel_Advanced_Sales_Dataset_2000__3[[#This Row],[Delivery Status]]="Pending","Follow Up","Ok")</f>
        <v>Ok</v>
      </c>
      <c r="R993" s="1" t="s">
        <v>53</v>
      </c>
      <c r="S993">
        <f>Excel_Advanced_Sales_Dataset_2000__3[[#This Row],[Quantity]]*Excel_Advanced_Sales_Dataset_2000__3[[#This Row],[Unit Price]]*Excel_Advanced_Sales_Dataset_2000__3[[#This Row],[Discount %]]/100</f>
        <v>1.2111480000000001</v>
      </c>
      <c r="T993" s="4">
        <f>Excel_Advanced_Sales_Dataset_2000__3[[#This Row],[Quantity]]*Excel_Advanced_Sales_Dataset_2000__3[[#This Row],[Unit Price]]-Excel_Advanced_Sales_Dataset_2000__3[[#This Row],[Discount Amount]]</f>
        <v>6054.5288519999995</v>
      </c>
    </row>
    <row r="994" spans="1:20" x14ac:dyDescent="0.25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>
        <v>2</v>
      </c>
      <c r="J994" s="4">
        <v>37534.910000000003</v>
      </c>
      <c r="K994" s="6">
        <v>18.97</v>
      </c>
      <c r="L994" s="4">
        <v>60829.08</v>
      </c>
      <c r="M994" s="4" t="str" cm="1">
        <f t="array" ref="M994">IF(Excel_Advanced_Sales_Dataset_2000__3[[#This Row],[Total Sales]]&gt;50000,{"Yes"},{"No"})</f>
        <v>Yes</v>
      </c>
      <c r="N994" s="5">
        <v>46361</v>
      </c>
      <c r="O994" s="1" t="s">
        <v>24</v>
      </c>
      <c r="P994" t="s">
        <v>35</v>
      </c>
      <c r="Q994" t="str">
        <f>IF(Excel_Advanced_Sales_Dataset_2000__3[[#This Row],[Delivery Status]]="Pending","Follow Up","Ok")</f>
        <v>Ok</v>
      </c>
      <c r="R994" s="1" t="s">
        <v>26</v>
      </c>
      <c r="S994">
        <f>Excel_Advanced_Sales_Dataset_2000__3[[#This Row],[Quantity]]*Excel_Advanced_Sales_Dataset_2000__3[[#This Row],[Unit Price]]*Excel_Advanced_Sales_Dataset_2000__3[[#This Row],[Discount %]]/100</f>
        <v>14240.744854</v>
      </c>
      <c r="T994" s="4">
        <f>Excel_Advanced_Sales_Dataset_2000__3[[#This Row],[Quantity]]*Excel_Advanced_Sales_Dataset_2000__3[[#This Row],[Unit Price]]-Excel_Advanced_Sales_Dataset_2000__3[[#This Row],[Discount Amount]]</f>
        <v>60829.075146000003</v>
      </c>
    </row>
    <row r="995" spans="1:20" x14ac:dyDescent="0.25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>
        <v>33</v>
      </c>
      <c r="J995" s="4">
        <v>21424.22</v>
      </c>
      <c r="K995" s="6">
        <v>12.23</v>
      </c>
      <c r="L995" s="4">
        <v>620533.25</v>
      </c>
      <c r="M995" s="4" t="str" cm="1">
        <f t="array" ref="M995">IF(Excel_Advanced_Sales_Dataset_2000__3[[#This Row],[Total Sales]]&gt;50000,{"Yes"},{"No"})</f>
        <v>Yes</v>
      </c>
      <c r="N995" s="5">
        <v>46166</v>
      </c>
      <c r="O995" s="1" t="s">
        <v>45</v>
      </c>
      <c r="P995" t="s">
        <v>35</v>
      </c>
      <c r="Q995" t="str">
        <f>IF(Excel_Advanced_Sales_Dataset_2000__3[[#This Row],[Delivery Status]]="Pending","Follow Up","Ok")</f>
        <v>Ok</v>
      </c>
      <c r="R995" s="1" t="s">
        <v>26</v>
      </c>
      <c r="S995">
        <f>Excel_Advanced_Sales_Dataset_2000__3[[#This Row],[Quantity]]*Excel_Advanced_Sales_Dataset_2000__3[[#This Row],[Unit Price]]*Excel_Advanced_Sales_Dataset_2000__3[[#This Row],[Discount %]]/100</f>
        <v>86466.009497999999</v>
      </c>
      <c r="T995" s="4">
        <f>Excel_Advanced_Sales_Dataset_2000__3[[#This Row],[Quantity]]*Excel_Advanced_Sales_Dataset_2000__3[[#This Row],[Unit Price]]-Excel_Advanced_Sales_Dataset_2000__3[[#This Row],[Discount Amount]]</f>
        <v>620533.25050199998</v>
      </c>
    </row>
    <row r="996" spans="1:20" x14ac:dyDescent="0.25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>
        <v>20</v>
      </c>
      <c r="J996" s="4">
        <v>25430.42</v>
      </c>
      <c r="K996" s="6">
        <v>12.28</v>
      </c>
      <c r="L996" s="4">
        <v>446151.29</v>
      </c>
      <c r="M996" s="4" t="str" cm="1">
        <f t="array" ref="M996">IF(Excel_Advanced_Sales_Dataset_2000__3[[#This Row],[Total Sales]]&gt;50000,{"Yes"},{"No"})</f>
        <v>Yes</v>
      </c>
      <c r="N996" s="5">
        <v>46310</v>
      </c>
      <c r="O996" s="1" t="s">
        <v>113</v>
      </c>
      <c r="P996" t="s">
        <v>35</v>
      </c>
      <c r="Q996" t="str">
        <f>IF(Excel_Advanced_Sales_Dataset_2000__3[[#This Row],[Delivery Status]]="Pending","Follow Up","Ok")</f>
        <v>Ok</v>
      </c>
      <c r="R996" s="1" t="s">
        <v>36</v>
      </c>
      <c r="S996">
        <f>Excel_Advanced_Sales_Dataset_2000__3[[#This Row],[Quantity]]*Excel_Advanced_Sales_Dataset_2000__3[[#This Row],[Unit Price]]*Excel_Advanced_Sales_Dataset_2000__3[[#This Row],[Discount %]]/100</f>
        <v>62457.111519999991</v>
      </c>
      <c r="T996" s="4">
        <f>Excel_Advanced_Sales_Dataset_2000__3[[#This Row],[Quantity]]*Excel_Advanced_Sales_Dataset_2000__3[[#This Row],[Unit Price]]-Excel_Advanced_Sales_Dataset_2000__3[[#This Row],[Discount Amount]]</f>
        <v>446151.28847999999</v>
      </c>
    </row>
    <row r="997" spans="1:20" x14ac:dyDescent="0.25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>
        <v>18</v>
      </c>
      <c r="J997" s="4">
        <v>18804.96</v>
      </c>
      <c r="K997" s="6">
        <v>11.67</v>
      </c>
      <c r="L997" s="4">
        <v>298987.58</v>
      </c>
      <c r="M997" s="4" t="str" cm="1">
        <f t="array" ref="M997">IF(Excel_Advanced_Sales_Dataset_2000__3[[#This Row],[Total Sales]]&gt;50000,{"Yes"},{"No"})</f>
        <v>Yes</v>
      </c>
      <c r="N997" s="5">
        <v>46030</v>
      </c>
      <c r="O997" s="1" t="s">
        <v>45</v>
      </c>
      <c r="P997" t="s">
        <v>25</v>
      </c>
      <c r="Q997" t="str">
        <f>IF(Excel_Advanced_Sales_Dataset_2000__3[[#This Row],[Delivery Status]]="Pending","Follow Up","Ok")</f>
        <v>Follow Up</v>
      </c>
      <c r="R997" s="1" t="s">
        <v>26</v>
      </c>
      <c r="S997">
        <f>Excel_Advanced_Sales_Dataset_2000__3[[#This Row],[Quantity]]*Excel_Advanced_Sales_Dataset_2000__3[[#This Row],[Unit Price]]*Excel_Advanced_Sales_Dataset_2000__3[[#This Row],[Discount %]]/100</f>
        <v>39501.698976</v>
      </c>
      <c r="T997" s="4">
        <f>Excel_Advanced_Sales_Dataset_2000__3[[#This Row],[Quantity]]*Excel_Advanced_Sales_Dataset_2000__3[[#This Row],[Unit Price]]-Excel_Advanced_Sales_Dataset_2000__3[[#This Row],[Discount Amount]]</f>
        <v>298987.58102399996</v>
      </c>
    </row>
    <row r="998" spans="1:20" x14ac:dyDescent="0.25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>
        <v>48</v>
      </c>
      <c r="J998" s="4">
        <v>34472.080000000002</v>
      </c>
      <c r="K998" s="6">
        <v>14.93</v>
      </c>
      <c r="L998" s="4">
        <v>1407619.13</v>
      </c>
      <c r="M998" s="4" t="str" cm="1">
        <f t="array" ref="M998">IF(Excel_Advanced_Sales_Dataset_2000__3[[#This Row],[Total Sales]]&gt;50000,{"Yes"},{"No"})</f>
        <v>Yes</v>
      </c>
      <c r="N998" s="5">
        <v>46264</v>
      </c>
      <c r="O998" s="1" t="s">
        <v>24</v>
      </c>
      <c r="P998" t="s">
        <v>25</v>
      </c>
      <c r="Q998" t="str">
        <f>IF(Excel_Advanced_Sales_Dataset_2000__3[[#This Row],[Delivery Status]]="Pending","Follow Up","Ok")</f>
        <v>Follow Up</v>
      </c>
      <c r="R998" s="1" t="s">
        <v>36</v>
      </c>
      <c r="S998">
        <f>Excel_Advanced_Sales_Dataset_2000__3[[#This Row],[Quantity]]*Excel_Advanced_Sales_Dataset_2000__3[[#This Row],[Unit Price]]*Excel_Advanced_Sales_Dataset_2000__3[[#This Row],[Discount %]]/100</f>
        <v>247040.71411200002</v>
      </c>
      <c r="T998" s="4">
        <f>Excel_Advanced_Sales_Dataset_2000__3[[#This Row],[Quantity]]*Excel_Advanced_Sales_Dataset_2000__3[[#This Row],[Unit Price]]-Excel_Advanced_Sales_Dataset_2000__3[[#This Row],[Discount Amount]]</f>
        <v>1407619.125888</v>
      </c>
    </row>
    <row r="999" spans="1:20" x14ac:dyDescent="0.25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>
        <v>45</v>
      </c>
      <c r="J999" s="4">
        <v>1971.91</v>
      </c>
      <c r="K999" s="6">
        <v>11.39</v>
      </c>
      <c r="L999" s="4">
        <v>78628.929999999993</v>
      </c>
      <c r="M999" s="4" t="str" cm="1">
        <f t="array" ref="M999">IF(Excel_Advanced_Sales_Dataset_2000__3[[#This Row],[Total Sales]]&gt;50000,{"Yes"},{"No"})</f>
        <v>Yes</v>
      </c>
      <c r="N999" s="5">
        <v>46145</v>
      </c>
      <c r="O999" s="1" t="s">
        <v>58</v>
      </c>
      <c r="P999" t="s">
        <v>35</v>
      </c>
      <c r="Q999" t="str">
        <f>IF(Excel_Advanced_Sales_Dataset_2000__3[[#This Row],[Delivery Status]]="Pending","Follow Up","Ok")</f>
        <v>Ok</v>
      </c>
      <c r="R999" s="1" t="s">
        <v>36</v>
      </c>
      <c r="S999">
        <f>Excel_Advanced_Sales_Dataset_2000__3[[#This Row],[Quantity]]*Excel_Advanced_Sales_Dataset_2000__3[[#This Row],[Unit Price]]*Excel_Advanced_Sales_Dataset_2000__3[[#This Row],[Discount %]]/100</f>
        <v>10107.024705</v>
      </c>
      <c r="T999" s="4">
        <f>Excel_Advanced_Sales_Dataset_2000__3[[#This Row],[Quantity]]*Excel_Advanced_Sales_Dataset_2000__3[[#This Row],[Unit Price]]-Excel_Advanced_Sales_Dataset_2000__3[[#This Row],[Discount Amount]]</f>
        <v>78628.925294999994</v>
      </c>
    </row>
    <row r="1000" spans="1:20" x14ac:dyDescent="0.25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>
        <v>7</v>
      </c>
      <c r="J1000" s="4">
        <v>14955.54</v>
      </c>
      <c r="K1000" s="6">
        <v>6.32</v>
      </c>
      <c r="L1000" s="4">
        <v>98072.45</v>
      </c>
      <c r="M1000" s="4" t="str" cm="1">
        <f t="array" ref="M1000">IF(Excel_Advanced_Sales_Dataset_2000__3[[#This Row],[Total Sales]]&gt;50000,{"Yes"},{"No"})</f>
        <v>Yes</v>
      </c>
      <c r="N1000" s="5">
        <v>46097</v>
      </c>
      <c r="O1000" s="1" t="s">
        <v>45</v>
      </c>
      <c r="P1000" t="s">
        <v>35</v>
      </c>
      <c r="Q1000" t="str">
        <f>IF(Excel_Advanced_Sales_Dataset_2000__3[[#This Row],[Delivery Status]]="Pending","Follow Up","Ok")</f>
        <v>Ok</v>
      </c>
      <c r="R1000" s="1" t="s">
        <v>26</v>
      </c>
      <c r="S1000">
        <f>Excel_Advanced_Sales_Dataset_2000__3[[#This Row],[Quantity]]*Excel_Advanced_Sales_Dataset_2000__3[[#This Row],[Unit Price]]*Excel_Advanced_Sales_Dataset_2000__3[[#This Row],[Discount %]]/100</f>
        <v>6616.3308960000004</v>
      </c>
      <c r="T1000" s="4">
        <f>Excel_Advanced_Sales_Dataset_2000__3[[#This Row],[Quantity]]*Excel_Advanced_Sales_Dataset_2000__3[[#This Row],[Unit Price]]-Excel_Advanced_Sales_Dataset_2000__3[[#This Row],[Discount Amount]]</f>
        <v>98072.449103999999</v>
      </c>
    </row>
    <row r="1001" spans="1:20" x14ac:dyDescent="0.25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>
        <v>14</v>
      </c>
      <c r="J1001" s="4">
        <v>32826.370000000003</v>
      </c>
      <c r="K1001" s="6">
        <v>0.3</v>
      </c>
      <c r="L1001" s="4">
        <v>458190.47</v>
      </c>
      <c r="M1001" s="4" t="str" cm="1">
        <f t="array" ref="M1001">IF(Excel_Advanced_Sales_Dataset_2000__3[[#This Row],[Total Sales]]&gt;50000,{"Yes"},{"No"})</f>
        <v>Yes</v>
      </c>
      <c r="N1001" s="5">
        <v>46303</v>
      </c>
      <c r="O1001" s="1" t="s">
        <v>113</v>
      </c>
      <c r="P1001" t="s">
        <v>35</v>
      </c>
      <c r="Q1001" t="str">
        <f>IF(Excel_Advanced_Sales_Dataset_2000__3[[#This Row],[Delivery Status]]="Pending","Follow Up","Ok")</f>
        <v>Ok</v>
      </c>
      <c r="R1001" s="1" t="s">
        <v>26</v>
      </c>
      <c r="S1001">
        <f>Excel_Advanced_Sales_Dataset_2000__3[[#This Row],[Quantity]]*Excel_Advanced_Sales_Dataset_2000__3[[#This Row],[Unit Price]]*Excel_Advanced_Sales_Dataset_2000__3[[#This Row],[Discount %]]/100</f>
        <v>1378.7075400000001</v>
      </c>
      <c r="T1001" s="4">
        <f>Excel_Advanced_Sales_Dataset_2000__3[[#This Row],[Quantity]]*Excel_Advanced_Sales_Dataset_2000__3[[#This Row],[Unit Price]]-Excel_Advanced_Sales_Dataset_2000__3[[#This Row],[Discount Amount]]</f>
        <v>458190.47246000008</v>
      </c>
    </row>
    <row r="1002" spans="1:20" x14ac:dyDescent="0.25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>
        <v>44</v>
      </c>
      <c r="J1002" s="4">
        <v>2697.86</v>
      </c>
      <c r="K1002" s="6">
        <v>14.71</v>
      </c>
      <c r="L1002" s="4">
        <v>101244.21</v>
      </c>
      <c r="M1002" s="4" t="str" cm="1">
        <f t="array" ref="M1002">IF(Excel_Advanced_Sales_Dataset_2000__3[[#This Row],[Total Sales]]&gt;50000,{"Yes"},{"No"})</f>
        <v>Yes</v>
      </c>
      <c r="N1002" s="5">
        <v>46077</v>
      </c>
      <c r="O1002" s="1" t="s">
        <v>24</v>
      </c>
      <c r="P1002" t="s">
        <v>35</v>
      </c>
      <c r="Q1002" t="str">
        <f>IF(Excel_Advanced_Sales_Dataset_2000__3[[#This Row],[Delivery Status]]="Pending","Follow Up","Ok")</f>
        <v>Ok</v>
      </c>
      <c r="R1002" s="1" t="s">
        <v>36</v>
      </c>
      <c r="S1002">
        <f>Excel_Advanced_Sales_Dataset_2000__3[[#This Row],[Quantity]]*Excel_Advanced_Sales_Dataset_2000__3[[#This Row],[Unit Price]]*Excel_Advanced_Sales_Dataset_2000__3[[#This Row],[Discount %]]/100</f>
        <v>17461.629064000001</v>
      </c>
      <c r="T1002" s="4">
        <f>Excel_Advanced_Sales_Dataset_2000__3[[#This Row],[Quantity]]*Excel_Advanced_Sales_Dataset_2000__3[[#This Row],[Unit Price]]-Excel_Advanced_Sales_Dataset_2000__3[[#This Row],[Discount Amount]]</f>
        <v>101244.21093600002</v>
      </c>
    </row>
    <row r="1003" spans="1:20" x14ac:dyDescent="0.25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>
        <v>18</v>
      </c>
      <c r="J1003" s="4">
        <v>28147.05</v>
      </c>
      <c r="K1003" s="6">
        <v>15.04</v>
      </c>
      <c r="L1003" s="4">
        <v>430447.21</v>
      </c>
      <c r="M1003" s="4" t="str" cm="1">
        <f t="array" ref="M1003">IF(Excel_Advanced_Sales_Dataset_2000__3[[#This Row],[Total Sales]]&gt;50000,{"Yes"},{"No"})</f>
        <v>Yes</v>
      </c>
      <c r="N1003" s="5">
        <v>46072</v>
      </c>
      <c r="O1003" s="1" t="s">
        <v>24</v>
      </c>
      <c r="P1003" t="s">
        <v>35</v>
      </c>
      <c r="Q1003" t="str">
        <f>IF(Excel_Advanced_Sales_Dataset_2000__3[[#This Row],[Delivery Status]]="Pending","Follow Up","Ok")</f>
        <v>Ok</v>
      </c>
      <c r="R1003" s="1" t="s">
        <v>36</v>
      </c>
      <c r="S1003">
        <f>Excel_Advanced_Sales_Dataset_2000__3[[#This Row],[Quantity]]*Excel_Advanced_Sales_Dataset_2000__3[[#This Row],[Unit Price]]*Excel_Advanced_Sales_Dataset_2000__3[[#This Row],[Discount %]]/100</f>
        <v>76199.693759999995</v>
      </c>
      <c r="T1003" s="4">
        <f>Excel_Advanced_Sales_Dataset_2000__3[[#This Row],[Quantity]]*Excel_Advanced_Sales_Dataset_2000__3[[#This Row],[Unit Price]]-Excel_Advanced_Sales_Dataset_2000__3[[#This Row],[Discount Amount]]</f>
        <v>430447.20623999997</v>
      </c>
    </row>
    <row r="1004" spans="1:20" x14ac:dyDescent="0.25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>
        <v>41</v>
      </c>
      <c r="J1004" s="4">
        <v>49922.239999999998</v>
      </c>
      <c r="K1004" s="6">
        <v>4.1399999999999997</v>
      </c>
      <c r="L1004" s="4">
        <v>1962073.83</v>
      </c>
      <c r="M1004" s="4" t="str" cm="1">
        <f t="array" ref="M1004">IF(Excel_Advanced_Sales_Dataset_2000__3[[#This Row],[Total Sales]]&gt;50000,{"Yes"},{"No"})</f>
        <v>Yes</v>
      </c>
      <c r="N1004" s="5">
        <v>46147</v>
      </c>
      <c r="O1004" s="1" t="s">
        <v>24</v>
      </c>
      <c r="P1004" t="s">
        <v>35</v>
      </c>
      <c r="Q1004" t="str">
        <f>IF(Excel_Advanced_Sales_Dataset_2000__3[[#This Row],[Delivery Status]]="Pending","Follow Up","Ok")</f>
        <v>Ok</v>
      </c>
      <c r="R1004" s="1" t="s">
        <v>36</v>
      </c>
      <c r="S1004">
        <f>Excel_Advanced_Sales_Dataset_2000__3[[#This Row],[Quantity]]*Excel_Advanced_Sales_Dataset_2000__3[[#This Row],[Unit Price]]*Excel_Advanced_Sales_Dataset_2000__3[[#This Row],[Discount %]]/100</f>
        <v>84738.010175999982</v>
      </c>
      <c r="T1004" s="4">
        <f>Excel_Advanced_Sales_Dataset_2000__3[[#This Row],[Quantity]]*Excel_Advanced_Sales_Dataset_2000__3[[#This Row],[Unit Price]]-Excel_Advanced_Sales_Dataset_2000__3[[#This Row],[Discount Amount]]</f>
        <v>1962073.8298239999</v>
      </c>
    </row>
    <row r="1005" spans="1:20" x14ac:dyDescent="0.25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>
        <v>36</v>
      </c>
      <c r="J1005" s="4">
        <v>36076.5</v>
      </c>
      <c r="K1005" s="6">
        <v>9.91</v>
      </c>
      <c r="L1005" s="4">
        <v>1170047.48</v>
      </c>
      <c r="M1005" s="4" t="str" cm="1">
        <f t="array" ref="M1005">IF(Excel_Advanced_Sales_Dataset_2000__3[[#This Row],[Total Sales]]&gt;50000,{"Yes"},{"No"})</f>
        <v>Yes</v>
      </c>
      <c r="N1005" s="5">
        <v>46128</v>
      </c>
      <c r="O1005" s="1" t="s">
        <v>113</v>
      </c>
      <c r="P1005" t="s">
        <v>35</v>
      </c>
      <c r="Q1005" t="str">
        <f>IF(Excel_Advanced_Sales_Dataset_2000__3[[#This Row],[Delivery Status]]="Pending","Follow Up","Ok")</f>
        <v>Ok</v>
      </c>
      <c r="R1005" s="1" t="s">
        <v>36</v>
      </c>
      <c r="S1005">
        <f>Excel_Advanced_Sales_Dataset_2000__3[[#This Row],[Quantity]]*Excel_Advanced_Sales_Dataset_2000__3[[#This Row],[Unit Price]]*Excel_Advanced_Sales_Dataset_2000__3[[#This Row],[Discount %]]/100</f>
        <v>128706.52140000001</v>
      </c>
      <c r="T1005" s="4">
        <f>Excel_Advanced_Sales_Dataset_2000__3[[#This Row],[Quantity]]*Excel_Advanced_Sales_Dataset_2000__3[[#This Row],[Unit Price]]-Excel_Advanced_Sales_Dataset_2000__3[[#This Row],[Discount Amount]]</f>
        <v>1170047.4786</v>
      </c>
    </row>
    <row r="1006" spans="1:20" x14ac:dyDescent="0.25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>
        <v>5</v>
      </c>
      <c r="J1006" s="4">
        <v>3394.63</v>
      </c>
      <c r="K1006" s="6">
        <v>5.84</v>
      </c>
      <c r="L1006" s="4">
        <v>15981.92</v>
      </c>
      <c r="M1006" s="4" t="str" cm="1">
        <f t="array" ref="M1006">IF(Excel_Advanced_Sales_Dataset_2000__3[[#This Row],[Total Sales]]&gt;50000,{"Yes"},{"No"})</f>
        <v>No</v>
      </c>
      <c r="N1006" s="5">
        <v>46319</v>
      </c>
      <c r="O1006" s="1" t="s">
        <v>45</v>
      </c>
      <c r="P1006" t="s">
        <v>35</v>
      </c>
      <c r="Q1006" t="str">
        <f>IF(Excel_Advanced_Sales_Dataset_2000__3[[#This Row],[Delivery Status]]="Pending","Follow Up","Ok")</f>
        <v>Ok</v>
      </c>
      <c r="R1006" s="1" t="s">
        <v>53</v>
      </c>
      <c r="S1006">
        <f>Excel_Advanced_Sales_Dataset_2000__3[[#This Row],[Quantity]]*Excel_Advanced_Sales_Dataset_2000__3[[#This Row],[Unit Price]]*Excel_Advanced_Sales_Dataset_2000__3[[#This Row],[Discount %]]/100</f>
        <v>991.23196000000007</v>
      </c>
      <c r="T1006" s="4">
        <f>Excel_Advanced_Sales_Dataset_2000__3[[#This Row],[Quantity]]*Excel_Advanced_Sales_Dataset_2000__3[[#This Row],[Unit Price]]-Excel_Advanced_Sales_Dataset_2000__3[[#This Row],[Discount Amount]]</f>
        <v>15981.91804</v>
      </c>
    </row>
    <row r="1007" spans="1:20" x14ac:dyDescent="0.25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>
        <v>15</v>
      </c>
      <c r="J1007" s="4">
        <v>12831.08</v>
      </c>
      <c r="K1007" s="6">
        <v>18.53</v>
      </c>
      <c r="L1007" s="4">
        <v>156802.21</v>
      </c>
      <c r="M1007" s="4" t="str" cm="1">
        <f t="array" ref="M1007">IF(Excel_Advanced_Sales_Dataset_2000__3[[#This Row],[Total Sales]]&gt;50000,{"Yes"},{"No"})</f>
        <v>Yes</v>
      </c>
      <c r="N1007" s="5">
        <v>46341</v>
      </c>
      <c r="O1007" s="1" t="s">
        <v>113</v>
      </c>
      <c r="P1007" t="s">
        <v>35</v>
      </c>
      <c r="Q1007" t="str">
        <f>IF(Excel_Advanced_Sales_Dataset_2000__3[[#This Row],[Delivery Status]]="Pending","Follow Up","Ok")</f>
        <v>Ok</v>
      </c>
      <c r="R1007" s="1" t="s">
        <v>26</v>
      </c>
      <c r="S1007">
        <f>Excel_Advanced_Sales_Dataset_2000__3[[#This Row],[Quantity]]*Excel_Advanced_Sales_Dataset_2000__3[[#This Row],[Unit Price]]*Excel_Advanced_Sales_Dataset_2000__3[[#This Row],[Discount %]]/100</f>
        <v>35663.986860000005</v>
      </c>
      <c r="T1007" s="4">
        <f>Excel_Advanced_Sales_Dataset_2000__3[[#This Row],[Quantity]]*Excel_Advanced_Sales_Dataset_2000__3[[#This Row],[Unit Price]]-Excel_Advanced_Sales_Dataset_2000__3[[#This Row],[Discount Amount]]</f>
        <v>156802.21314000001</v>
      </c>
    </row>
    <row r="1008" spans="1:20" x14ac:dyDescent="0.25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>
        <v>49</v>
      </c>
      <c r="J1008" s="4">
        <v>49544.3</v>
      </c>
      <c r="K1008" s="6">
        <v>5.01</v>
      </c>
      <c r="L1008" s="4">
        <v>2306044.4</v>
      </c>
      <c r="M1008" s="4" t="str" cm="1">
        <f t="array" ref="M1008">IF(Excel_Advanced_Sales_Dataset_2000__3[[#This Row],[Total Sales]]&gt;50000,{"Yes"},{"No"})</f>
        <v>Yes</v>
      </c>
      <c r="N1008" s="5">
        <v>46143</v>
      </c>
      <c r="O1008" s="1" t="s">
        <v>68</v>
      </c>
      <c r="P1008" t="s">
        <v>59</v>
      </c>
      <c r="Q1008" t="str">
        <f>IF(Excel_Advanced_Sales_Dataset_2000__3[[#This Row],[Delivery Status]]="Pending","Follow Up","Ok")</f>
        <v>Ok</v>
      </c>
      <c r="R1008" s="1" t="s">
        <v>53</v>
      </c>
      <c r="S1008">
        <f>Excel_Advanced_Sales_Dataset_2000__3[[#This Row],[Quantity]]*Excel_Advanced_Sales_Dataset_2000__3[[#This Row],[Unit Price]]*Excel_Advanced_Sales_Dataset_2000__3[[#This Row],[Discount %]]/100</f>
        <v>121626.30207000001</v>
      </c>
      <c r="T1008" s="4">
        <f>Excel_Advanced_Sales_Dataset_2000__3[[#This Row],[Quantity]]*Excel_Advanced_Sales_Dataset_2000__3[[#This Row],[Unit Price]]-Excel_Advanced_Sales_Dataset_2000__3[[#This Row],[Discount Amount]]</f>
        <v>2306044.39793</v>
      </c>
    </row>
    <row r="1009" spans="1:20" x14ac:dyDescent="0.25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>
        <v>1</v>
      </c>
      <c r="J1009" s="4">
        <v>16539.099999999999</v>
      </c>
      <c r="K1009" s="6">
        <v>12.57</v>
      </c>
      <c r="L1009" s="4">
        <v>14460.14</v>
      </c>
      <c r="M1009" s="4" t="str" cm="1">
        <f t="array" ref="M1009">IF(Excel_Advanced_Sales_Dataset_2000__3[[#This Row],[Total Sales]]&gt;50000,{"Yes"},{"No"})</f>
        <v>No</v>
      </c>
      <c r="N1009" s="5">
        <v>46128</v>
      </c>
      <c r="O1009" s="1" t="s">
        <v>45</v>
      </c>
      <c r="P1009" t="s">
        <v>35</v>
      </c>
      <c r="Q1009" t="str">
        <f>IF(Excel_Advanced_Sales_Dataset_2000__3[[#This Row],[Delivery Status]]="Pending","Follow Up","Ok")</f>
        <v>Ok</v>
      </c>
      <c r="R1009" s="1" t="s">
        <v>36</v>
      </c>
      <c r="S1009">
        <f>Excel_Advanced_Sales_Dataset_2000__3[[#This Row],[Quantity]]*Excel_Advanced_Sales_Dataset_2000__3[[#This Row],[Unit Price]]*Excel_Advanced_Sales_Dataset_2000__3[[#This Row],[Discount %]]/100</f>
        <v>2078.9648699999998</v>
      </c>
      <c r="T1009" s="4">
        <f>Excel_Advanced_Sales_Dataset_2000__3[[#This Row],[Quantity]]*Excel_Advanced_Sales_Dataset_2000__3[[#This Row],[Unit Price]]-Excel_Advanced_Sales_Dataset_2000__3[[#This Row],[Discount Amount]]</f>
        <v>14460.135129999999</v>
      </c>
    </row>
    <row r="1010" spans="1:20" x14ac:dyDescent="0.25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>
        <v>21</v>
      </c>
      <c r="J1010" s="4">
        <v>27960.86</v>
      </c>
      <c r="K1010" s="6">
        <v>13.79</v>
      </c>
      <c r="L1010" s="4">
        <v>506206.21</v>
      </c>
      <c r="M1010" s="4" t="str" cm="1">
        <f t="array" ref="M1010">IF(Excel_Advanced_Sales_Dataset_2000__3[[#This Row],[Total Sales]]&gt;50000,{"Yes"},{"No"})</f>
        <v>Yes</v>
      </c>
      <c r="N1010" s="5">
        <v>46142</v>
      </c>
      <c r="O1010" s="1" t="s">
        <v>24</v>
      </c>
      <c r="P1010" t="s">
        <v>35</v>
      </c>
      <c r="Q1010" t="str">
        <f>IF(Excel_Advanced_Sales_Dataset_2000__3[[#This Row],[Delivery Status]]="Pending","Follow Up","Ok")</f>
        <v>Ok</v>
      </c>
      <c r="R1010" s="1" t="s">
        <v>26</v>
      </c>
      <c r="S1010">
        <f>Excel_Advanced_Sales_Dataset_2000__3[[#This Row],[Quantity]]*Excel_Advanced_Sales_Dataset_2000__3[[#This Row],[Unit Price]]*Excel_Advanced_Sales_Dataset_2000__3[[#This Row],[Discount %]]/100</f>
        <v>80971.854473999992</v>
      </c>
      <c r="T1010" s="4">
        <f>Excel_Advanced_Sales_Dataset_2000__3[[#This Row],[Quantity]]*Excel_Advanced_Sales_Dataset_2000__3[[#This Row],[Unit Price]]-Excel_Advanced_Sales_Dataset_2000__3[[#This Row],[Discount Amount]]</f>
        <v>506206.20552600006</v>
      </c>
    </row>
    <row r="1011" spans="1:20" x14ac:dyDescent="0.25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>
        <v>9</v>
      </c>
      <c r="J1011" s="4">
        <v>2043.11</v>
      </c>
      <c r="K1011" s="6">
        <v>8.27</v>
      </c>
      <c r="L1011" s="4">
        <v>16867.3</v>
      </c>
      <c r="M1011" s="4" t="str" cm="1">
        <f t="array" ref="M1011">IF(Excel_Advanced_Sales_Dataset_2000__3[[#This Row],[Total Sales]]&gt;50000,{"Yes"},{"No"})</f>
        <v>No</v>
      </c>
      <c r="N1011" s="5">
        <v>46291</v>
      </c>
      <c r="O1011" s="1" t="s">
        <v>68</v>
      </c>
      <c r="P1011" t="s">
        <v>35</v>
      </c>
      <c r="Q1011" t="str">
        <f>IF(Excel_Advanced_Sales_Dataset_2000__3[[#This Row],[Delivery Status]]="Pending","Follow Up","Ok")</f>
        <v>Ok</v>
      </c>
      <c r="R1011" s="1" t="s">
        <v>26</v>
      </c>
      <c r="S1011">
        <f>Excel_Advanced_Sales_Dataset_2000__3[[#This Row],[Quantity]]*Excel_Advanced_Sales_Dataset_2000__3[[#This Row],[Unit Price]]*Excel_Advanced_Sales_Dataset_2000__3[[#This Row],[Discount %]]/100</f>
        <v>1520.6867729999999</v>
      </c>
      <c r="T1011" s="4">
        <f>Excel_Advanced_Sales_Dataset_2000__3[[#This Row],[Quantity]]*Excel_Advanced_Sales_Dataset_2000__3[[#This Row],[Unit Price]]-Excel_Advanced_Sales_Dataset_2000__3[[#This Row],[Discount Amount]]</f>
        <v>16867.303226999997</v>
      </c>
    </row>
    <row r="1012" spans="1:20" x14ac:dyDescent="0.25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>
        <v>38</v>
      </c>
      <c r="J1012" s="4">
        <v>12355.46</v>
      </c>
      <c r="K1012" s="6">
        <v>18.16</v>
      </c>
      <c r="L1012" s="4">
        <v>384244.92</v>
      </c>
      <c r="M1012" s="4" t="str" cm="1">
        <f t="array" ref="M1012">IF(Excel_Advanced_Sales_Dataset_2000__3[[#This Row],[Total Sales]]&gt;50000,{"Yes"},{"No"})</f>
        <v>Yes</v>
      </c>
      <c r="N1012" s="5">
        <v>46293</v>
      </c>
      <c r="O1012" s="1" t="s">
        <v>24</v>
      </c>
      <c r="P1012" t="s">
        <v>35</v>
      </c>
      <c r="Q1012" t="str">
        <f>IF(Excel_Advanced_Sales_Dataset_2000__3[[#This Row],[Delivery Status]]="Pending","Follow Up","Ok")</f>
        <v>Ok</v>
      </c>
      <c r="R1012" s="1" t="s">
        <v>53</v>
      </c>
      <c r="S1012">
        <f>Excel_Advanced_Sales_Dataset_2000__3[[#This Row],[Quantity]]*Excel_Advanced_Sales_Dataset_2000__3[[#This Row],[Unit Price]]*Excel_Advanced_Sales_Dataset_2000__3[[#This Row],[Discount %]]/100</f>
        <v>85262.558367999998</v>
      </c>
      <c r="T1012" s="4">
        <f>Excel_Advanced_Sales_Dataset_2000__3[[#This Row],[Quantity]]*Excel_Advanced_Sales_Dataset_2000__3[[#This Row],[Unit Price]]-Excel_Advanced_Sales_Dataset_2000__3[[#This Row],[Discount Amount]]</f>
        <v>384244.92163200001</v>
      </c>
    </row>
    <row r="1013" spans="1:20" x14ac:dyDescent="0.25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>
        <v>49</v>
      </c>
      <c r="J1013" s="4">
        <v>37276.31</v>
      </c>
      <c r="K1013" s="6">
        <v>11.44</v>
      </c>
      <c r="L1013" s="4">
        <v>1617583.11</v>
      </c>
      <c r="M1013" s="4" t="str" cm="1">
        <f t="array" ref="M1013">IF(Excel_Advanced_Sales_Dataset_2000__3[[#This Row],[Total Sales]]&gt;50000,{"Yes"},{"No"})</f>
        <v>Yes</v>
      </c>
      <c r="N1013" s="5">
        <v>46116</v>
      </c>
      <c r="O1013" s="1" t="s">
        <v>24</v>
      </c>
      <c r="P1013" t="s">
        <v>35</v>
      </c>
      <c r="Q1013" t="str">
        <f>IF(Excel_Advanced_Sales_Dataset_2000__3[[#This Row],[Delivery Status]]="Pending","Follow Up","Ok")</f>
        <v>Ok</v>
      </c>
      <c r="R1013" s="1" t="s">
        <v>53</v>
      </c>
      <c r="S1013">
        <f>Excel_Advanced_Sales_Dataset_2000__3[[#This Row],[Quantity]]*Excel_Advanced_Sales_Dataset_2000__3[[#This Row],[Unit Price]]*Excel_Advanced_Sales_Dataset_2000__3[[#This Row],[Discount %]]/100</f>
        <v>208956.08333599998</v>
      </c>
      <c r="T1013" s="4">
        <f>Excel_Advanced_Sales_Dataset_2000__3[[#This Row],[Quantity]]*Excel_Advanced_Sales_Dataset_2000__3[[#This Row],[Unit Price]]-Excel_Advanced_Sales_Dataset_2000__3[[#This Row],[Discount Amount]]</f>
        <v>1617583.1066640001</v>
      </c>
    </row>
    <row r="1014" spans="1:20" x14ac:dyDescent="0.25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>
        <v>3</v>
      </c>
      <c r="J1014" s="4">
        <v>8045</v>
      </c>
      <c r="K1014" s="6">
        <v>18.25</v>
      </c>
      <c r="L1014" s="4">
        <v>19730.36</v>
      </c>
      <c r="M1014" s="4" t="str" cm="1">
        <f t="array" ref="M1014">IF(Excel_Advanced_Sales_Dataset_2000__3[[#This Row],[Total Sales]]&gt;50000,{"Yes"},{"No"})</f>
        <v>No</v>
      </c>
      <c r="N1014" s="5">
        <v>46357</v>
      </c>
      <c r="O1014" s="1" t="s">
        <v>58</v>
      </c>
      <c r="P1014" t="s">
        <v>35</v>
      </c>
      <c r="Q1014" t="str">
        <f>IF(Excel_Advanced_Sales_Dataset_2000__3[[#This Row],[Delivery Status]]="Pending","Follow Up","Ok")</f>
        <v>Ok</v>
      </c>
      <c r="R1014" s="1" t="s">
        <v>26</v>
      </c>
      <c r="S1014">
        <f>Excel_Advanced_Sales_Dataset_2000__3[[#This Row],[Quantity]]*Excel_Advanced_Sales_Dataset_2000__3[[#This Row],[Unit Price]]*Excel_Advanced_Sales_Dataset_2000__3[[#This Row],[Discount %]]/100</f>
        <v>4404.6374999999998</v>
      </c>
      <c r="T1014" s="4">
        <f>Excel_Advanced_Sales_Dataset_2000__3[[#This Row],[Quantity]]*Excel_Advanced_Sales_Dataset_2000__3[[#This Row],[Unit Price]]-Excel_Advanced_Sales_Dataset_2000__3[[#This Row],[Discount Amount]]</f>
        <v>19730.362499999999</v>
      </c>
    </row>
    <row r="1015" spans="1:20" x14ac:dyDescent="0.25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>
        <v>32</v>
      </c>
      <c r="J1015" s="4">
        <v>27621.41</v>
      </c>
      <c r="K1015" s="6">
        <v>15.09</v>
      </c>
      <c r="L1015" s="4">
        <v>750506.86</v>
      </c>
      <c r="M1015" s="4" t="str" cm="1">
        <f t="array" ref="M1015">IF(Excel_Advanced_Sales_Dataset_2000__3[[#This Row],[Total Sales]]&gt;50000,{"Yes"},{"No"})</f>
        <v>Yes</v>
      </c>
      <c r="N1015" s="5">
        <v>46023</v>
      </c>
      <c r="O1015" s="1" t="s">
        <v>24</v>
      </c>
      <c r="P1015" t="s">
        <v>25</v>
      </c>
      <c r="Q1015" t="str">
        <f>IF(Excel_Advanced_Sales_Dataset_2000__3[[#This Row],[Delivery Status]]="Pending","Follow Up","Ok")</f>
        <v>Follow Up</v>
      </c>
      <c r="R1015" s="1" t="s">
        <v>53</v>
      </c>
      <c r="S1015">
        <f>Excel_Advanced_Sales_Dataset_2000__3[[#This Row],[Quantity]]*Excel_Advanced_Sales_Dataset_2000__3[[#This Row],[Unit Price]]*Excel_Advanced_Sales_Dataset_2000__3[[#This Row],[Discount %]]/100</f>
        <v>133378.264608</v>
      </c>
      <c r="T1015" s="4">
        <f>Excel_Advanced_Sales_Dataset_2000__3[[#This Row],[Quantity]]*Excel_Advanced_Sales_Dataset_2000__3[[#This Row],[Unit Price]]-Excel_Advanced_Sales_Dataset_2000__3[[#This Row],[Discount Amount]]</f>
        <v>750506.85539199994</v>
      </c>
    </row>
    <row r="1016" spans="1:20" x14ac:dyDescent="0.25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>
        <v>38</v>
      </c>
      <c r="J1016" s="4">
        <v>3335.8</v>
      </c>
      <c r="K1016" s="6">
        <v>14.03</v>
      </c>
      <c r="L1016" s="4">
        <v>108975.92</v>
      </c>
      <c r="M1016" s="4" t="str" cm="1">
        <f t="array" ref="M1016">IF(Excel_Advanced_Sales_Dataset_2000__3[[#This Row],[Total Sales]]&gt;50000,{"Yes"},{"No"})</f>
        <v>Yes</v>
      </c>
      <c r="N1016" s="5">
        <v>46261</v>
      </c>
      <c r="O1016" s="1" t="s">
        <v>45</v>
      </c>
      <c r="P1016" t="s">
        <v>35</v>
      </c>
      <c r="Q1016" t="str">
        <f>IF(Excel_Advanced_Sales_Dataset_2000__3[[#This Row],[Delivery Status]]="Pending","Follow Up","Ok")</f>
        <v>Ok</v>
      </c>
      <c r="R1016" s="1" t="s">
        <v>26</v>
      </c>
      <c r="S1016">
        <f>Excel_Advanced_Sales_Dataset_2000__3[[#This Row],[Quantity]]*Excel_Advanced_Sales_Dataset_2000__3[[#This Row],[Unit Price]]*Excel_Advanced_Sales_Dataset_2000__3[[#This Row],[Discount %]]/100</f>
        <v>17784.484120000001</v>
      </c>
      <c r="T1016" s="4">
        <f>Excel_Advanced_Sales_Dataset_2000__3[[#This Row],[Quantity]]*Excel_Advanced_Sales_Dataset_2000__3[[#This Row],[Unit Price]]-Excel_Advanced_Sales_Dataset_2000__3[[#This Row],[Discount Amount]]</f>
        <v>108975.91588000002</v>
      </c>
    </row>
    <row r="1017" spans="1:20" x14ac:dyDescent="0.25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>
        <v>27</v>
      </c>
      <c r="J1017" s="4">
        <v>4783.3900000000003</v>
      </c>
      <c r="K1017" s="6">
        <v>12.06</v>
      </c>
      <c r="L1017" s="4">
        <v>113575.86</v>
      </c>
      <c r="M1017" s="4" t="str" cm="1">
        <f t="array" ref="M1017">IF(Excel_Advanced_Sales_Dataset_2000__3[[#This Row],[Total Sales]]&gt;50000,{"Yes"},{"No"})</f>
        <v>Yes</v>
      </c>
      <c r="N1017" s="5">
        <v>46247</v>
      </c>
      <c r="O1017" s="1" t="s">
        <v>58</v>
      </c>
      <c r="P1017" t="s">
        <v>35</v>
      </c>
      <c r="Q1017" t="str">
        <f>IF(Excel_Advanced_Sales_Dataset_2000__3[[#This Row],[Delivery Status]]="Pending","Follow Up","Ok")</f>
        <v>Ok</v>
      </c>
      <c r="R1017" s="1" t="s">
        <v>26</v>
      </c>
      <c r="S1017">
        <f>Excel_Advanced_Sales_Dataset_2000__3[[#This Row],[Quantity]]*Excel_Advanced_Sales_Dataset_2000__3[[#This Row],[Unit Price]]*Excel_Advanced_Sales_Dataset_2000__3[[#This Row],[Discount %]]/100</f>
        <v>15575.674518000002</v>
      </c>
      <c r="T1017" s="4">
        <f>Excel_Advanced_Sales_Dataset_2000__3[[#This Row],[Quantity]]*Excel_Advanced_Sales_Dataset_2000__3[[#This Row],[Unit Price]]-Excel_Advanced_Sales_Dataset_2000__3[[#This Row],[Discount Amount]]</f>
        <v>113575.85548200001</v>
      </c>
    </row>
    <row r="1018" spans="1:20" x14ac:dyDescent="0.25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>
        <v>16</v>
      </c>
      <c r="J1018" s="4">
        <v>42496.89</v>
      </c>
      <c r="K1018" s="6">
        <v>16.149999999999999</v>
      </c>
      <c r="L1018" s="4">
        <v>570138.28</v>
      </c>
      <c r="M1018" s="4" t="str" cm="1">
        <f t="array" ref="M1018">IF(Excel_Advanced_Sales_Dataset_2000__3[[#This Row],[Total Sales]]&gt;50000,{"Yes"},{"No"})</f>
        <v>Yes</v>
      </c>
      <c r="N1018" s="5">
        <v>46318</v>
      </c>
      <c r="O1018" s="1" t="s">
        <v>68</v>
      </c>
      <c r="P1018" t="s">
        <v>35</v>
      </c>
      <c r="Q1018" t="str">
        <f>IF(Excel_Advanced_Sales_Dataset_2000__3[[#This Row],[Delivery Status]]="Pending","Follow Up","Ok")</f>
        <v>Ok</v>
      </c>
      <c r="R1018" s="1" t="s">
        <v>26</v>
      </c>
      <c r="S1018">
        <f>Excel_Advanced_Sales_Dataset_2000__3[[#This Row],[Quantity]]*Excel_Advanced_Sales_Dataset_2000__3[[#This Row],[Unit Price]]*Excel_Advanced_Sales_Dataset_2000__3[[#This Row],[Discount %]]/100</f>
        <v>109811.96375999998</v>
      </c>
      <c r="T1018" s="4">
        <f>Excel_Advanced_Sales_Dataset_2000__3[[#This Row],[Quantity]]*Excel_Advanced_Sales_Dataset_2000__3[[#This Row],[Unit Price]]-Excel_Advanced_Sales_Dataset_2000__3[[#This Row],[Discount Amount]]</f>
        <v>570138.27624000004</v>
      </c>
    </row>
    <row r="1019" spans="1:20" x14ac:dyDescent="0.25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>
        <v>20</v>
      </c>
      <c r="J1019" s="4">
        <v>37213.01</v>
      </c>
      <c r="K1019" s="6">
        <v>0.59</v>
      </c>
      <c r="L1019" s="4">
        <v>739869.06</v>
      </c>
      <c r="M1019" s="4" t="str" cm="1">
        <f t="array" ref="M1019">IF(Excel_Advanced_Sales_Dataset_2000__3[[#This Row],[Total Sales]]&gt;50000,{"Yes"},{"No"})</f>
        <v>Yes</v>
      </c>
      <c r="N1019" s="5">
        <v>46345</v>
      </c>
      <c r="O1019" s="1" t="s">
        <v>68</v>
      </c>
      <c r="P1019" t="s">
        <v>25</v>
      </c>
      <c r="Q1019" t="str">
        <f>IF(Excel_Advanced_Sales_Dataset_2000__3[[#This Row],[Delivery Status]]="Pending","Follow Up","Ok")</f>
        <v>Follow Up</v>
      </c>
      <c r="R1019" s="1" t="s">
        <v>53</v>
      </c>
      <c r="S1019">
        <f>Excel_Advanced_Sales_Dataset_2000__3[[#This Row],[Quantity]]*Excel_Advanced_Sales_Dataset_2000__3[[#This Row],[Unit Price]]*Excel_Advanced_Sales_Dataset_2000__3[[#This Row],[Discount %]]/100</f>
        <v>4391.1351800000002</v>
      </c>
      <c r="T1019" s="4">
        <f>Excel_Advanced_Sales_Dataset_2000__3[[#This Row],[Quantity]]*Excel_Advanced_Sales_Dataset_2000__3[[#This Row],[Unit Price]]-Excel_Advanced_Sales_Dataset_2000__3[[#This Row],[Discount Amount]]</f>
        <v>739869.06482000009</v>
      </c>
    </row>
    <row r="1020" spans="1:20" x14ac:dyDescent="0.25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>
        <v>37</v>
      </c>
      <c r="J1020" s="4">
        <v>46508.61</v>
      </c>
      <c r="K1020" s="6">
        <v>19.5</v>
      </c>
      <c r="L1020" s="4">
        <v>1385258.95</v>
      </c>
      <c r="M1020" s="4" t="str" cm="1">
        <f t="array" ref="M1020">IF(Excel_Advanced_Sales_Dataset_2000__3[[#This Row],[Total Sales]]&gt;50000,{"Yes"},{"No"})</f>
        <v>Yes</v>
      </c>
      <c r="N1020" s="5">
        <v>46099</v>
      </c>
      <c r="O1020" s="1" t="s">
        <v>24</v>
      </c>
      <c r="P1020" t="s">
        <v>35</v>
      </c>
      <c r="Q1020" t="str">
        <f>IF(Excel_Advanced_Sales_Dataset_2000__3[[#This Row],[Delivery Status]]="Pending","Follow Up","Ok")</f>
        <v>Ok</v>
      </c>
      <c r="R1020" s="1" t="s">
        <v>53</v>
      </c>
      <c r="S1020">
        <f>Excel_Advanced_Sales_Dataset_2000__3[[#This Row],[Quantity]]*Excel_Advanced_Sales_Dataset_2000__3[[#This Row],[Unit Price]]*Excel_Advanced_Sales_Dataset_2000__3[[#This Row],[Discount %]]/100</f>
        <v>335559.62115000002</v>
      </c>
      <c r="T1020" s="4">
        <f>Excel_Advanced_Sales_Dataset_2000__3[[#This Row],[Quantity]]*Excel_Advanced_Sales_Dataset_2000__3[[#This Row],[Unit Price]]-Excel_Advanced_Sales_Dataset_2000__3[[#This Row],[Discount Amount]]</f>
        <v>1385258.94885</v>
      </c>
    </row>
    <row r="1021" spans="1:20" x14ac:dyDescent="0.25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>
        <v>7</v>
      </c>
      <c r="J1021" s="4">
        <v>40203.58</v>
      </c>
      <c r="K1021" s="6">
        <v>5.44</v>
      </c>
      <c r="L1021" s="4">
        <v>266115.53999999998</v>
      </c>
      <c r="M1021" s="4" t="str" cm="1">
        <f t="array" ref="M1021">IF(Excel_Advanced_Sales_Dataset_2000__3[[#This Row],[Total Sales]]&gt;50000,{"Yes"},{"No"})</f>
        <v>Yes</v>
      </c>
      <c r="N1021" s="5">
        <v>46246</v>
      </c>
      <c r="O1021" s="1" t="s">
        <v>24</v>
      </c>
      <c r="P1021" t="s">
        <v>35</v>
      </c>
      <c r="Q1021" t="str">
        <f>IF(Excel_Advanced_Sales_Dataset_2000__3[[#This Row],[Delivery Status]]="Pending","Follow Up","Ok")</f>
        <v>Ok</v>
      </c>
      <c r="R1021" s="1" t="s">
        <v>53</v>
      </c>
      <c r="S1021">
        <f>Excel_Advanced_Sales_Dataset_2000__3[[#This Row],[Quantity]]*Excel_Advanced_Sales_Dataset_2000__3[[#This Row],[Unit Price]]*Excel_Advanced_Sales_Dataset_2000__3[[#This Row],[Discount %]]/100</f>
        <v>15309.523264000001</v>
      </c>
      <c r="T1021" s="4">
        <f>Excel_Advanced_Sales_Dataset_2000__3[[#This Row],[Quantity]]*Excel_Advanced_Sales_Dataset_2000__3[[#This Row],[Unit Price]]-Excel_Advanced_Sales_Dataset_2000__3[[#This Row],[Discount Amount]]</f>
        <v>266115.53673599998</v>
      </c>
    </row>
    <row r="1022" spans="1:20" x14ac:dyDescent="0.25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>
        <v>41</v>
      </c>
      <c r="J1022" s="4">
        <v>17474.830000000002</v>
      </c>
      <c r="K1022" s="6">
        <v>17.37</v>
      </c>
      <c r="L1022" s="4">
        <v>592017.53</v>
      </c>
      <c r="M1022" s="4" t="str" cm="1">
        <f t="array" ref="M1022">IF(Excel_Advanced_Sales_Dataset_2000__3[[#This Row],[Total Sales]]&gt;50000,{"Yes"},{"No"})</f>
        <v>Yes</v>
      </c>
      <c r="N1022" s="5">
        <v>46228</v>
      </c>
      <c r="O1022" s="1" t="s">
        <v>113</v>
      </c>
      <c r="P1022" t="s">
        <v>59</v>
      </c>
      <c r="Q1022" t="str">
        <f>IF(Excel_Advanced_Sales_Dataset_2000__3[[#This Row],[Delivery Status]]="Pending","Follow Up","Ok")</f>
        <v>Ok</v>
      </c>
      <c r="R1022" s="1" t="s">
        <v>36</v>
      </c>
      <c r="S1022">
        <f>Excel_Advanced_Sales_Dataset_2000__3[[#This Row],[Quantity]]*Excel_Advanced_Sales_Dataset_2000__3[[#This Row],[Unit Price]]*Excel_Advanced_Sales_Dataset_2000__3[[#This Row],[Discount %]]/100</f>
        <v>124450.49681100002</v>
      </c>
      <c r="T1022" s="4">
        <f>Excel_Advanced_Sales_Dataset_2000__3[[#This Row],[Quantity]]*Excel_Advanced_Sales_Dataset_2000__3[[#This Row],[Unit Price]]-Excel_Advanced_Sales_Dataset_2000__3[[#This Row],[Discount Amount]]</f>
        <v>592017.53318899998</v>
      </c>
    </row>
    <row r="1023" spans="1:20" x14ac:dyDescent="0.25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>
        <v>22</v>
      </c>
      <c r="J1023" s="4">
        <v>41529.47</v>
      </c>
      <c r="K1023" s="6">
        <v>5.92</v>
      </c>
      <c r="L1023" s="4">
        <v>859560.36</v>
      </c>
      <c r="M1023" s="4" t="str" cm="1">
        <f t="array" ref="M1023">IF(Excel_Advanced_Sales_Dataset_2000__3[[#This Row],[Total Sales]]&gt;50000,{"Yes"},{"No"})</f>
        <v>Yes</v>
      </c>
      <c r="N1023" s="5">
        <v>46216</v>
      </c>
      <c r="O1023" s="1" t="s">
        <v>24</v>
      </c>
      <c r="P1023" t="s">
        <v>35</v>
      </c>
      <c r="Q1023" t="str">
        <f>IF(Excel_Advanced_Sales_Dataset_2000__3[[#This Row],[Delivery Status]]="Pending","Follow Up","Ok")</f>
        <v>Ok</v>
      </c>
      <c r="R1023" s="1" t="s">
        <v>26</v>
      </c>
      <c r="S1023">
        <f>Excel_Advanced_Sales_Dataset_2000__3[[#This Row],[Quantity]]*Excel_Advanced_Sales_Dataset_2000__3[[#This Row],[Unit Price]]*Excel_Advanced_Sales_Dataset_2000__3[[#This Row],[Discount %]]/100</f>
        <v>54087.981728000006</v>
      </c>
      <c r="T1023" s="4">
        <f>Excel_Advanced_Sales_Dataset_2000__3[[#This Row],[Quantity]]*Excel_Advanced_Sales_Dataset_2000__3[[#This Row],[Unit Price]]-Excel_Advanced_Sales_Dataset_2000__3[[#This Row],[Discount Amount]]</f>
        <v>859560.3582720001</v>
      </c>
    </row>
    <row r="1024" spans="1:20" x14ac:dyDescent="0.25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>
        <v>48</v>
      </c>
      <c r="J1024" s="4">
        <v>27470.65</v>
      </c>
      <c r="K1024" s="6">
        <v>10.92</v>
      </c>
      <c r="L1024" s="4">
        <v>1174601.04</v>
      </c>
      <c r="M1024" s="4" t="str" cm="1">
        <f t="array" ref="M1024">IF(Excel_Advanced_Sales_Dataset_2000__3[[#This Row],[Total Sales]]&gt;50000,{"Yes"},{"No"})</f>
        <v>Yes</v>
      </c>
      <c r="N1024" s="5">
        <v>46080</v>
      </c>
      <c r="O1024" s="1" t="s">
        <v>45</v>
      </c>
      <c r="P1024" t="s">
        <v>25</v>
      </c>
      <c r="Q1024" t="str">
        <f>IF(Excel_Advanced_Sales_Dataset_2000__3[[#This Row],[Delivery Status]]="Pending","Follow Up","Ok")</f>
        <v>Follow Up</v>
      </c>
      <c r="R1024" s="1" t="s">
        <v>26</v>
      </c>
      <c r="S1024">
        <f>Excel_Advanced_Sales_Dataset_2000__3[[#This Row],[Quantity]]*Excel_Advanced_Sales_Dataset_2000__3[[#This Row],[Unit Price]]*Excel_Advanced_Sales_Dataset_2000__3[[#This Row],[Discount %]]/100</f>
        <v>143990.15904</v>
      </c>
      <c r="T1024" s="4">
        <f>Excel_Advanced_Sales_Dataset_2000__3[[#This Row],[Quantity]]*Excel_Advanced_Sales_Dataset_2000__3[[#This Row],[Unit Price]]-Excel_Advanced_Sales_Dataset_2000__3[[#This Row],[Discount Amount]]</f>
        <v>1174601.0409600001</v>
      </c>
    </row>
    <row r="1025" spans="1:20" x14ac:dyDescent="0.25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>
        <v>44</v>
      </c>
      <c r="J1025" s="4">
        <v>22608.22</v>
      </c>
      <c r="K1025" s="6">
        <v>9.39</v>
      </c>
      <c r="L1025" s="4">
        <v>901353.56</v>
      </c>
      <c r="M1025" s="4" t="str" cm="1">
        <f t="array" ref="M1025">IF(Excel_Advanced_Sales_Dataset_2000__3[[#This Row],[Total Sales]]&gt;50000,{"Yes"},{"No"})</f>
        <v>Yes</v>
      </c>
      <c r="N1025" s="5">
        <v>46190</v>
      </c>
      <c r="O1025" s="1" t="s">
        <v>24</v>
      </c>
      <c r="P1025" t="s">
        <v>35</v>
      </c>
      <c r="Q1025" t="str">
        <f>IF(Excel_Advanced_Sales_Dataset_2000__3[[#This Row],[Delivery Status]]="Pending","Follow Up","Ok")</f>
        <v>Ok</v>
      </c>
      <c r="R1025" s="1" t="s">
        <v>26</v>
      </c>
      <c r="S1025">
        <f>Excel_Advanced_Sales_Dataset_2000__3[[#This Row],[Quantity]]*Excel_Advanced_Sales_Dataset_2000__3[[#This Row],[Unit Price]]*Excel_Advanced_Sales_Dataset_2000__3[[#This Row],[Discount %]]/100</f>
        <v>93408.121752000006</v>
      </c>
      <c r="T1025" s="4">
        <f>Excel_Advanced_Sales_Dataset_2000__3[[#This Row],[Quantity]]*Excel_Advanced_Sales_Dataset_2000__3[[#This Row],[Unit Price]]-Excel_Advanced_Sales_Dataset_2000__3[[#This Row],[Discount Amount]]</f>
        <v>901353.55824799999</v>
      </c>
    </row>
    <row r="1026" spans="1:20" x14ac:dyDescent="0.25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>
        <v>42</v>
      </c>
      <c r="J1026" s="4">
        <v>35018.400000000001</v>
      </c>
      <c r="K1026" s="6">
        <v>4.25</v>
      </c>
      <c r="L1026" s="4">
        <v>1408264.96</v>
      </c>
      <c r="M1026" s="4" t="str" cm="1">
        <f t="array" ref="M1026">IF(Excel_Advanced_Sales_Dataset_2000__3[[#This Row],[Total Sales]]&gt;50000,{"Yes"},{"No"})</f>
        <v>Yes</v>
      </c>
      <c r="N1026" s="5">
        <v>46365</v>
      </c>
      <c r="O1026" s="1" t="s">
        <v>113</v>
      </c>
      <c r="P1026" t="s">
        <v>35</v>
      </c>
      <c r="Q1026" t="str">
        <f>IF(Excel_Advanced_Sales_Dataset_2000__3[[#This Row],[Delivery Status]]="Pending","Follow Up","Ok")</f>
        <v>Ok</v>
      </c>
      <c r="R1026" s="1" t="s">
        <v>26</v>
      </c>
      <c r="S1026">
        <f>Excel_Advanced_Sales_Dataset_2000__3[[#This Row],[Quantity]]*Excel_Advanced_Sales_Dataset_2000__3[[#This Row],[Unit Price]]*Excel_Advanced_Sales_Dataset_2000__3[[#This Row],[Discount %]]/100</f>
        <v>62507.844000000005</v>
      </c>
      <c r="T1026" s="4">
        <f>Excel_Advanced_Sales_Dataset_2000__3[[#This Row],[Quantity]]*Excel_Advanced_Sales_Dataset_2000__3[[#This Row],[Unit Price]]-Excel_Advanced_Sales_Dataset_2000__3[[#This Row],[Discount Amount]]</f>
        <v>1408264.956</v>
      </c>
    </row>
    <row r="1027" spans="1:20" x14ac:dyDescent="0.25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>
        <v>22</v>
      </c>
      <c r="J1027" s="4">
        <v>28283.360000000001</v>
      </c>
      <c r="K1027" s="6">
        <v>11.3</v>
      </c>
      <c r="L1027" s="4">
        <v>551921.49</v>
      </c>
      <c r="M1027" s="4" t="str" cm="1">
        <f t="array" ref="M1027">IF(Excel_Advanced_Sales_Dataset_2000__3[[#This Row],[Total Sales]]&gt;50000,{"Yes"},{"No"})</f>
        <v>Yes</v>
      </c>
      <c r="N1027" s="5">
        <v>46300</v>
      </c>
      <c r="O1027" s="1" t="s">
        <v>24</v>
      </c>
      <c r="P1027" t="s">
        <v>35</v>
      </c>
      <c r="Q1027" t="str">
        <f>IF(Excel_Advanced_Sales_Dataset_2000__3[[#This Row],[Delivery Status]]="Pending","Follow Up","Ok")</f>
        <v>Ok</v>
      </c>
      <c r="R1027" s="1" t="s">
        <v>26</v>
      </c>
      <c r="S1027">
        <f>Excel_Advanced_Sales_Dataset_2000__3[[#This Row],[Quantity]]*Excel_Advanced_Sales_Dataset_2000__3[[#This Row],[Unit Price]]*Excel_Advanced_Sales_Dataset_2000__3[[#This Row],[Discount %]]/100</f>
        <v>70312.432960000006</v>
      </c>
      <c r="T1027" s="4">
        <f>Excel_Advanced_Sales_Dataset_2000__3[[#This Row],[Quantity]]*Excel_Advanced_Sales_Dataset_2000__3[[#This Row],[Unit Price]]-Excel_Advanced_Sales_Dataset_2000__3[[#This Row],[Discount Amount]]</f>
        <v>551921.48704000004</v>
      </c>
    </row>
    <row r="1028" spans="1:20" x14ac:dyDescent="0.25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>
        <v>14</v>
      </c>
      <c r="J1028" s="4">
        <v>43851.9</v>
      </c>
      <c r="K1028" s="6">
        <v>0.79</v>
      </c>
      <c r="L1028" s="4">
        <v>609076.57999999996</v>
      </c>
      <c r="M1028" s="4" t="str" cm="1">
        <f t="array" ref="M1028">IF(Excel_Advanced_Sales_Dataset_2000__3[[#This Row],[Total Sales]]&gt;50000,{"Yes"},{"No"})</f>
        <v>Yes</v>
      </c>
      <c r="N1028" s="5">
        <v>46337</v>
      </c>
      <c r="O1028" s="1" t="s">
        <v>113</v>
      </c>
      <c r="P1028" t="s">
        <v>59</v>
      </c>
      <c r="Q1028" t="str">
        <f>IF(Excel_Advanced_Sales_Dataset_2000__3[[#This Row],[Delivery Status]]="Pending","Follow Up","Ok")</f>
        <v>Ok</v>
      </c>
      <c r="R1028" s="1" t="s">
        <v>53</v>
      </c>
      <c r="S1028">
        <f>Excel_Advanced_Sales_Dataset_2000__3[[#This Row],[Quantity]]*Excel_Advanced_Sales_Dataset_2000__3[[#This Row],[Unit Price]]*Excel_Advanced_Sales_Dataset_2000__3[[#This Row],[Discount %]]/100</f>
        <v>4850.0201400000005</v>
      </c>
      <c r="T1028" s="4">
        <f>Excel_Advanced_Sales_Dataset_2000__3[[#This Row],[Quantity]]*Excel_Advanced_Sales_Dataset_2000__3[[#This Row],[Unit Price]]-Excel_Advanced_Sales_Dataset_2000__3[[#This Row],[Discount Amount]]</f>
        <v>609076.57985999994</v>
      </c>
    </row>
    <row r="1029" spans="1:20" x14ac:dyDescent="0.25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>
        <v>31</v>
      </c>
      <c r="J1029" s="4">
        <v>29896.3</v>
      </c>
      <c r="K1029" s="6">
        <v>2.11</v>
      </c>
      <c r="L1029" s="4">
        <v>907230.13</v>
      </c>
      <c r="M1029" s="4" t="str" cm="1">
        <f t="array" ref="M1029">IF(Excel_Advanced_Sales_Dataset_2000__3[[#This Row],[Total Sales]]&gt;50000,{"Yes"},{"No"})</f>
        <v>Yes</v>
      </c>
      <c r="N1029" s="5">
        <v>46207</v>
      </c>
      <c r="O1029" s="1" t="s">
        <v>113</v>
      </c>
      <c r="P1029" t="s">
        <v>35</v>
      </c>
      <c r="Q1029" t="str">
        <f>IF(Excel_Advanced_Sales_Dataset_2000__3[[#This Row],[Delivery Status]]="Pending","Follow Up","Ok")</f>
        <v>Ok</v>
      </c>
      <c r="R1029" s="1" t="s">
        <v>53</v>
      </c>
      <c r="S1029">
        <f>Excel_Advanced_Sales_Dataset_2000__3[[#This Row],[Quantity]]*Excel_Advanced_Sales_Dataset_2000__3[[#This Row],[Unit Price]]*Excel_Advanced_Sales_Dataset_2000__3[[#This Row],[Discount %]]/100</f>
        <v>19555.169829999999</v>
      </c>
      <c r="T1029" s="4">
        <f>Excel_Advanced_Sales_Dataset_2000__3[[#This Row],[Quantity]]*Excel_Advanced_Sales_Dataset_2000__3[[#This Row],[Unit Price]]-Excel_Advanced_Sales_Dataset_2000__3[[#This Row],[Discount Amount]]</f>
        <v>907230.1301699999</v>
      </c>
    </row>
    <row r="1030" spans="1:20" x14ac:dyDescent="0.25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>
        <v>45</v>
      </c>
      <c r="J1030" s="4">
        <v>22950.21</v>
      </c>
      <c r="K1030" s="6">
        <v>4.87</v>
      </c>
      <c r="L1030" s="4">
        <v>982464.06</v>
      </c>
      <c r="M1030" s="4" t="str" cm="1">
        <f t="array" ref="M1030">IF(Excel_Advanced_Sales_Dataset_2000__3[[#This Row],[Total Sales]]&gt;50000,{"Yes"},{"No"})</f>
        <v>Yes</v>
      </c>
      <c r="N1030" s="5">
        <v>46216</v>
      </c>
      <c r="O1030" s="1" t="s">
        <v>68</v>
      </c>
      <c r="P1030" t="s">
        <v>35</v>
      </c>
      <c r="Q1030" t="str">
        <f>IF(Excel_Advanced_Sales_Dataset_2000__3[[#This Row],[Delivery Status]]="Pending","Follow Up","Ok")</f>
        <v>Ok</v>
      </c>
      <c r="R1030" s="1" t="s">
        <v>36</v>
      </c>
      <c r="S1030">
        <f>Excel_Advanced_Sales_Dataset_2000__3[[#This Row],[Quantity]]*Excel_Advanced_Sales_Dataset_2000__3[[#This Row],[Unit Price]]*Excel_Advanced_Sales_Dataset_2000__3[[#This Row],[Discount %]]/100</f>
        <v>50295.385214999995</v>
      </c>
      <c r="T1030" s="4">
        <f>Excel_Advanced_Sales_Dataset_2000__3[[#This Row],[Quantity]]*Excel_Advanced_Sales_Dataset_2000__3[[#This Row],[Unit Price]]-Excel_Advanced_Sales_Dataset_2000__3[[#This Row],[Discount Amount]]</f>
        <v>982464.06478499994</v>
      </c>
    </row>
    <row r="1031" spans="1:20" x14ac:dyDescent="0.25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>
        <v>2</v>
      </c>
      <c r="J1031" s="4">
        <v>11912.78</v>
      </c>
      <c r="K1031" s="6">
        <v>2.21</v>
      </c>
      <c r="L1031" s="4">
        <v>23299.02</v>
      </c>
      <c r="M1031" s="4" t="str" cm="1">
        <f t="array" ref="M1031">IF(Excel_Advanced_Sales_Dataset_2000__3[[#This Row],[Total Sales]]&gt;50000,{"Yes"},{"No"})</f>
        <v>No</v>
      </c>
      <c r="N1031" s="5">
        <v>46333</v>
      </c>
      <c r="O1031" s="1" t="s">
        <v>58</v>
      </c>
      <c r="P1031" t="s">
        <v>35</v>
      </c>
      <c r="Q1031" t="str">
        <f>IF(Excel_Advanced_Sales_Dataset_2000__3[[#This Row],[Delivery Status]]="Pending","Follow Up","Ok")</f>
        <v>Ok</v>
      </c>
      <c r="R1031" s="1" t="s">
        <v>53</v>
      </c>
      <c r="S1031">
        <f>Excel_Advanced_Sales_Dataset_2000__3[[#This Row],[Quantity]]*Excel_Advanced_Sales_Dataset_2000__3[[#This Row],[Unit Price]]*Excel_Advanced_Sales_Dataset_2000__3[[#This Row],[Discount %]]/100</f>
        <v>526.54487600000004</v>
      </c>
      <c r="T1031" s="4">
        <f>Excel_Advanced_Sales_Dataset_2000__3[[#This Row],[Quantity]]*Excel_Advanced_Sales_Dataset_2000__3[[#This Row],[Unit Price]]-Excel_Advanced_Sales_Dataset_2000__3[[#This Row],[Discount Amount]]</f>
        <v>23299.015124000001</v>
      </c>
    </row>
    <row r="1032" spans="1:20" x14ac:dyDescent="0.25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>
        <v>29</v>
      </c>
      <c r="J1032" s="4">
        <v>25688.94</v>
      </c>
      <c r="K1032" s="6">
        <v>5.18</v>
      </c>
      <c r="L1032" s="4">
        <v>706389.33</v>
      </c>
      <c r="M1032" s="4" t="str" cm="1">
        <f t="array" ref="M1032">IF(Excel_Advanced_Sales_Dataset_2000__3[[#This Row],[Total Sales]]&gt;50000,{"Yes"},{"No"})</f>
        <v>Yes</v>
      </c>
      <c r="N1032" s="5">
        <v>46152</v>
      </c>
      <c r="O1032" s="1" t="s">
        <v>24</v>
      </c>
      <c r="P1032" t="s">
        <v>35</v>
      </c>
      <c r="Q1032" t="str">
        <f>IF(Excel_Advanced_Sales_Dataset_2000__3[[#This Row],[Delivery Status]]="Pending","Follow Up","Ok")</f>
        <v>Ok</v>
      </c>
      <c r="R1032" s="1" t="s">
        <v>53</v>
      </c>
      <c r="S1032">
        <f>Excel_Advanced_Sales_Dataset_2000__3[[#This Row],[Quantity]]*Excel_Advanced_Sales_Dataset_2000__3[[#This Row],[Unit Price]]*Excel_Advanced_Sales_Dataset_2000__3[[#This Row],[Discount %]]/100</f>
        <v>38589.925667999996</v>
      </c>
      <c r="T1032" s="4">
        <f>Excel_Advanced_Sales_Dataset_2000__3[[#This Row],[Quantity]]*Excel_Advanced_Sales_Dataset_2000__3[[#This Row],[Unit Price]]-Excel_Advanced_Sales_Dataset_2000__3[[#This Row],[Discount Amount]]</f>
        <v>706389.334332</v>
      </c>
    </row>
    <row r="1033" spans="1:20" x14ac:dyDescent="0.25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>
        <v>30</v>
      </c>
      <c r="J1033" s="4">
        <v>29664.66</v>
      </c>
      <c r="K1033" s="6">
        <v>1.34</v>
      </c>
      <c r="L1033" s="4">
        <v>878014.61</v>
      </c>
      <c r="M1033" s="4" t="str" cm="1">
        <f t="array" ref="M1033">IF(Excel_Advanced_Sales_Dataset_2000__3[[#This Row],[Total Sales]]&gt;50000,{"Yes"},{"No"})</f>
        <v>Yes</v>
      </c>
      <c r="N1033" s="5">
        <v>46232</v>
      </c>
      <c r="O1033" s="1" t="s">
        <v>24</v>
      </c>
      <c r="P1033" t="s">
        <v>35</v>
      </c>
      <c r="Q1033" t="str">
        <f>IF(Excel_Advanced_Sales_Dataset_2000__3[[#This Row],[Delivery Status]]="Pending","Follow Up","Ok")</f>
        <v>Ok</v>
      </c>
      <c r="R1033" s="1" t="s">
        <v>26</v>
      </c>
      <c r="S1033">
        <f>Excel_Advanced_Sales_Dataset_2000__3[[#This Row],[Quantity]]*Excel_Advanced_Sales_Dataset_2000__3[[#This Row],[Unit Price]]*Excel_Advanced_Sales_Dataset_2000__3[[#This Row],[Discount %]]/100</f>
        <v>11925.193320000002</v>
      </c>
      <c r="T1033" s="4">
        <f>Excel_Advanced_Sales_Dataset_2000__3[[#This Row],[Quantity]]*Excel_Advanced_Sales_Dataset_2000__3[[#This Row],[Unit Price]]-Excel_Advanced_Sales_Dataset_2000__3[[#This Row],[Discount Amount]]</f>
        <v>878014.60668000008</v>
      </c>
    </row>
    <row r="1034" spans="1:20" x14ac:dyDescent="0.25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>
        <v>16</v>
      </c>
      <c r="J1034" s="4">
        <v>980.18</v>
      </c>
      <c r="K1034" s="6">
        <v>11.15</v>
      </c>
      <c r="L1034" s="4">
        <v>13934.24</v>
      </c>
      <c r="M1034" s="4" t="str" cm="1">
        <f t="array" ref="M1034">IF(Excel_Advanced_Sales_Dataset_2000__3[[#This Row],[Total Sales]]&gt;50000,{"Yes"},{"No"})</f>
        <v>No</v>
      </c>
      <c r="N1034" s="5">
        <v>46260</v>
      </c>
      <c r="O1034" s="1" t="s">
        <v>45</v>
      </c>
      <c r="P1034" t="s">
        <v>35</v>
      </c>
      <c r="Q1034" t="str">
        <f>IF(Excel_Advanced_Sales_Dataset_2000__3[[#This Row],[Delivery Status]]="Pending","Follow Up","Ok")</f>
        <v>Ok</v>
      </c>
      <c r="R1034" s="1" t="s">
        <v>26</v>
      </c>
      <c r="S1034">
        <f>Excel_Advanced_Sales_Dataset_2000__3[[#This Row],[Quantity]]*Excel_Advanced_Sales_Dataset_2000__3[[#This Row],[Unit Price]]*Excel_Advanced_Sales_Dataset_2000__3[[#This Row],[Discount %]]/100</f>
        <v>1748.64112</v>
      </c>
      <c r="T1034" s="4">
        <f>Excel_Advanced_Sales_Dataset_2000__3[[#This Row],[Quantity]]*Excel_Advanced_Sales_Dataset_2000__3[[#This Row],[Unit Price]]-Excel_Advanced_Sales_Dataset_2000__3[[#This Row],[Discount Amount]]</f>
        <v>13934.238879999999</v>
      </c>
    </row>
    <row r="1035" spans="1:20" x14ac:dyDescent="0.25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>
        <v>11</v>
      </c>
      <c r="J1035" s="4">
        <v>49533.42</v>
      </c>
      <c r="K1035" s="6">
        <v>6.29</v>
      </c>
      <c r="L1035" s="4">
        <v>510595.45</v>
      </c>
      <c r="M1035" s="4" t="str" cm="1">
        <f t="array" ref="M1035">IF(Excel_Advanced_Sales_Dataset_2000__3[[#This Row],[Total Sales]]&gt;50000,{"Yes"},{"No"})</f>
        <v>Yes</v>
      </c>
      <c r="N1035" s="5">
        <v>46194</v>
      </c>
      <c r="O1035" s="1" t="s">
        <v>68</v>
      </c>
      <c r="P1035" t="s">
        <v>59</v>
      </c>
      <c r="Q1035" t="str">
        <f>IF(Excel_Advanced_Sales_Dataset_2000__3[[#This Row],[Delivery Status]]="Pending","Follow Up","Ok")</f>
        <v>Ok</v>
      </c>
      <c r="R1035" s="1" t="s">
        <v>53</v>
      </c>
      <c r="S1035">
        <f>Excel_Advanced_Sales_Dataset_2000__3[[#This Row],[Quantity]]*Excel_Advanced_Sales_Dataset_2000__3[[#This Row],[Unit Price]]*Excel_Advanced_Sales_Dataset_2000__3[[#This Row],[Discount %]]/100</f>
        <v>34272.173298000002</v>
      </c>
      <c r="T1035" s="4">
        <f>Excel_Advanced_Sales_Dataset_2000__3[[#This Row],[Quantity]]*Excel_Advanced_Sales_Dataset_2000__3[[#This Row],[Unit Price]]-Excel_Advanced_Sales_Dataset_2000__3[[#This Row],[Discount Amount]]</f>
        <v>510595.44670199999</v>
      </c>
    </row>
    <row r="1036" spans="1:20" x14ac:dyDescent="0.25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>
        <v>3</v>
      </c>
      <c r="J1036" s="4">
        <v>35527.06</v>
      </c>
      <c r="K1036" s="6">
        <v>16.86</v>
      </c>
      <c r="L1036" s="4">
        <v>88611.59</v>
      </c>
      <c r="M1036" s="4" t="str" cm="1">
        <f t="array" ref="M1036">IF(Excel_Advanced_Sales_Dataset_2000__3[[#This Row],[Total Sales]]&gt;50000,{"Yes"},{"No"})</f>
        <v>Yes</v>
      </c>
      <c r="N1036" s="5">
        <v>46380</v>
      </c>
      <c r="O1036" s="1" t="s">
        <v>24</v>
      </c>
      <c r="P1036" t="s">
        <v>35</v>
      </c>
      <c r="Q1036" t="str">
        <f>IF(Excel_Advanced_Sales_Dataset_2000__3[[#This Row],[Delivery Status]]="Pending","Follow Up","Ok")</f>
        <v>Ok</v>
      </c>
      <c r="R1036" s="1" t="s">
        <v>36</v>
      </c>
      <c r="S1036">
        <f>Excel_Advanced_Sales_Dataset_2000__3[[#This Row],[Quantity]]*Excel_Advanced_Sales_Dataset_2000__3[[#This Row],[Unit Price]]*Excel_Advanced_Sales_Dataset_2000__3[[#This Row],[Discount %]]/100</f>
        <v>17969.586947999996</v>
      </c>
      <c r="T1036" s="4">
        <f>Excel_Advanced_Sales_Dataset_2000__3[[#This Row],[Quantity]]*Excel_Advanced_Sales_Dataset_2000__3[[#This Row],[Unit Price]]-Excel_Advanced_Sales_Dataset_2000__3[[#This Row],[Discount Amount]]</f>
        <v>88611.593051999997</v>
      </c>
    </row>
    <row r="1037" spans="1:20" x14ac:dyDescent="0.25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>
        <v>42</v>
      </c>
      <c r="J1037" s="4">
        <v>17740.97</v>
      </c>
      <c r="K1037" s="6">
        <v>2.13</v>
      </c>
      <c r="L1037" s="4">
        <v>729249.67</v>
      </c>
      <c r="M1037" s="4" t="str" cm="1">
        <f t="array" ref="M1037">IF(Excel_Advanced_Sales_Dataset_2000__3[[#This Row],[Total Sales]]&gt;50000,{"Yes"},{"No"})</f>
        <v>Yes</v>
      </c>
      <c r="N1037" s="5">
        <v>46061</v>
      </c>
      <c r="O1037" s="1" t="s">
        <v>45</v>
      </c>
      <c r="P1037" t="s">
        <v>35</v>
      </c>
      <c r="Q1037" t="str">
        <f>IF(Excel_Advanced_Sales_Dataset_2000__3[[#This Row],[Delivery Status]]="Pending","Follow Up","Ok")</f>
        <v>Ok</v>
      </c>
      <c r="R1037" s="1" t="s">
        <v>26</v>
      </c>
      <c r="S1037">
        <f>Excel_Advanced_Sales_Dataset_2000__3[[#This Row],[Quantity]]*Excel_Advanced_Sales_Dataset_2000__3[[#This Row],[Unit Price]]*Excel_Advanced_Sales_Dataset_2000__3[[#This Row],[Discount %]]/100</f>
        <v>15871.071762</v>
      </c>
      <c r="T1037" s="4">
        <f>Excel_Advanced_Sales_Dataset_2000__3[[#This Row],[Quantity]]*Excel_Advanced_Sales_Dataset_2000__3[[#This Row],[Unit Price]]-Excel_Advanced_Sales_Dataset_2000__3[[#This Row],[Discount Amount]]</f>
        <v>729249.66823800001</v>
      </c>
    </row>
    <row r="1038" spans="1:20" x14ac:dyDescent="0.25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>
        <v>41</v>
      </c>
      <c r="J1038" s="4">
        <v>47549.61</v>
      </c>
      <c r="K1038" s="6">
        <v>10.51</v>
      </c>
      <c r="L1038" s="4">
        <v>1744637.99</v>
      </c>
      <c r="M1038" s="4" t="str" cm="1">
        <f t="array" ref="M1038">IF(Excel_Advanced_Sales_Dataset_2000__3[[#This Row],[Total Sales]]&gt;50000,{"Yes"},{"No"})</f>
        <v>Yes</v>
      </c>
      <c r="N1038" s="5">
        <v>46170</v>
      </c>
      <c r="O1038" s="1" t="s">
        <v>113</v>
      </c>
      <c r="P1038" t="s">
        <v>25</v>
      </c>
      <c r="Q1038" t="str">
        <f>IF(Excel_Advanced_Sales_Dataset_2000__3[[#This Row],[Delivery Status]]="Pending","Follow Up","Ok")</f>
        <v>Follow Up</v>
      </c>
      <c r="R1038" s="1" t="s">
        <v>36</v>
      </c>
      <c r="S1038">
        <f>Excel_Advanced_Sales_Dataset_2000__3[[#This Row],[Quantity]]*Excel_Advanced_Sales_Dataset_2000__3[[#This Row],[Unit Price]]*Excel_Advanced_Sales_Dataset_2000__3[[#This Row],[Discount %]]/100</f>
        <v>204896.02445099998</v>
      </c>
      <c r="T1038" s="4">
        <f>Excel_Advanced_Sales_Dataset_2000__3[[#This Row],[Quantity]]*Excel_Advanced_Sales_Dataset_2000__3[[#This Row],[Unit Price]]-Excel_Advanced_Sales_Dataset_2000__3[[#This Row],[Discount Amount]]</f>
        <v>1744637.9855490001</v>
      </c>
    </row>
    <row r="1039" spans="1:20" x14ac:dyDescent="0.25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>
        <v>19</v>
      </c>
      <c r="J1039" s="4">
        <v>3656.97</v>
      </c>
      <c r="K1039" s="6">
        <v>15.41</v>
      </c>
      <c r="L1039" s="4">
        <v>58775.19</v>
      </c>
      <c r="M1039" s="4" t="str" cm="1">
        <f t="array" ref="M1039">IF(Excel_Advanced_Sales_Dataset_2000__3[[#This Row],[Total Sales]]&gt;50000,{"Yes"},{"No"})</f>
        <v>Yes</v>
      </c>
      <c r="N1039" s="5">
        <v>46331</v>
      </c>
      <c r="O1039" s="1" t="s">
        <v>58</v>
      </c>
      <c r="P1039" t="s">
        <v>35</v>
      </c>
      <c r="Q1039" t="str">
        <f>IF(Excel_Advanced_Sales_Dataset_2000__3[[#This Row],[Delivery Status]]="Pending","Follow Up","Ok")</f>
        <v>Ok</v>
      </c>
      <c r="R1039" s="1" t="s">
        <v>26</v>
      </c>
      <c r="S1039">
        <f>Excel_Advanced_Sales_Dataset_2000__3[[#This Row],[Quantity]]*Excel_Advanced_Sales_Dataset_2000__3[[#This Row],[Unit Price]]*Excel_Advanced_Sales_Dataset_2000__3[[#This Row],[Discount %]]/100</f>
        <v>10707.242463</v>
      </c>
      <c r="T1039" s="4">
        <f>Excel_Advanced_Sales_Dataset_2000__3[[#This Row],[Quantity]]*Excel_Advanced_Sales_Dataset_2000__3[[#This Row],[Unit Price]]-Excel_Advanced_Sales_Dataset_2000__3[[#This Row],[Discount Amount]]</f>
        <v>58775.187536999991</v>
      </c>
    </row>
    <row r="1040" spans="1:20" x14ac:dyDescent="0.25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>
        <v>43</v>
      </c>
      <c r="J1040" s="4">
        <v>33838.699999999997</v>
      </c>
      <c r="K1040" s="6">
        <v>10.16</v>
      </c>
      <c r="L1040" s="4">
        <v>1307229.5900000001</v>
      </c>
      <c r="M1040" s="4" t="str" cm="1">
        <f t="array" ref="M1040">IF(Excel_Advanced_Sales_Dataset_2000__3[[#This Row],[Total Sales]]&gt;50000,{"Yes"},{"No"})</f>
        <v>Yes</v>
      </c>
      <c r="N1040" s="5">
        <v>46231</v>
      </c>
      <c r="O1040" s="1" t="s">
        <v>58</v>
      </c>
      <c r="P1040" t="s">
        <v>35</v>
      </c>
      <c r="Q1040" t="str">
        <f>IF(Excel_Advanced_Sales_Dataset_2000__3[[#This Row],[Delivery Status]]="Pending","Follow Up","Ok")</f>
        <v>Ok</v>
      </c>
      <c r="R1040" s="1" t="s">
        <v>53</v>
      </c>
      <c r="S1040">
        <f>Excel_Advanced_Sales_Dataset_2000__3[[#This Row],[Quantity]]*Excel_Advanced_Sales_Dataset_2000__3[[#This Row],[Unit Price]]*Excel_Advanced_Sales_Dataset_2000__3[[#This Row],[Discount %]]/100</f>
        <v>147834.51256</v>
      </c>
      <c r="T1040" s="4">
        <f>Excel_Advanced_Sales_Dataset_2000__3[[#This Row],[Quantity]]*Excel_Advanced_Sales_Dataset_2000__3[[#This Row],[Unit Price]]-Excel_Advanced_Sales_Dataset_2000__3[[#This Row],[Discount Amount]]</f>
        <v>1307229.5874399999</v>
      </c>
    </row>
    <row r="1041" spans="1:20" x14ac:dyDescent="0.25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>
        <v>11</v>
      </c>
      <c r="J1041" s="4">
        <v>12065.07</v>
      </c>
      <c r="K1041" s="6">
        <v>11.1</v>
      </c>
      <c r="L1041" s="4">
        <v>117984.32000000001</v>
      </c>
      <c r="M1041" s="4" t="str" cm="1">
        <f t="array" ref="M1041">IF(Excel_Advanced_Sales_Dataset_2000__3[[#This Row],[Total Sales]]&gt;50000,{"Yes"},{"No"})</f>
        <v>Yes</v>
      </c>
      <c r="N1041" s="5">
        <v>46369</v>
      </c>
      <c r="O1041" s="1" t="s">
        <v>45</v>
      </c>
      <c r="P1041" t="s">
        <v>35</v>
      </c>
      <c r="Q1041" t="str">
        <f>IF(Excel_Advanced_Sales_Dataset_2000__3[[#This Row],[Delivery Status]]="Pending","Follow Up","Ok")</f>
        <v>Ok</v>
      </c>
      <c r="R1041" s="1" t="s">
        <v>36</v>
      </c>
      <c r="S1041">
        <f>Excel_Advanced_Sales_Dataset_2000__3[[#This Row],[Quantity]]*Excel_Advanced_Sales_Dataset_2000__3[[#This Row],[Unit Price]]*Excel_Advanced_Sales_Dataset_2000__3[[#This Row],[Discount %]]/100</f>
        <v>14731.450469999998</v>
      </c>
      <c r="T1041" s="4">
        <f>Excel_Advanced_Sales_Dataset_2000__3[[#This Row],[Quantity]]*Excel_Advanced_Sales_Dataset_2000__3[[#This Row],[Unit Price]]-Excel_Advanced_Sales_Dataset_2000__3[[#This Row],[Discount Amount]]</f>
        <v>117984.31952999999</v>
      </c>
    </row>
    <row r="1042" spans="1:20" x14ac:dyDescent="0.25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>
        <v>24</v>
      </c>
      <c r="J1042" s="4">
        <v>42576.6</v>
      </c>
      <c r="K1042" s="6">
        <v>11.76</v>
      </c>
      <c r="L1042" s="4">
        <v>901670.2</v>
      </c>
      <c r="M1042" s="4" t="str" cm="1">
        <f t="array" ref="M1042">IF(Excel_Advanced_Sales_Dataset_2000__3[[#This Row],[Total Sales]]&gt;50000,{"Yes"},{"No"})</f>
        <v>Yes</v>
      </c>
      <c r="N1042" s="5">
        <v>46150</v>
      </c>
      <c r="O1042" s="1" t="s">
        <v>24</v>
      </c>
      <c r="P1042" t="s">
        <v>35</v>
      </c>
      <c r="Q1042" t="str">
        <f>IF(Excel_Advanced_Sales_Dataset_2000__3[[#This Row],[Delivery Status]]="Pending","Follow Up","Ok")</f>
        <v>Ok</v>
      </c>
      <c r="R1042" s="1" t="s">
        <v>36</v>
      </c>
      <c r="S1042">
        <f>Excel_Advanced_Sales_Dataset_2000__3[[#This Row],[Quantity]]*Excel_Advanced_Sales_Dataset_2000__3[[#This Row],[Unit Price]]*Excel_Advanced_Sales_Dataset_2000__3[[#This Row],[Discount %]]/100</f>
        <v>120168.19583999999</v>
      </c>
      <c r="T1042" s="4">
        <f>Excel_Advanced_Sales_Dataset_2000__3[[#This Row],[Quantity]]*Excel_Advanced_Sales_Dataset_2000__3[[#This Row],[Unit Price]]-Excel_Advanced_Sales_Dataset_2000__3[[#This Row],[Discount Amount]]</f>
        <v>901670.20415999996</v>
      </c>
    </row>
    <row r="1043" spans="1:20" x14ac:dyDescent="0.25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>
        <v>7</v>
      </c>
      <c r="J1043" s="4">
        <v>15477.24</v>
      </c>
      <c r="K1043" s="6">
        <v>15.94</v>
      </c>
      <c r="L1043" s="4">
        <v>91071.18</v>
      </c>
      <c r="M1043" s="4" t="str" cm="1">
        <f t="array" ref="M1043">IF(Excel_Advanced_Sales_Dataset_2000__3[[#This Row],[Total Sales]]&gt;50000,{"Yes"},{"No"})</f>
        <v>Yes</v>
      </c>
      <c r="N1043" s="5">
        <v>46081</v>
      </c>
      <c r="O1043" s="1" t="s">
        <v>58</v>
      </c>
      <c r="P1043" t="s">
        <v>35</v>
      </c>
      <c r="Q1043" t="str">
        <f>IF(Excel_Advanced_Sales_Dataset_2000__3[[#This Row],[Delivery Status]]="Pending","Follow Up","Ok")</f>
        <v>Ok</v>
      </c>
      <c r="R1043" s="1" t="s">
        <v>26</v>
      </c>
      <c r="S1043">
        <f>Excel_Advanced_Sales_Dataset_2000__3[[#This Row],[Quantity]]*Excel_Advanced_Sales_Dataset_2000__3[[#This Row],[Unit Price]]*Excel_Advanced_Sales_Dataset_2000__3[[#This Row],[Discount %]]/100</f>
        <v>17269.504391999999</v>
      </c>
      <c r="T1043" s="4">
        <f>Excel_Advanced_Sales_Dataset_2000__3[[#This Row],[Quantity]]*Excel_Advanced_Sales_Dataset_2000__3[[#This Row],[Unit Price]]-Excel_Advanced_Sales_Dataset_2000__3[[#This Row],[Discount Amount]]</f>
        <v>91071.17560799999</v>
      </c>
    </row>
    <row r="1044" spans="1:20" x14ac:dyDescent="0.25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>
        <v>49</v>
      </c>
      <c r="J1044" s="4">
        <v>42721.07</v>
      </c>
      <c r="K1044" s="6">
        <v>12.95</v>
      </c>
      <c r="L1044" s="4">
        <v>1822245.88</v>
      </c>
      <c r="M1044" s="4" t="str" cm="1">
        <f t="array" ref="M1044">IF(Excel_Advanced_Sales_Dataset_2000__3[[#This Row],[Total Sales]]&gt;50000,{"Yes"},{"No"})</f>
        <v>Yes</v>
      </c>
      <c r="N1044" s="5">
        <v>46098</v>
      </c>
      <c r="O1044" s="1" t="s">
        <v>68</v>
      </c>
      <c r="P1044" t="s">
        <v>35</v>
      </c>
      <c r="Q1044" t="str">
        <f>IF(Excel_Advanced_Sales_Dataset_2000__3[[#This Row],[Delivery Status]]="Pending","Follow Up","Ok")</f>
        <v>Ok</v>
      </c>
      <c r="R1044" s="1" t="s">
        <v>36</v>
      </c>
      <c r="S1044">
        <f>Excel_Advanced_Sales_Dataset_2000__3[[#This Row],[Quantity]]*Excel_Advanced_Sales_Dataset_2000__3[[#This Row],[Unit Price]]*Excel_Advanced_Sales_Dataset_2000__3[[#This Row],[Discount %]]/100</f>
        <v>271086.54968499998</v>
      </c>
      <c r="T1044" s="4">
        <f>Excel_Advanced_Sales_Dataset_2000__3[[#This Row],[Quantity]]*Excel_Advanced_Sales_Dataset_2000__3[[#This Row],[Unit Price]]-Excel_Advanced_Sales_Dataset_2000__3[[#This Row],[Discount Amount]]</f>
        <v>1822245.880315</v>
      </c>
    </row>
    <row r="1045" spans="1:20" x14ac:dyDescent="0.25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>
        <v>7</v>
      </c>
      <c r="J1045" s="4">
        <v>13662.91</v>
      </c>
      <c r="K1045" s="6">
        <v>8.2200000000000006</v>
      </c>
      <c r="L1045" s="4">
        <v>87778.73</v>
      </c>
      <c r="M1045" s="4" t="str" cm="1">
        <f t="array" ref="M1045">IF(Excel_Advanced_Sales_Dataset_2000__3[[#This Row],[Total Sales]]&gt;50000,{"Yes"},{"No"})</f>
        <v>Yes</v>
      </c>
      <c r="N1045" s="5">
        <v>46335</v>
      </c>
      <c r="O1045" s="1" t="s">
        <v>45</v>
      </c>
      <c r="P1045" t="s">
        <v>35</v>
      </c>
      <c r="Q1045" t="str">
        <f>IF(Excel_Advanced_Sales_Dataset_2000__3[[#This Row],[Delivery Status]]="Pending","Follow Up","Ok")</f>
        <v>Ok</v>
      </c>
      <c r="R1045" s="1" t="s">
        <v>36</v>
      </c>
      <c r="S1045">
        <f>Excel_Advanced_Sales_Dataset_2000__3[[#This Row],[Quantity]]*Excel_Advanced_Sales_Dataset_2000__3[[#This Row],[Unit Price]]*Excel_Advanced_Sales_Dataset_2000__3[[#This Row],[Discount %]]/100</f>
        <v>7861.638414</v>
      </c>
      <c r="T1045" s="4">
        <f>Excel_Advanced_Sales_Dataset_2000__3[[#This Row],[Quantity]]*Excel_Advanced_Sales_Dataset_2000__3[[#This Row],[Unit Price]]-Excel_Advanced_Sales_Dataset_2000__3[[#This Row],[Discount Amount]]</f>
        <v>87778.731585999994</v>
      </c>
    </row>
    <row r="1046" spans="1:20" x14ac:dyDescent="0.25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>
        <v>38</v>
      </c>
      <c r="J1046" s="4">
        <v>42724.73</v>
      </c>
      <c r="K1046" s="6">
        <v>9.3800000000000008</v>
      </c>
      <c r="L1046" s="4">
        <v>1471251.71</v>
      </c>
      <c r="M1046" s="4" t="str" cm="1">
        <f t="array" ref="M1046">IF(Excel_Advanced_Sales_Dataset_2000__3[[#This Row],[Total Sales]]&gt;50000,{"Yes"},{"No"})</f>
        <v>Yes</v>
      </c>
      <c r="N1046" s="5">
        <v>46330</v>
      </c>
      <c r="O1046" s="1" t="s">
        <v>113</v>
      </c>
      <c r="P1046" t="s">
        <v>35</v>
      </c>
      <c r="Q1046" t="str">
        <f>IF(Excel_Advanced_Sales_Dataset_2000__3[[#This Row],[Delivery Status]]="Pending","Follow Up","Ok")</f>
        <v>Ok</v>
      </c>
      <c r="R1046" s="1" t="s">
        <v>53</v>
      </c>
      <c r="S1046">
        <f>Excel_Advanced_Sales_Dataset_2000__3[[#This Row],[Quantity]]*Excel_Advanced_Sales_Dataset_2000__3[[#This Row],[Unit Price]]*Excel_Advanced_Sales_Dataset_2000__3[[#This Row],[Discount %]]/100</f>
        <v>152288.02761200003</v>
      </c>
      <c r="T1046" s="4">
        <f>Excel_Advanced_Sales_Dataset_2000__3[[#This Row],[Quantity]]*Excel_Advanced_Sales_Dataset_2000__3[[#This Row],[Unit Price]]-Excel_Advanced_Sales_Dataset_2000__3[[#This Row],[Discount Amount]]</f>
        <v>1471251.7123880002</v>
      </c>
    </row>
    <row r="1047" spans="1:20" x14ac:dyDescent="0.25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>
        <v>35</v>
      </c>
      <c r="J1047" s="4">
        <v>4416.8100000000004</v>
      </c>
      <c r="K1047" s="6">
        <v>17</v>
      </c>
      <c r="L1047" s="4">
        <v>128308.33</v>
      </c>
      <c r="M1047" s="4" t="str" cm="1">
        <f t="array" ref="M1047">IF(Excel_Advanced_Sales_Dataset_2000__3[[#This Row],[Total Sales]]&gt;50000,{"Yes"},{"No"})</f>
        <v>Yes</v>
      </c>
      <c r="N1047" s="5">
        <v>46063</v>
      </c>
      <c r="O1047" s="1" t="s">
        <v>24</v>
      </c>
      <c r="P1047" t="s">
        <v>35</v>
      </c>
      <c r="Q1047" t="str">
        <f>IF(Excel_Advanced_Sales_Dataset_2000__3[[#This Row],[Delivery Status]]="Pending","Follow Up","Ok")</f>
        <v>Ok</v>
      </c>
      <c r="R1047" s="1" t="s">
        <v>53</v>
      </c>
      <c r="S1047">
        <f>Excel_Advanced_Sales_Dataset_2000__3[[#This Row],[Quantity]]*Excel_Advanced_Sales_Dataset_2000__3[[#This Row],[Unit Price]]*Excel_Advanced_Sales_Dataset_2000__3[[#This Row],[Discount %]]/100</f>
        <v>26280.019500000002</v>
      </c>
      <c r="T1047" s="4">
        <f>Excel_Advanced_Sales_Dataset_2000__3[[#This Row],[Quantity]]*Excel_Advanced_Sales_Dataset_2000__3[[#This Row],[Unit Price]]-Excel_Advanced_Sales_Dataset_2000__3[[#This Row],[Discount Amount]]</f>
        <v>128308.33050000001</v>
      </c>
    </row>
    <row r="1048" spans="1:20" x14ac:dyDescent="0.25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>
        <v>41</v>
      </c>
      <c r="J1048" s="4">
        <v>37783.03</v>
      </c>
      <c r="K1048" s="6">
        <v>11.31</v>
      </c>
      <c r="L1048" s="4">
        <v>1373900.54</v>
      </c>
      <c r="M1048" s="4" t="str" cm="1">
        <f t="array" ref="M1048">IF(Excel_Advanced_Sales_Dataset_2000__3[[#This Row],[Total Sales]]&gt;50000,{"Yes"},{"No"})</f>
        <v>Yes</v>
      </c>
      <c r="N1048" s="5">
        <v>46101</v>
      </c>
      <c r="O1048" s="1" t="s">
        <v>45</v>
      </c>
      <c r="P1048" t="s">
        <v>35</v>
      </c>
      <c r="Q1048" t="str">
        <f>IF(Excel_Advanced_Sales_Dataset_2000__3[[#This Row],[Delivery Status]]="Pending","Follow Up","Ok")</f>
        <v>Ok</v>
      </c>
      <c r="R1048" s="1" t="s">
        <v>26</v>
      </c>
      <c r="S1048">
        <f>Excel_Advanced_Sales_Dataset_2000__3[[#This Row],[Quantity]]*Excel_Advanced_Sales_Dataset_2000__3[[#This Row],[Unit Price]]*Excel_Advanced_Sales_Dataset_2000__3[[#This Row],[Discount %]]/100</f>
        <v>175203.688413</v>
      </c>
      <c r="T1048" s="4">
        <f>Excel_Advanced_Sales_Dataset_2000__3[[#This Row],[Quantity]]*Excel_Advanced_Sales_Dataset_2000__3[[#This Row],[Unit Price]]-Excel_Advanced_Sales_Dataset_2000__3[[#This Row],[Discount Amount]]</f>
        <v>1373900.541587</v>
      </c>
    </row>
    <row r="1049" spans="1:20" x14ac:dyDescent="0.25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>
        <v>19</v>
      </c>
      <c r="J1049" s="4">
        <v>43607.87</v>
      </c>
      <c r="K1049" s="6">
        <v>8.09</v>
      </c>
      <c r="L1049" s="4">
        <v>761519.87</v>
      </c>
      <c r="M1049" s="4" t="str" cm="1">
        <f t="array" ref="M1049">IF(Excel_Advanced_Sales_Dataset_2000__3[[#This Row],[Total Sales]]&gt;50000,{"Yes"},{"No"})</f>
        <v>Yes</v>
      </c>
      <c r="N1049" s="5">
        <v>46147</v>
      </c>
      <c r="O1049" s="1" t="s">
        <v>58</v>
      </c>
      <c r="P1049" t="s">
        <v>35</v>
      </c>
      <c r="Q1049" t="str">
        <f>IF(Excel_Advanced_Sales_Dataset_2000__3[[#This Row],[Delivery Status]]="Pending","Follow Up","Ok")</f>
        <v>Ok</v>
      </c>
      <c r="R1049" s="1" t="s">
        <v>36</v>
      </c>
      <c r="S1049">
        <f>Excel_Advanced_Sales_Dataset_2000__3[[#This Row],[Quantity]]*Excel_Advanced_Sales_Dataset_2000__3[[#This Row],[Unit Price]]*Excel_Advanced_Sales_Dataset_2000__3[[#This Row],[Discount %]]/100</f>
        <v>67029.656977000006</v>
      </c>
      <c r="T1049" s="4">
        <f>Excel_Advanced_Sales_Dataset_2000__3[[#This Row],[Quantity]]*Excel_Advanced_Sales_Dataset_2000__3[[#This Row],[Unit Price]]-Excel_Advanced_Sales_Dataset_2000__3[[#This Row],[Discount Amount]]</f>
        <v>761519.87302300008</v>
      </c>
    </row>
    <row r="1050" spans="1:20" x14ac:dyDescent="0.25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>
        <v>8</v>
      </c>
      <c r="J1050" s="4">
        <v>8356.56</v>
      </c>
      <c r="K1050" s="6">
        <v>12.29</v>
      </c>
      <c r="L1050" s="4">
        <v>58636.31</v>
      </c>
      <c r="M1050" s="4" t="str" cm="1">
        <f t="array" ref="M1050">IF(Excel_Advanced_Sales_Dataset_2000__3[[#This Row],[Total Sales]]&gt;50000,{"Yes"},{"No"})</f>
        <v>Yes</v>
      </c>
      <c r="N1050" s="5">
        <v>46176</v>
      </c>
      <c r="O1050" s="1" t="s">
        <v>45</v>
      </c>
      <c r="P1050" t="s">
        <v>35</v>
      </c>
      <c r="Q1050" t="str">
        <f>IF(Excel_Advanced_Sales_Dataset_2000__3[[#This Row],[Delivery Status]]="Pending","Follow Up","Ok")</f>
        <v>Ok</v>
      </c>
      <c r="R1050" s="1" t="s">
        <v>36</v>
      </c>
      <c r="S1050">
        <f>Excel_Advanced_Sales_Dataset_2000__3[[#This Row],[Quantity]]*Excel_Advanced_Sales_Dataset_2000__3[[#This Row],[Unit Price]]*Excel_Advanced_Sales_Dataset_2000__3[[#This Row],[Discount %]]/100</f>
        <v>8216.1697919999988</v>
      </c>
      <c r="T1050" s="4">
        <f>Excel_Advanced_Sales_Dataset_2000__3[[#This Row],[Quantity]]*Excel_Advanced_Sales_Dataset_2000__3[[#This Row],[Unit Price]]-Excel_Advanced_Sales_Dataset_2000__3[[#This Row],[Discount Amount]]</f>
        <v>58636.310207999995</v>
      </c>
    </row>
    <row r="1051" spans="1:20" x14ac:dyDescent="0.25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>
        <v>45</v>
      </c>
      <c r="J1051" s="4">
        <v>43203.6</v>
      </c>
      <c r="K1051" s="6">
        <v>7.03</v>
      </c>
      <c r="L1051" s="4">
        <v>1807487.41</v>
      </c>
      <c r="M1051" s="4" t="str" cm="1">
        <f t="array" ref="M1051">IF(Excel_Advanced_Sales_Dataset_2000__3[[#This Row],[Total Sales]]&gt;50000,{"Yes"},{"No"})</f>
        <v>Yes</v>
      </c>
      <c r="N1051" s="5">
        <v>46154</v>
      </c>
      <c r="O1051" s="1" t="s">
        <v>68</v>
      </c>
      <c r="P1051" t="s">
        <v>25</v>
      </c>
      <c r="Q1051" t="str">
        <f>IF(Excel_Advanced_Sales_Dataset_2000__3[[#This Row],[Delivery Status]]="Pending","Follow Up","Ok")</f>
        <v>Follow Up</v>
      </c>
      <c r="R1051" s="1" t="s">
        <v>53</v>
      </c>
      <c r="S1051">
        <f>Excel_Advanced_Sales_Dataset_2000__3[[#This Row],[Quantity]]*Excel_Advanced_Sales_Dataset_2000__3[[#This Row],[Unit Price]]*Excel_Advanced_Sales_Dataset_2000__3[[#This Row],[Discount %]]/100</f>
        <v>136674.58860000002</v>
      </c>
      <c r="T1051" s="4">
        <f>Excel_Advanced_Sales_Dataset_2000__3[[#This Row],[Quantity]]*Excel_Advanced_Sales_Dataset_2000__3[[#This Row],[Unit Price]]-Excel_Advanced_Sales_Dataset_2000__3[[#This Row],[Discount Amount]]</f>
        <v>1807487.4114000001</v>
      </c>
    </row>
    <row r="1052" spans="1:20" x14ac:dyDescent="0.25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>
        <v>25</v>
      </c>
      <c r="J1052" s="4">
        <v>29253.24</v>
      </c>
      <c r="K1052" s="6">
        <v>7.93</v>
      </c>
      <c r="L1052" s="4">
        <v>673336.45</v>
      </c>
      <c r="M1052" s="4" t="str" cm="1">
        <f t="array" ref="M1052">IF(Excel_Advanced_Sales_Dataset_2000__3[[#This Row],[Total Sales]]&gt;50000,{"Yes"},{"No"})</f>
        <v>Yes</v>
      </c>
      <c r="N1052" s="5">
        <v>46272</v>
      </c>
      <c r="O1052" s="1" t="s">
        <v>68</v>
      </c>
      <c r="P1052" t="s">
        <v>59</v>
      </c>
      <c r="Q1052" t="str">
        <f>IF(Excel_Advanced_Sales_Dataset_2000__3[[#This Row],[Delivery Status]]="Pending","Follow Up","Ok")</f>
        <v>Ok</v>
      </c>
      <c r="R1052" s="1" t="s">
        <v>26</v>
      </c>
      <c r="S1052">
        <f>Excel_Advanced_Sales_Dataset_2000__3[[#This Row],[Quantity]]*Excel_Advanced_Sales_Dataset_2000__3[[#This Row],[Unit Price]]*Excel_Advanced_Sales_Dataset_2000__3[[#This Row],[Discount %]]/100</f>
        <v>57994.548300000002</v>
      </c>
      <c r="T1052" s="4">
        <f>Excel_Advanced_Sales_Dataset_2000__3[[#This Row],[Quantity]]*Excel_Advanced_Sales_Dataset_2000__3[[#This Row],[Unit Price]]-Excel_Advanced_Sales_Dataset_2000__3[[#This Row],[Discount Amount]]</f>
        <v>673336.45169999998</v>
      </c>
    </row>
    <row r="1053" spans="1:20" x14ac:dyDescent="0.25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>
        <v>20</v>
      </c>
      <c r="J1053" s="4">
        <v>14772.91</v>
      </c>
      <c r="K1053" s="6">
        <v>14.66</v>
      </c>
      <c r="L1053" s="4">
        <v>252144.03</v>
      </c>
      <c r="M1053" s="4" t="str" cm="1">
        <f t="array" ref="M1053">IF(Excel_Advanced_Sales_Dataset_2000__3[[#This Row],[Total Sales]]&gt;50000,{"Yes"},{"No"})</f>
        <v>Yes</v>
      </c>
      <c r="N1053" s="5">
        <v>46056</v>
      </c>
      <c r="O1053" s="1" t="s">
        <v>24</v>
      </c>
      <c r="P1053" t="s">
        <v>35</v>
      </c>
      <c r="Q1053" t="str">
        <f>IF(Excel_Advanced_Sales_Dataset_2000__3[[#This Row],[Delivery Status]]="Pending","Follow Up","Ok")</f>
        <v>Ok</v>
      </c>
      <c r="R1053" s="1" t="s">
        <v>26</v>
      </c>
      <c r="S1053">
        <f>Excel_Advanced_Sales_Dataset_2000__3[[#This Row],[Quantity]]*Excel_Advanced_Sales_Dataset_2000__3[[#This Row],[Unit Price]]*Excel_Advanced_Sales_Dataset_2000__3[[#This Row],[Discount %]]/100</f>
        <v>43314.172120000003</v>
      </c>
      <c r="T1053" s="4">
        <f>Excel_Advanced_Sales_Dataset_2000__3[[#This Row],[Quantity]]*Excel_Advanced_Sales_Dataset_2000__3[[#This Row],[Unit Price]]-Excel_Advanced_Sales_Dataset_2000__3[[#This Row],[Discount Amount]]</f>
        <v>252144.02788000001</v>
      </c>
    </row>
    <row r="1054" spans="1:20" x14ac:dyDescent="0.25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>
        <v>26</v>
      </c>
      <c r="J1054" s="4">
        <v>21481.98</v>
      </c>
      <c r="K1054" s="6">
        <v>15.05</v>
      </c>
      <c r="L1054" s="4">
        <v>474472.49</v>
      </c>
      <c r="M1054" s="4" t="str" cm="1">
        <f t="array" ref="M1054">IF(Excel_Advanced_Sales_Dataset_2000__3[[#This Row],[Total Sales]]&gt;50000,{"Yes"},{"No"})</f>
        <v>Yes</v>
      </c>
      <c r="N1054" s="5">
        <v>46109</v>
      </c>
      <c r="O1054" s="1" t="s">
        <v>24</v>
      </c>
      <c r="P1054" t="s">
        <v>35</v>
      </c>
      <c r="Q1054" t="str">
        <f>IF(Excel_Advanced_Sales_Dataset_2000__3[[#This Row],[Delivery Status]]="Pending","Follow Up","Ok")</f>
        <v>Ok</v>
      </c>
      <c r="R1054" s="1" t="s">
        <v>36</v>
      </c>
      <c r="S1054">
        <f>Excel_Advanced_Sales_Dataset_2000__3[[#This Row],[Quantity]]*Excel_Advanced_Sales_Dataset_2000__3[[#This Row],[Unit Price]]*Excel_Advanced_Sales_Dataset_2000__3[[#This Row],[Discount %]]/100</f>
        <v>84058.987739999997</v>
      </c>
      <c r="T1054" s="4">
        <f>Excel_Advanced_Sales_Dataset_2000__3[[#This Row],[Quantity]]*Excel_Advanced_Sales_Dataset_2000__3[[#This Row],[Unit Price]]-Excel_Advanced_Sales_Dataset_2000__3[[#This Row],[Discount Amount]]</f>
        <v>474472.49225999997</v>
      </c>
    </row>
    <row r="1055" spans="1:20" x14ac:dyDescent="0.25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>
        <v>6</v>
      </c>
      <c r="J1055" s="4">
        <v>38656.9</v>
      </c>
      <c r="K1055" s="6">
        <v>4.21</v>
      </c>
      <c r="L1055" s="4">
        <v>222176.67</v>
      </c>
      <c r="M1055" s="4" t="str" cm="1">
        <f t="array" ref="M1055">IF(Excel_Advanced_Sales_Dataset_2000__3[[#This Row],[Total Sales]]&gt;50000,{"Yes"},{"No"})</f>
        <v>Yes</v>
      </c>
      <c r="N1055" s="5">
        <v>46077</v>
      </c>
      <c r="O1055" s="1" t="s">
        <v>58</v>
      </c>
      <c r="P1055" t="s">
        <v>35</v>
      </c>
      <c r="Q1055" t="str">
        <f>IF(Excel_Advanced_Sales_Dataset_2000__3[[#This Row],[Delivery Status]]="Pending","Follow Up","Ok")</f>
        <v>Ok</v>
      </c>
      <c r="R1055" s="1" t="s">
        <v>26</v>
      </c>
      <c r="S1055">
        <f>Excel_Advanced_Sales_Dataset_2000__3[[#This Row],[Quantity]]*Excel_Advanced_Sales_Dataset_2000__3[[#This Row],[Unit Price]]*Excel_Advanced_Sales_Dataset_2000__3[[#This Row],[Discount %]]/100</f>
        <v>9764.7329400000017</v>
      </c>
      <c r="T1055" s="4">
        <f>Excel_Advanced_Sales_Dataset_2000__3[[#This Row],[Quantity]]*Excel_Advanced_Sales_Dataset_2000__3[[#This Row],[Unit Price]]-Excel_Advanced_Sales_Dataset_2000__3[[#This Row],[Discount Amount]]</f>
        <v>222176.66706000001</v>
      </c>
    </row>
    <row r="1056" spans="1:20" x14ac:dyDescent="0.25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>
        <v>27</v>
      </c>
      <c r="J1056" s="4">
        <v>27900.959999999999</v>
      </c>
      <c r="K1056" s="6">
        <v>16.91</v>
      </c>
      <c r="L1056" s="4">
        <v>625938.51</v>
      </c>
      <c r="M1056" s="4" t="str" cm="1">
        <f t="array" ref="M1056">IF(Excel_Advanced_Sales_Dataset_2000__3[[#This Row],[Total Sales]]&gt;50000,{"Yes"},{"No"})</f>
        <v>Yes</v>
      </c>
      <c r="N1056" s="5">
        <v>46333</v>
      </c>
      <c r="O1056" s="1" t="s">
        <v>45</v>
      </c>
      <c r="P1056" t="s">
        <v>35</v>
      </c>
      <c r="Q1056" t="str">
        <f>IF(Excel_Advanced_Sales_Dataset_2000__3[[#This Row],[Delivery Status]]="Pending","Follow Up","Ok")</f>
        <v>Ok</v>
      </c>
      <c r="R1056" s="1" t="s">
        <v>36</v>
      </c>
      <c r="S1056">
        <f>Excel_Advanced_Sales_Dataset_2000__3[[#This Row],[Quantity]]*Excel_Advanced_Sales_Dataset_2000__3[[#This Row],[Unit Price]]*Excel_Advanced_Sales_Dataset_2000__3[[#This Row],[Discount %]]/100</f>
        <v>127387.413072</v>
      </c>
      <c r="T1056" s="4">
        <f>Excel_Advanced_Sales_Dataset_2000__3[[#This Row],[Quantity]]*Excel_Advanced_Sales_Dataset_2000__3[[#This Row],[Unit Price]]-Excel_Advanced_Sales_Dataset_2000__3[[#This Row],[Discount Amount]]</f>
        <v>625938.5069279999</v>
      </c>
    </row>
    <row r="1057" spans="1:20" x14ac:dyDescent="0.25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>
        <v>23</v>
      </c>
      <c r="J1057" s="4">
        <v>43479.3</v>
      </c>
      <c r="K1057" s="6">
        <v>16.03</v>
      </c>
      <c r="L1057" s="4">
        <v>839720.07</v>
      </c>
      <c r="M1057" s="4" t="str" cm="1">
        <f t="array" ref="M1057">IF(Excel_Advanced_Sales_Dataset_2000__3[[#This Row],[Total Sales]]&gt;50000,{"Yes"},{"No"})</f>
        <v>Yes</v>
      </c>
      <c r="N1057" s="5">
        <v>46111</v>
      </c>
      <c r="O1057" s="1" t="s">
        <v>68</v>
      </c>
      <c r="P1057" t="s">
        <v>35</v>
      </c>
      <c r="Q1057" t="str">
        <f>IF(Excel_Advanced_Sales_Dataset_2000__3[[#This Row],[Delivery Status]]="Pending","Follow Up","Ok")</f>
        <v>Ok</v>
      </c>
      <c r="R1057" s="1" t="s">
        <v>26</v>
      </c>
      <c r="S1057">
        <f>Excel_Advanced_Sales_Dataset_2000__3[[#This Row],[Quantity]]*Excel_Advanced_Sales_Dataset_2000__3[[#This Row],[Unit Price]]*Excel_Advanced_Sales_Dataset_2000__3[[#This Row],[Discount %]]/100</f>
        <v>160303.83117000002</v>
      </c>
      <c r="T1057" s="4">
        <f>Excel_Advanced_Sales_Dataset_2000__3[[#This Row],[Quantity]]*Excel_Advanced_Sales_Dataset_2000__3[[#This Row],[Unit Price]]-Excel_Advanced_Sales_Dataset_2000__3[[#This Row],[Discount Amount]]</f>
        <v>839720.06883</v>
      </c>
    </row>
    <row r="1058" spans="1:20" x14ac:dyDescent="0.25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>
        <v>1</v>
      </c>
      <c r="J1058" s="4">
        <v>24303.07</v>
      </c>
      <c r="K1058" s="6">
        <v>14.68</v>
      </c>
      <c r="L1058" s="4">
        <v>20735.38</v>
      </c>
      <c r="M1058" s="4" t="str" cm="1">
        <f t="array" ref="M1058">IF(Excel_Advanced_Sales_Dataset_2000__3[[#This Row],[Total Sales]]&gt;50000,{"Yes"},{"No"})</f>
        <v>No</v>
      </c>
      <c r="N1058" s="5">
        <v>46350</v>
      </c>
      <c r="O1058" s="1" t="s">
        <v>68</v>
      </c>
      <c r="P1058" t="s">
        <v>35</v>
      </c>
      <c r="Q1058" t="str">
        <f>IF(Excel_Advanced_Sales_Dataset_2000__3[[#This Row],[Delivery Status]]="Pending","Follow Up","Ok")</f>
        <v>Ok</v>
      </c>
      <c r="R1058" s="1" t="s">
        <v>36</v>
      </c>
      <c r="S1058">
        <f>Excel_Advanced_Sales_Dataset_2000__3[[#This Row],[Quantity]]*Excel_Advanced_Sales_Dataset_2000__3[[#This Row],[Unit Price]]*Excel_Advanced_Sales_Dataset_2000__3[[#This Row],[Discount %]]/100</f>
        <v>3567.6906760000002</v>
      </c>
      <c r="T1058" s="4">
        <f>Excel_Advanced_Sales_Dataset_2000__3[[#This Row],[Quantity]]*Excel_Advanced_Sales_Dataset_2000__3[[#This Row],[Unit Price]]-Excel_Advanced_Sales_Dataset_2000__3[[#This Row],[Discount Amount]]</f>
        <v>20735.379324000001</v>
      </c>
    </row>
    <row r="1059" spans="1:20" x14ac:dyDescent="0.25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>
        <v>28</v>
      </c>
      <c r="J1059" s="4">
        <v>27778.47</v>
      </c>
      <c r="K1059" s="6">
        <v>10.97</v>
      </c>
      <c r="L1059" s="4">
        <v>692472.81</v>
      </c>
      <c r="M1059" s="4" t="str" cm="1">
        <f t="array" ref="M1059">IF(Excel_Advanced_Sales_Dataset_2000__3[[#This Row],[Total Sales]]&gt;50000,{"Yes"},{"No"})</f>
        <v>Yes</v>
      </c>
      <c r="N1059" s="5">
        <v>46190</v>
      </c>
      <c r="O1059" s="1" t="s">
        <v>58</v>
      </c>
      <c r="P1059" t="s">
        <v>59</v>
      </c>
      <c r="Q1059" t="str">
        <f>IF(Excel_Advanced_Sales_Dataset_2000__3[[#This Row],[Delivery Status]]="Pending","Follow Up","Ok")</f>
        <v>Ok</v>
      </c>
      <c r="R1059" s="1" t="s">
        <v>36</v>
      </c>
      <c r="S1059">
        <f>Excel_Advanced_Sales_Dataset_2000__3[[#This Row],[Quantity]]*Excel_Advanced_Sales_Dataset_2000__3[[#This Row],[Unit Price]]*Excel_Advanced_Sales_Dataset_2000__3[[#This Row],[Discount %]]/100</f>
        <v>85324.348452000006</v>
      </c>
      <c r="T1059" s="4">
        <f>Excel_Advanced_Sales_Dataset_2000__3[[#This Row],[Quantity]]*Excel_Advanced_Sales_Dataset_2000__3[[#This Row],[Unit Price]]-Excel_Advanced_Sales_Dataset_2000__3[[#This Row],[Discount Amount]]</f>
        <v>692472.81154799997</v>
      </c>
    </row>
    <row r="1060" spans="1:20" x14ac:dyDescent="0.25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>
        <v>30</v>
      </c>
      <c r="J1060" s="4">
        <v>29907.52</v>
      </c>
      <c r="K1060" s="6">
        <v>13.62</v>
      </c>
      <c r="L1060" s="4">
        <v>775023.47</v>
      </c>
      <c r="M1060" s="4" t="str" cm="1">
        <f t="array" ref="M1060">IF(Excel_Advanced_Sales_Dataset_2000__3[[#This Row],[Total Sales]]&gt;50000,{"Yes"},{"No"})</f>
        <v>Yes</v>
      </c>
      <c r="N1060" s="5">
        <v>46146</v>
      </c>
      <c r="O1060" s="1" t="s">
        <v>68</v>
      </c>
      <c r="P1060" t="s">
        <v>35</v>
      </c>
      <c r="Q1060" t="str">
        <f>IF(Excel_Advanced_Sales_Dataset_2000__3[[#This Row],[Delivery Status]]="Pending","Follow Up","Ok")</f>
        <v>Ok</v>
      </c>
      <c r="R1060" s="1" t="s">
        <v>53</v>
      </c>
      <c r="S1060">
        <f>Excel_Advanced_Sales_Dataset_2000__3[[#This Row],[Quantity]]*Excel_Advanced_Sales_Dataset_2000__3[[#This Row],[Unit Price]]*Excel_Advanced_Sales_Dataset_2000__3[[#This Row],[Discount %]]/100</f>
        <v>122202.12671999999</v>
      </c>
      <c r="T1060" s="4">
        <f>Excel_Advanced_Sales_Dataset_2000__3[[#This Row],[Quantity]]*Excel_Advanced_Sales_Dataset_2000__3[[#This Row],[Unit Price]]-Excel_Advanced_Sales_Dataset_2000__3[[#This Row],[Discount Amount]]</f>
        <v>775023.47328000003</v>
      </c>
    </row>
    <row r="1061" spans="1:20" x14ac:dyDescent="0.25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>
        <v>32</v>
      </c>
      <c r="J1061" s="4">
        <v>24507.85</v>
      </c>
      <c r="K1061" s="6">
        <v>9.06</v>
      </c>
      <c r="L1061" s="4">
        <v>713198.04</v>
      </c>
      <c r="M1061" s="4" t="str" cm="1">
        <f t="array" ref="M1061">IF(Excel_Advanced_Sales_Dataset_2000__3[[#This Row],[Total Sales]]&gt;50000,{"Yes"},{"No"})</f>
        <v>Yes</v>
      </c>
      <c r="N1061" s="5">
        <v>46259</v>
      </c>
      <c r="O1061" s="1" t="s">
        <v>45</v>
      </c>
      <c r="P1061" t="s">
        <v>35</v>
      </c>
      <c r="Q1061" t="str">
        <f>IF(Excel_Advanced_Sales_Dataset_2000__3[[#This Row],[Delivery Status]]="Pending","Follow Up","Ok")</f>
        <v>Ok</v>
      </c>
      <c r="R1061" s="1" t="s">
        <v>36</v>
      </c>
      <c r="S1061">
        <f>Excel_Advanced_Sales_Dataset_2000__3[[#This Row],[Quantity]]*Excel_Advanced_Sales_Dataset_2000__3[[#This Row],[Unit Price]]*Excel_Advanced_Sales_Dataset_2000__3[[#This Row],[Discount %]]/100</f>
        <v>71053.158719999992</v>
      </c>
      <c r="T1061" s="4">
        <f>Excel_Advanced_Sales_Dataset_2000__3[[#This Row],[Quantity]]*Excel_Advanced_Sales_Dataset_2000__3[[#This Row],[Unit Price]]-Excel_Advanced_Sales_Dataset_2000__3[[#This Row],[Discount Amount]]</f>
        <v>713198.04128</v>
      </c>
    </row>
    <row r="1062" spans="1:20" x14ac:dyDescent="0.25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>
        <v>19</v>
      </c>
      <c r="J1062" s="4">
        <v>46842.36</v>
      </c>
      <c r="K1062" s="6">
        <v>8.89</v>
      </c>
      <c r="L1062" s="4">
        <v>810883.41</v>
      </c>
      <c r="M1062" s="4" t="str" cm="1">
        <f t="array" ref="M1062">IF(Excel_Advanced_Sales_Dataset_2000__3[[#This Row],[Total Sales]]&gt;50000,{"Yes"},{"No"})</f>
        <v>Yes</v>
      </c>
      <c r="N1062" s="5">
        <v>46283</v>
      </c>
      <c r="O1062" s="1" t="s">
        <v>58</v>
      </c>
      <c r="P1062" t="s">
        <v>35</v>
      </c>
      <c r="Q1062" t="str">
        <f>IF(Excel_Advanced_Sales_Dataset_2000__3[[#This Row],[Delivery Status]]="Pending","Follow Up","Ok")</f>
        <v>Ok</v>
      </c>
      <c r="R1062" s="1" t="s">
        <v>26</v>
      </c>
      <c r="S1062">
        <f>Excel_Advanced_Sales_Dataset_2000__3[[#This Row],[Quantity]]*Excel_Advanced_Sales_Dataset_2000__3[[#This Row],[Unit Price]]*Excel_Advanced_Sales_Dataset_2000__3[[#This Row],[Discount %]]/100</f>
        <v>79121.430275999999</v>
      </c>
      <c r="T1062" s="4">
        <f>Excel_Advanced_Sales_Dataset_2000__3[[#This Row],[Quantity]]*Excel_Advanced_Sales_Dataset_2000__3[[#This Row],[Unit Price]]-Excel_Advanced_Sales_Dataset_2000__3[[#This Row],[Discount Amount]]</f>
        <v>810883.40972399991</v>
      </c>
    </row>
    <row r="1063" spans="1:20" x14ac:dyDescent="0.25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>
        <v>25</v>
      </c>
      <c r="J1063" s="4">
        <v>1440.65</v>
      </c>
      <c r="K1063" s="6">
        <v>17.82</v>
      </c>
      <c r="L1063" s="4">
        <v>29598.15</v>
      </c>
      <c r="M1063" s="4" t="str" cm="1">
        <f t="array" ref="M1063">IF(Excel_Advanced_Sales_Dataset_2000__3[[#This Row],[Total Sales]]&gt;50000,{"Yes"},{"No"})</f>
        <v>No</v>
      </c>
      <c r="N1063" s="5">
        <v>46114</v>
      </c>
      <c r="O1063" s="1" t="s">
        <v>58</v>
      </c>
      <c r="P1063" t="s">
        <v>59</v>
      </c>
      <c r="Q1063" t="str">
        <f>IF(Excel_Advanced_Sales_Dataset_2000__3[[#This Row],[Delivery Status]]="Pending","Follow Up","Ok")</f>
        <v>Ok</v>
      </c>
      <c r="R1063" s="1" t="s">
        <v>26</v>
      </c>
      <c r="S1063">
        <f>Excel_Advanced_Sales_Dataset_2000__3[[#This Row],[Quantity]]*Excel_Advanced_Sales_Dataset_2000__3[[#This Row],[Unit Price]]*Excel_Advanced_Sales_Dataset_2000__3[[#This Row],[Discount %]]/100</f>
        <v>6418.0957499999995</v>
      </c>
      <c r="T1063" s="4">
        <f>Excel_Advanced_Sales_Dataset_2000__3[[#This Row],[Quantity]]*Excel_Advanced_Sales_Dataset_2000__3[[#This Row],[Unit Price]]-Excel_Advanced_Sales_Dataset_2000__3[[#This Row],[Discount Amount]]</f>
        <v>29598.15425</v>
      </c>
    </row>
    <row r="1064" spans="1:20" x14ac:dyDescent="0.25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>
        <v>43</v>
      </c>
      <c r="J1064" s="4">
        <v>937.49</v>
      </c>
      <c r="K1064" s="6">
        <v>5.21</v>
      </c>
      <c r="L1064" s="4">
        <v>38211.81</v>
      </c>
      <c r="M1064" s="4" t="str" cm="1">
        <f t="array" ref="M1064">IF(Excel_Advanced_Sales_Dataset_2000__3[[#This Row],[Total Sales]]&gt;50000,{"Yes"},{"No"})</f>
        <v>No</v>
      </c>
      <c r="N1064" s="5">
        <v>46096</v>
      </c>
      <c r="O1064" s="1" t="s">
        <v>68</v>
      </c>
      <c r="P1064" t="s">
        <v>35</v>
      </c>
      <c r="Q1064" t="str">
        <f>IF(Excel_Advanced_Sales_Dataset_2000__3[[#This Row],[Delivery Status]]="Pending","Follow Up","Ok")</f>
        <v>Ok</v>
      </c>
      <c r="R1064" s="1" t="s">
        <v>36</v>
      </c>
      <c r="S1064">
        <f>Excel_Advanced_Sales_Dataset_2000__3[[#This Row],[Quantity]]*Excel_Advanced_Sales_Dataset_2000__3[[#This Row],[Unit Price]]*Excel_Advanced_Sales_Dataset_2000__3[[#This Row],[Discount %]]/100</f>
        <v>2100.2588470000001</v>
      </c>
      <c r="T1064" s="4">
        <f>Excel_Advanced_Sales_Dataset_2000__3[[#This Row],[Quantity]]*Excel_Advanced_Sales_Dataset_2000__3[[#This Row],[Unit Price]]-Excel_Advanced_Sales_Dataset_2000__3[[#This Row],[Discount Amount]]</f>
        <v>38211.811153000002</v>
      </c>
    </row>
    <row r="1065" spans="1:20" x14ac:dyDescent="0.25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>
        <v>43</v>
      </c>
      <c r="J1065" s="4">
        <v>9233.89</v>
      </c>
      <c r="K1065" s="6">
        <v>7.68</v>
      </c>
      <c r="L1065" s="4">
        <v>366563.27</v>
      </c>
      <c r="M1065" s="4" t="str" cm="1">
        <f t="array" ref="M1065">IF(Excel_Advanced_Sales_Dataset_2000__3[[#This Row],[Total Sales]]&gt;50000,{"Yes"},{"No"})</f>
        <v>Yes</v>
      </c>
      <c r="N1065" s="5">
        <v>46111</v>
      </c>
      <c r="O1065" s="1" t="s">
        <v>68</v>
      </c>
      <c r="P1065" t="s">
        <v>35</v>
      </c>
      <c r="Q1065" t="str">
        <f>IF(Excel_Advanced_Sales_Dataset_2000__3[[#This Row],[Delivery Status]]="Pending","Follow Up","Ok")</f>
        <v>Ok</v>
      </c>
      <c r="R1065" s="1" t="s">
        <v>53</v>
      </c>
      <c r="S1065">
        <f>Excel_Advanced_Sales_Dataset_2000__3[[#This Row],[Quantity]]*Excel_Advanced_Sales_Dataset_2000__3[[#This Row],[Unit Price]]*Excel_Advanced_Sales_Dataset_2000__3[[#This Row],[Discount %]]/100</f>
        <v>30493.998335999997</v>
      </c>
      <c r="T1065" s="4">
        <f>Excel_Advanced_Sales_Dataset_2000__3[[#This Row],[Quantity]]*Excel_Advanced_Sales_Dataset_2000__3[[#This Row],[Unit Price]]-Excel_Advanced_Sales_Dataset_2000__3[[#This Row],[Discount Amount]]</f>
        <v>366563.27166399994</v>
      </c>
    </row>
    <row r="1066" spans="1:20" x14ac:dyDescent="0.25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>
        <v>19</v>
      </c>
      <c r="J1066" s="4">
        <v>38406.17</v>
      </c>
      <c r="K1066" s="6">
        <v>11.2</v>
      </c>
      <c r="L1066" s="4">
        <v>647988.9</v>
      </c>
      <c r="M1066" s="4" t="str" cm="1">
        <f t="array" ref="M1066">IF(Excel_Advanced_Sales_Dataset_2000__3[[#This Row],[Total Sales]]&gt;50000,{"Yes"},{"No"})</f>
        <v>Yes</v>
      </c>
      <c r="N1066" s="5">
        <v>46309</v>
      </c>
      <c r="O1066" s="1" t="s">
        <v>24</v>
      </c>
      <c r="P1066" t="s">
        <v>35</v>
      </c>
      <c r="Q1066" t="str">
        <f>IF(Excel_Advanced_Sales_Dataset_2000__3[[#This Row],[Delivery Status]]="Pending","Follow Up","Ok")</f>
        <v>Ok</v>
      </c>
      <c r="R1066" s="1" t="s">
        <v>53</v>
      </c>
      <c r="S1066">
        <f>Excel_Advanced_Sales_Dataset_2000__3[[#This Row],[Quantity]]*Excel_Advanced_Sales_Dataset_2000__3[[#This Row],[Unit Price]]*Excel_Advanced_Sales_Dataset_2000__3[[#This Row],[Discount %]]/100</f>
        <v>81728.329759999993</v>
      </c>
      <c r="T1066" s="4">
        <f>Excel_Advanced_Sales_Dataset_2000__3[[#This Row],[Quantity]]*Excel_Advanced_Sales_Dataset_2000__3[[#This Row],[Unit Price]]-Excel_Advanced_Sales_Dataset_2000__3[[#This Row],[Discount Amount]]</f>
        <v>647988.90023999999</v>
      </c>
    </row>
    <row r="1067" spans="1:20" x14ac:dyDescent="0.25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>
        <v>48</v>
      </c>
      <c r="J1067" s="4">
        <v>35244.550000000003</v>
      </c>
      <c r="K1067" s="6">
        <v>6.59</v>
      </c>
      <c r="L1067" s="4">
        <v>1580252.84</v>
      </c>
      <c r="M1067" s="4" t="str" cm="1">
        <f t="array" ref="M1067">IF(Excel_Advanced_Sales_Dataset_2000__3[[#This Row],[Total Sales]]&gt;50000,{"Yes"},{"No"})</f>
        <v>Yes</v>
      </c>
      <c r="N1067" s="5">
        <v>46175</v>
      </c>
      <c r="O1067" s="1" t="s">
        <v>45</v>
      </c>
      <c r="P1067" t="s">
        <v>35</v>
      </c>
      <c r="Q1067" t="str">
        <f>IF(Excel_Advanced_Sales_Dataset_2000__3[[#This Row],[Delivery Status]]="Pending","Follow Up","Ok")</f>
        <v>Ok</v>
      </c>
      <c r="R1067" s="1" t="s">
        <v>53</v>
      </c>
      <c r="S1067">
        <f>Excel_Advanced_Sales_Dataset_2000__3[[#This Row],[Quantity]]*Excel_Advanced_Sales_Dataset_2000__3[[#This Row],[Unit Price]]*Excel_Advanced_Sales_Dataset_2000__3[[#This Row],[Discount %]]/100</f>
        <v>111485.56056</v>
      </c>
      <c r="T1067" s="4">
        <f>Excel_Advanced_Sales_Dataset_2000__3[[#This Row],[Quantity]]*Excel_Advanced_Sales_Dataset_2000__3[[#This Row],[Unit Price]]-Excel_Advanced_Sales_Dataset_2000__3[[#This Row],[Discount Amount]]</f>
        <v>1580252.8394400002</v>
      </c>
    </row>
    <row r="1068" spans="1:20" x14ac:dyDescent="0.25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>
        <v>21</v>
      </c>
      <c r="J1068" s="4">
        <v>23734.080000000002</v>
      </c>
      <c r="K1068" s="6">
        <v>8.3800000000000008</v>
      </c>
      <c r="L1068" s="4">
        <v>456648.45</v>
      </c>
      <c r="M1068" s="4" t="str" cm="1">
        <f t="array" ref="M1068">IF(Excel_Advanced_Sales_Dataset_2000__3[[#This Row],[Total Sales]]&gt;50000,{"Yes"},{"No"})</f>
        <v>Yes</v>
      </c>
      <c r="N1068" s="5">
        <v>46237</v>
      </c>
      <c r="O1068" s="1" t="s">
        <v>58</v>
      </c>
      <c r="P1068" t="s">
        <v>35</v>
      </c>
      <c r="Q1068" t="str">
        <f>IF(Excel_Advanced_Sales_Dataset_2000__3[[#This Row],[Delivery Status]]="Pending","Follow Up","Ok")</f>
        <v>Ok</v>
      </c>
      <c r="R1068" s="1" t="s">
        <v>26</v>
      </c>
      <c r="S1068">
        <f>Excel_Advanced_Sales_Dataset_2000__3[[#This Row],[Quantity]]*Excel_Advanced_Sales_Dataset_2000__3[[#This Row],[Unit Price]]*Excel_Advanced_Sales_Dataset_2000__3[[#This Row],[Discount %]]/100</f>
        <v>41767.233984000006</v>
      </c>
      <c r="T1068" s="4">
        <f>Excel_Advanced_Sales_Dataset_2000__3[[#This Row],[Quantity]]*Excel_Advanced_Sales_Dataset_2000__3[[#This Row],[Unit Price]]-Excel_Advanced_Sales_Dataset_2000__3[[#This Row],[Discount Amount]]</f>
        <v>456648.44601600006</v>
      </c>
    </row>
    <row r="1069" spans="1:20" x14ac:dyDescent="0.25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>
        <v>46</v>
      </c>
      <c r="J1069" s="4">
        <v>32175.78</v>
      </c>
      <c r="K1069" s="6">
        <v>11.99</v>
      </c>
      <c r="L1069" s="4">
        <v>1302623.58</v>
      </c>
      <c r="M1069" s="4" t="str" cm="1">
        <f t="array" ref="M1069">IF(Excel_Advanced_Sales_Dataset_2000__3[[#This Row],[Total Sales]]&gt;50000,{"Yes"},{"No"})</f>
        <v>Yes</v>
      </c>
      <c r="N1069" s="5">
        <v>46057</v>
      </c>
      <c r="O1069" s="1" t="s">
        <v>58</v>
      </c>
      <c r="P1069" t="s">
        <v>35</v>
      </c>
      <c r="Q1069" t="str">
        <f>IF(Excel_Advanced_Sales_Dataset_2000__3[[#This Row],[Delivery Status]]="Pending","Follow Up","Ok")</f>
        <v>Ok</v>
      </c>
      <c r="R1069" s="1" t="s">
        <v>36</v>
      </c>
      <c r="S1069">
        <f>Excel_Advanced_Sales_Dataset_2000__3[[#This Row],[Quantity]]*Excel_Advanced_Sales_Dataset_2000__3[[#This Row],[Unit Price]]*Excel_Advanced_Sales_Dataset_2000__3[[#This Row],[Discount %]]/100</f>
        <v>177462.29701199997</v>
      </c>
      <c r="T1069" s="4">
        <f>Excel_Advanced_Sales_Dataset_2000__3[[#This Row],[Quantity]]*Excel_Advanced_Sales_Dataset_2000__3[[#This Row],[Unit Price]]-Excel_Advanced_Sales_Dataset_2000__3[[#This Row],[Discount Amount]]</f>
        <v>1302623.582988</v>
      </c>
    </row>
    <row r="1070" spans="1:20" x14ac:dyDescent="0.25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>
        <v>11</v>
      </c>
      <c r="J1070" s="4">
        <v>13921.82</v>
      </c>
      <c r="K1070" s="6">
        <v>15.35</v>
      </c>
      <c r="L1070" s="4">
        <v>129633.03</v>
      </c>
      <c r="M1070" s="4" t="str" cm="1">
        <f t="array" ref="M1070">IF(Excel_Advanced_Sales_Dataset_2000__3[[#This Row],[Total Sales]]&gt;50000,{"Yes"},{"No"})</f>
        <v>Yes</v>
      </c>
      <c r="N1070" s="5">
        <v>46045</v>
      </c>
      <c r="O1070" s="1" t="s">
        <v>45</v>
      </c>
      <c r="P1070" t="s">
        <v>35</v>
      </c>
      <c r="Q1070" t="str">
        <f>IF(Excel_Advanced_Sales_Dataset_2000__3[[#This Row],[Delivery Status]]="Pending","Follow Up","Ok")</f>
        <v>Ok</v>
      </c>
      <c r="R1070" s="1" t="s">
        <v>36</v>
      </c>
      <c r="S1070">
        <f>Excel_Advanced_Sales_Dataset_2000__3[[#This Row],[Quantity]]*Excel_Advanced_Sales_Dataset_2000__3[[#This Row],[Unit Price]]*Excel_Advanced_Sales_Dataset_2000__3[[#This Row],[Discount %]]/100</f>
        <v>23506.993069999997</v>
      </c>
      <c r="T1070" s="4">
        <f>Excel_Advanced_Sales_Dataset_2000__3[[#This Row],[Quantity]]*Excel_Advanced_Sales_Dataset_2000__3[[#This Row],[Unit Price]]-Excel_Advanced_Sales_Dataset_2000__3[[#This Row],[Discount Amount]]</f>
        <v>129633.02692999999</v>
      </c>
    </row>
    <row r="1071" spans="1:20" x14ac:dyDescent="0.25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>
        <v>10</v>
      </c>
      <c r="J1071" s="4">
        <v>32334.91</v>
      </c>
      <c r="K1071" s="6">
        <v>10.33</v>
      </c>
      <c r="L1071" s="4">
        <v>289947.14</v>
      </c>
      <c r="M1071" s="4" t="str" cm="1">
        <f t="array" ref="M1071">IF(Excel_Advanced_Sales_Dataset_2000__3[[#This Row],[Total Sales]]&gt;50000,{"Yes"},{"No"})</f>
        <v>Yes</v>
      </c>
      <c r="N1071" s="5">
        <v>46063</v>
      </c>
      <c r="O1071" s="1" t="s">
        <v>68</v>
      </c>
      <c r="P1071" t="s">
        <v>35</v>
      </c>
      <c r="Q1071" t="str">
        <f>IF(Excel_Advanced_Sales_Dataset_2000__3[[#This Row],[Delivery Status]]="Pending","Follow Up","Ok")</f>
        <v>Ok</v>
      </c>
      <c r="R1071" s="1" t="s">
        <v>53</v>
      </c>
      <c r="S1071">
        <f>Excel_Advanced_Sales_Dataset_2000__3[[#This Row],[Quantity]]*Excel_Advanced_Sales_Dataset_2000__3[[#This Row],[Unit Price]]*Excel_Advanced_Sales_Dataset_2000__3[[#This Row],[Discount %]]/100</f>
        <v>33401.962029999995</v>
      </c>
      <c r="T1071" s="4">
        <f>Excel_Advanced_Sales_Dataset_2000__3[[#This Row],[Quantity]]*Excel_Advanced_Sales_Dataset_2000__3[[#This Row],[Unit Price]]-Excel_Advanced_Sales_Dataset_2000__3[[#This Row],[Discount Amount]]</f>
        <v>289947.13796999998</v>
      </c>
    </row>
    <row r="1072" spans="1:20" x14ac:dyDescent="0.25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>
        <v>39</v>
      </c>
      <c r="J1072" s="4">
        <v>6684.63</v>
      </c>
      <c r="K1072" s="6">
        <v>8.26</v>
      </c>
      <c r="L1072" s="4">
        <v>239166.7</v>
      </c>
      <c r="M1072" s="4" t="str" cm="1">
        <f t="array" ref="M1072">IF(Excel_Advanced_Sales_Dataset_2000__3[[#This Row],[Total Sales]]&gt;50000,{"Yes"},{"No"})</f>
        <v>Yes</v>
      </c>
      <c r="N1072" s="5">
        <v>46161</v>
      </c>
      <c r="O1072" s="1" t="s">
        <v>45</v>
      </c>
      <c r="P1072" t="s">
        <v>35</v>
      </c>
      <c r="Q1072" t="str">
        <f>IF(Excel_Advanced_Sales_Dataset_2000__3[[#This Row],[Delivery Status]]="Pending","Follow Up","Ok")</f>
        <v>Ok</v>
      </c>
      <c r="R1072" s="1" t="s">
        <v>53</v>
      </c>
      <c r="S1072">
        <f>Excel_Advanced_Sales_Dataset_2000__3[[#This Row],[Quantity]]*Excel_Advanced_Sales_Dataset_2000__3[[#This Row],[Unit Price]]*Excel_Advanced_Sales_Dataset_2000__3[[#This Row],[Discount %]]/100</f>
        <v>21533.867082000001</v>
      </c>
      <c r="T1072" s="4">
        <f>Excel_Advanced_Sales_Dataset_2000__3[[#This Row],[Quantity]]*Excel_Advanced_Sales_Dataset_2000__3[[#This Row],[Unit Price]]-Excel_Advanced_Sales_Dataset_2000__3[[#This Row],[Discount Amount]]</f>
        <v>239166.702918</v>
      </c>
    </row>
    <row r="1073" spans="1:20" x14ac:dyDescent="0.25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>
        <v>29</v>
      </c>
      <c r="J1073" s="4">
        <v>42490.66</v>
      </c>
      <c r="K1073" s="6">
        <v>4.2</v>
      </c>
      <c r="L1073" s="4">
        <v>1180475.52</v>
      </c>
      <c r="M1073" s="4" t="str" cm="1">
        <f t="array" ref="M1073">IF(Excel_Advanced_Sales_Dataset_2000__3[[#This Row],[Total Sales]]&gt;50000,{"Yes"},{"No"})</f>
        <v>Yes</v>
      </c>
      <c r="N1073" s="5">
        <v>46365</v>
      </c>
      <c r="O1073" s="1" t="s">
        <v>24</v>
      </c>
      <c r="P1073" t="s">
        <v>35</v>
      </c>
      <c r="Q1073" t="str">
        <f>IF(Excel_Advanced_Sales_Dataset_2000__3[[#This Row],[Delivery Status]]="Pending","Follow Up","Ok")</f>
        <v>Ok</v>
      </c>
      <c r="R1073" s="1" t="s">
        <v>53</v>
      </c>
      <c r="S1073">
        <f>Excel_Advanced_Sales_Dataset_2000__3[[#This Row],[Quantity]]*Excel_Advanced_Sales_Dataset_2000__3[[#This Row],[Unit Price]]*Excel_Advanced_Sales_Dataset_2000__3[[#This Row],[Discount %]]/100</f>
        <v>51753.623880000014</v>
      </c>
      <c r="T1073" s="4">
        <f>Excel_Advanced_Sales_Dataset_2000__3[[#This Row],[Quantity]]*Excel_Advanced_Sales_Dataset_2000__3[[#This Row],[Unit Price]]-Excel_Advanced_Sales_Dataset_2000__3[[#This Row],[Discount Amount]]</f>
        <v>1180475.51612</v>
      </c>
    </row>
    <row r="1074" spans="1:20" x14ac:dyDescent="0.25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>
        <v>43</v>
      </c>
      <c r="J1074" s="4">
        <v>12486.58</v>
      </c>
      <c r="K1074" s="6">
        <v>2.06</v>
      </c>
      <c r="L1074" s="4">
        <v>525862.32999999996</v>
      </c>
      <c r="M1074" s="4" t="str" cm="1">
        <f t="array" ref="M1074">IF(Excel_Advanced_Sales_Dataset_2000__3[[#This Row],[Total Sales]]&gt;50000,{"Yes"},{"No"})</f>
        <v>Yes</v>
      </c>
      <c r="N1074" s="5">
        <v>46308</v>
      </c>
      <c r="O1074" s="1" t="s">
        <v>113</v>
      </c>
      <c r="P1074" t="s">
        <v>35</v>
      </c>
      <c r="Q1074" t="str">
        <f>IF(Excel_Advanced_Sales_Dataset_2000__3[[#This Row],[Delivery Status]]="Pending","Follow Up","Ok")</f>
        <v>Ok</v>
      </c>
      <c r="R1074" s="1" t="s">
        <v>53</v>
      </c>
      <c r="S1074">
        <f>Excel_Advanced_Sales_Dataset_2000__3[[#This Row],[Quantity]]*Excel_Advanced_Sales_Dataset_2000__3[[#This Row],[Unit Price]]*Excel_Advanced_Sales_Dataset_2000__3[[#This Row],[Discount %]]/100</f>
        <v>11060.612563999999</v>
      </c>
      <c r="T1074" s="4">
        <f>Excel_Advanced_Sales_Dataset_2000__3[[#This Row],[Quantity]]*Excel_Advanced_Sales_Dataset_2000__3[[#This Row],[Unit Price]]-Excel_Advanced_Sales_Dataset_2000__3[[#This Row],[Discount Amount]]</f>
        <v>525862.32743599999</v>
      </c>
    </row>
    <row r="1075" spans="1:20" x14ac:dyDescent="0.25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>
        <v>44</v>
      </c>
      <c r="J1075" s="4">
        <v>6745.46</v>
      </c>
      <c r="K1075" s="6">
        <v>8.91</v>
      </c>
      <c r="L1075" s="4">
        <v>270355.34000000003</v>
      </c>
      <c r="M1075" s="4" t="str" cm="1">
        <f t="array" ref="M1075">IF(Excel_Advanced_Sales_Dataset_2000__3[[#This Row],[Total Sales]]&gt;50000,{"Yes"},{"No"})</f>
        <v>Yes</v>
      </c>
      <c r="N1075" s="5">
        <v>46322</v>
      </c>
      <c r="O1075" s="1" t="s">
        <v>45</v>
      </c>
      <c r="P1075" t="s">
        <v>25</v>
      </c>
      <c r="Q1075" t="str">
        <f>IF(Excel_Advanced_Sales_Dataset_2000__3[[#This Row],[Delivery Status]]="Pending","Follow Up","Ok")</f>
        <v>Follow Up</v>
      </c>
      <c r="R1075" s="1" t="s">
        <v>36</v>
      </c>
      <c r="S1075">
        <f>Excel_Advanced_Sales_Dataset_2000__3[[#This Row],[Quantity]]*Excel_Advanced_Sales_Dataset_2000__3[[#This Row],[Unit Price]]*Excel_Advanced_Sales_Dataset_2000__3[[#This Row],[Discount %]]/100</f>
        <v>26444.901384000001</v>
      </c>
      <c r="T1075" s="4">
        <f>Excel_Advanced_Sales_Dataset_2000__3[[#This Row],[Quantity]]*Excel_Advanced_Sales_Dataset_2000__3[[#This Row],[Unit Price]]-Excel_Advanced_Sales_Dataset_2000__3[[#This Row],[Discount Amount]]</f>
        <v>270355.33861599996</v>
      </c>
    </row>
    <row r="1076" spans="1:20" x14ac:dyDescent="0.25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>
        <v>46</v>
      </c>
      <c r="J1076" s="4">
        <v>39922.379999999997</v>
      </c>
      <c r="K1076" s="6">
        <v>4.22</v>
      </c>
      <c r="L1076" s="4">
        <v>1758932.16</v>
      </c>
      <c r="M1076" s="4" t="str" cm="1">
        <f t="array" ref="M1076">IF(Excel_Advanced_Sales_Dataset_2000__3[[#This Row],[Total Sales]]&gt;50000,{"Yes"},{"No"})</f>
        <v>Yes</v>
      </c>
      <c r="N1076" s="5">
        <v>46108</v>
      </c>
      <c r="O1076" s="1" t="s">
        <v>58</v>
      </c>
      <c r="P1076" t="s">
        <v>35</v>
      </c>
      <c r="Q1076" t="str">
        <f>IF(Excel_Advanced_Sales_Dataset_2000__3[[#This Row],[Delivery Status]]="Pending","Follow Up","Ok")</f>
        <v>Ok</v>
      </c>
      <c r="R1076" s="1" t="s">
        <v>26</v>
      </c>
      <c r="S1076">
        <f>Excel_Advanced_Sales_Dataset_2000__3[[#This Row],[Quantity]]*Excel_Advanced_Sales_Dataset_2000__3[[#This Row],[Unit Price]]*Excel_Advanced_Sales_Dataset_2000__3[[#This Row],[Discount %]]/100</f>
        <v>77497.324055999998</v>
      </c>
      <c r="T1076" s="4">
        <f>Excel_Advanced_Sales_Dataset_2000__3[[#This Row],[Quantity]]*Excel_Advanced_Sales_Dataset_2000__3[[#This Row],[Unit Price]]-Excel_Advanced_Sales_Dataset_2000__3[[#This Row],[Discount Amount]]</f>
        <v>1758932.155944</v>
      </c>
    </row>
    <row r="1077" spans="1:20" x14ac:dyDescent="0.25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>
        <v>31</v>
      </c>
      <c r="J1077" s="4">
        <v>18574.21</v>
      </c>
      <c r="K1077" s="6">
        <v>5.99</v>
      </c>
      <c r="L1077" s="4">
        <v>541310.06000000006</v>
      </c>
      <c r="M1077" s="4" t="str" cm="1">
        <f t="array" ref="M1077">IF(Excel_Advanced_Sales_Dataset_2000__3[[#This Row],[Total Sales]]&gt;50000,{"Yes"},{"No"})</f>
        <v>Yes</v>
      </c>
      <c r="N1077" s="5">
        <v>46089</v>
      </c>
      <c r="O1077" s="1" t="s">
        <v>68</v>
      </c>
      <c r="P1077" t="s">
        <v>35</v>
      </c>
      <c r="Q1077" t="str">
        <f>IF(Excel_Advanced_Sales_Dataset_2000__3[[#This Row],[Delivery Status]]="Pending","Follow Up","Ok")</f>
        <v>Ok</v>
      </c>
      <c r="R1077" s="1" t="s">
        <v>26</v>
      </c>
      <c r="S1077">
        <f>Excel_Advanced_Sales_Dataset_2000__3[[#This Row],[Quantity]]*Excel_Advanced_Sales_Dataset_2000__3[[#This Row],[Unit Price]]*Excel_Advanced_Sales_Dataset_2000__3[[#This Row],[Discount %]]/100</f>
        <v>34490.450549000001</v>
      </c>
      <c r="T1077" s="4">
        <f>Excel_Advanced_Sales_Dataset_2000__3[[#This Row],[Quantity]]*Excel_Advanced_Sales_Dataset_2000__3[[#This Row],[Unit Price]]-Excel_Advanced_Sales_Dataset_2000__3[[#This Row],[Discount Amount]]</f>
        <v>541310.05945100007</v>
      </c>
    </row>
    <row r="1078" spans="1:20" x14ac:dyDescent="0.25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>
        <v>20</v>
      </c>
      <c r="J1078" s="4">
        <v>2140.64</v>
      </c>
      <c r="K1078" s="6">
        <v>19.13</v>
      </c>
      <c r="L1078" s="4">
        <v>34622.71</v>
      </c>
      <c r="M1078" s="4" t="str" cm="1">
        <f t="array" ref="M1078">IF(Excel_Advanced_Sales_Dataset_2000__3[[#This Row],[Total Sales]]&gt;50000,{"Yes"},{"No"})</f>
        <v>No</v>
      </c>
      <c r="N1078" s="5">
        <v>46166</v>
      </c>
      <c r="O1078" s="1" t="s">
        <v>24</v>
      </c>
      <c r="P1078" t="s">
        <v>35</v>
      </c>
      <c r="Q1078" t="str">
        <f>IF(Excel_Advanced_Sales_Dataset_2000__3[[#This Row],[Delivery Status]]="Pending","Follow Up","Ok")</f>
        <v>Ok</v>
      </c>
      <c r="R1078" s="1" t="s">
        <v>36</v>
      </c>
      <c r="S1078">
        <f>Excel_Advanced_Sales_Dataset_2000__3[[#This Row],[Quantity]]*Excel_Advanced_Sales_Dataset_2000__3[[#This Row],[Unit Price]]*Excel_Advanced_Sales_Dataset_2000__3[[#This Row],[Discount %]]/100</f>
        <v>8190.0886399999981</v>
      </c>
      <c r="T1078" s="4">
        <f>Excel_Advanced_Sales_Dataset_2000__3[[#This Row],[Quantity]]*Excel_Advanced_Sales_Dataset_2000__3[[#This Row],[Unit Price]]-Excel_Advanced_Sales_Dataset_2000__3[[#This Row],[Discount Amount]]</f>
        <v>34622.711360000001</v>
      </c>
    </row>
    <row r="1079" spans="1:20" x14ac:dyDescent="0.25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>
        <v>41</v>
      </c>
      <c r="J1079" s="4">
        <v>25391.63</v>
      </c>
      <c r="K1079" s="6">
        <v>1.47</v>
      </c>
      <c r="L1079" s="4">
        <v>1025753.29</v>
      </c>
      <c r="M1079" s="4" t="str" cm="1">
        <f t="array" ref="M1079">IF(Excel_Advanced_Sales_Dataset_2000__3[[#This Row],[Total Sales]]&gt;50000,{"Yes"},{"No"})</f>
        <v>Yes</v>
      </c>
      <c r="N1079" s="5">
        <v>46385</v>
      </c>
      <c r="O1079" s="1" t="s">
        <v>24</v>
      </c>
      <c r="P1079" t="s">
        <v>35</v>
      </c>
      <c r="Q1079" t="str">
        <f>IF(Excel_Advanced_Sales_Dataset_2000__3[[#This Row],[Delivery Status]]="Pending","Follow Up","Ok")</f>
        <v>Ok</v>
      </c>
      <c r="R1079" s="1" t="s">
        <v>53</v>
      </c>
      <c r="S1079">
        <f>Excel_Advanced_Sales_Dataset_2000__3[[#This Row],[Quantity]]*Excel_Advanced_Sales_Dataset_2000__3[[#This Row],[Unit Price]]*Excel_Advanced_Sales_Dataset_2000__3[[#This Row],[Discount %]]/100</f>
        <v>15303.535401000001</v>
      </c>
      <c r="T1079" s="4">
        <f>Excel_Advanced_Sales_Dataset_2000__3[[#This Row],[Quantity]]*Excel_Advanced_Sales_Dataset_2000__3[[#This Row],[Unit Price]]-Excel_Advanced_Sales_Dataset_2000__3[[#This Row],[Discount Amount]]</f>
        <v>1025753.2945990001</v>
      </c>
    </row>
    <row r="1080" spans="1:20" x14ac:dyDescent="0.25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>
        <v>49</v>
      </c>
      <c r="J1080" s="4">
        <v>5653.92</v>
      </c>
      <c r="K1080" s="6">
        <v>8.1999999999999993</v>
      </c>
      <c r="L1080" s="4">
        <v>254324.63</v>
      </c>
      <c r="M1080" s="4" t="str" cm="1">
        <f t="array" ref="M1080">IF(Excel_Advanced_Sales_Dataset_2000__3[[#This Row],[Total Sales]]&gt;50000,{"Yes"},{"No"})</f>
        <v>Yes</v>
      </c>
      <c r="N1080" s="5">
        <v>46295</v>
      </c>
      <c r="O1080" s="1" t="s">
        <v>45</v>
      </c>
      <c r="P1080" t="s">
        <v>59</v>
      </c>
      <c r="Q1080" t="str">
        <f>IF(Excel_Advanced_Sales_Dataset_2000__3[[#This Row],[Delivery Status]]="Pending","Follow Up","Ok")</f>
        <v>Ok</v>
      </c>
      <c r="R1080" s="1" t="s">
        <v>53</v>
      </c>
      <c r="S1080">
        <f>Excel_Advanced_Sales_Dataset_2000__3[[#This Row],[Quantity]]*Excel_Advanced_Sales_Dataset_2000__3[[#This Row],[Unit Price]]*Excel_Advanced_Sales_Dataset_2000__3[[#This Row],[Discount %]]/100</f>
        <v>22717.450559999997</v>
      </c>
      <c r="T1080" s="4">
        <f>Excel_Advanced_Sales_Dataset_2000__3[[#This Row],[Quantity]]*Excel_Advanced_Sales_Dataset_2000__3[[#This Row],[Unit Price]]-Excel_Advanced_Sales_Dataset_2000__3[[#This Row],[Discount Amount]]</f>
        <v>254324.62944000002</v>
      </c>
    </row>
    <row r="1081" spans="1:20" x14ac:dyDescent="0.25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>
        <v>14</v>
      </c>
      <c r="J1081" s="4">
        <v>24116.71</v>
      </c>
      <c r="K1081" s="6">
        <v>12.58</v>
      </c>
      <c r="L1081" s="4">
        <v>295159.59000000003</v>
      </c>
      <c r="M1081" s="4" t="str" cm="1">
        <f t="array" ref="M1081">IF(Excel_Advanced_Sales_Dataset_2000__3[[#This Row],[Total Sales]]&gt;50000,{"Yes"},{"No"})</f>
        <v>Yes</v>
      </c>
      <c r="N1081" s="5">
        <v>46136</v>
      </c>
      <c r="O1081" s="1" t="s">
        <v>24</v>
      </c>
      <c r="P1081" t="s">
        <v>25</v>
      </c>
      <c r="Q1081" t="str">
        <f>IF(Excel_Advanced_Sales_Dataset_2000__3[[#This Row],[Delivery Status]]="Pending","Follow Up","Ok")</f>
        <v>Follow Up</v>
      </c>
      <c r="R1081" s="1" t="s">
        <v>53</v>
      </c>
      <c r="S1081">
        <f>Excel_Advanced_Sales_Dataset_2000__3[[#This Row],[Quantity]]*Excel_Advanced_Sales_Dataset_2000__3[[#This Row],[Unit Price]]*Excel_Advanced_Sales_Dataset_2000__3[[#This Row],[Discount %]]/100</f>
        <v>42474.349652000004</v>
      </c>
      <c r="T1081" s="4">
        <f>Excel_Advanced_Sales_Dataset_2000__3[[#This Row],[Quantity]]*Excel_Advanced_Sales_Dataset_2000__3[[#This Row],[Unit Price]]-Excel_Advanced_Sales_Dataset_2000__3[[#This Row],[Discount Amount]]</f>
        <v>295159.590348</v>
      </c>
    </row>
    <row r="1082" spans="1:20" x14ac:dyDescent="0.25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>
        <v>8</v>
      </c>
      <c r="J1082" s="4">
        <v>15252.71</v>
      </c>
      <c r="K1082" s="6">
        <v>7.96</v>
      </c>
      <c r="L1082" s="4">
        <v>112308.75</v>
      </c>
      <c r="M1082" s="4" t="str" cm="1">
        <f t="array" ref="M1082">IF(Excel_Advanced_Sales_Dataset_2000__3[[#This Row],[Total Sales]]&gt;50000,{"Yes"},{"No"})</f>
        <v>Yes</v>
      </c>
      <c r="N1082" s="5">
        <v>46212</v>
      </c>
      <c r="O1082" s="1" t="s">
        <v>24</v>
      </c>
      <c r="P1082" t="s">
        <v>35</v>
      </c>
      <c r="Q1082" t="str">
        <f>IF(Excel_Advanced_Sales_Dataset_2000__3[[#This Row],[Delivery Status]]="Pending","Follow Up","Ok")</f>
        <v>Ok</v>
      </c>
      <c r="R1082" s="1" t="s">
        <v>26</v>
      </c>
      <c r="S1082">
        <f>Excel_Advanced_Sales_Dataset_2000__3[[#This Row],[Quantity]]*Excel_Advanced_Sales_Dataset_2000__3[[#This Row],[Unit Price]]*Excel_Advanced_Sales_Dataset_2000__3[[#This Row],[Discount %]]/100</f>
        <v>9712.9257280000002</v>
      </c>
      <c r="T1082" s="4">
        <f>Excel_Advanced_Sales_Dataset_2000__3[[#This Row],[Quantity]]*Excel_Advanced_Sales_Dataset_2000__3[[#This Row],[Unit Price]]-Excel_Advanced_Sales_Dataset_2000__3[[#This Row],[Discount Amount]]</f>
        <v>112308.75427199999</v>
      </c>
    </row>
    <row r="1083" spans="1:20" x14ac:dyDescent="0.25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>
        <v>23</v>
      </c>
      <c r="J1083" s="4">
        <v>38969.050000000003</v>
      </c>
      <c r="K1083" s="6">
        <v>2.15</v>
      </c>
      <c r="L1083" s="4">
        <v>877017.95</v>
      </c>
      <c r="M1083" s="4" t="str" cm="1">
        <f t="array" ref="M1083">IF(Excel_Advanced_Sales_Dataset_2000__3[[#This Row],[Total Sales]]&gt;50000,{"Yes"},{"No"})</f>
        <v>Yes</v>
      </c>
      <c r="N1083" s="5">
        <v>46115</v>
      </c>
      <c r="O1083" s="1" t="s">
        <v>45</v>
      </c>
      <c r="P1083" t="s">
        <v>25</v>
      </c>
      <c r="Q1083" t="str">
        <f>IF(Excel_Advanced_Sales_Dataset_2000__3[[#This Row],[Delivery Status]]="Pending","Follow Up","Ok")</f>
        <v>Follow Up</v>
      </c>
      <c r="R1083" s="1" t="s">
        <v>26</v>
      </c>
      <c r="S1083">
        <f>Excel_Advanced_Sales_Dataset_2000__3[[#This Row],[Quantity]]*Excel_Advanced_Sales_Dataset_2000__3[[#This Row],[Unit Price]]*Excel_Advanced_Sales_Dataset_2000__3[[#This Row],[Discount %]]/100</f>
        <v>19270.195224999999</v>
      </c>
      <c r="T1083" s="4">
        <f>Excel_Advanced_Sales_Dataset_2000__3[[#This Row],[Quantity]]*Excel_Advanced_Sales_Dataset_2000__3[[#This Row],[Unit Price]]-Excel_Advanced_Sales_Dataset_2000__3[[#This Row],[Discount Amount]]</f>
        <v>877017.95477499999</v>
      </c>
    </row>
    <row r="1084" spans="1:20" x14ac:dyDescent="0.25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>
        <v>46</v>
      </c>
      <c r="J1084" s="4">
        <v>5533.64</v>
      </c>
      <c r="K1084" s="6">
        <v>3.29</v>
      </c>
      <c r="L1084" s="4">
        <v>246172.83</v>
      </c>
      <c r="M1084" s="4" t="str" cm="1">
        <f t="array" ref="M1084">IF(Excel_Advanced_Sales_Dataset_2000__3[[#This Row],[Total Sales]]&gt;50000,{"Yes"},{"No"})</f>
        <v>Yes</v>
      </c>
      <c r="N1084" s="5">
        <v>46269</v>
      </c>
      <c r="O1084" s="1" t="s">
        <v>24</v>
      </c>
      <c r="P1084" t="s">
        <v>35</v>
      </c>
      <c r="Q1084" t="str">
        <f>IF(Excel_Advanced_Sales_Dataset_2000__3[[#This Row],[Delivery Status]]="Pending","Follow Up","Ok")</f>
        <v>Ok</v>
      </c>
      <c r="R1084" s="1" t="s">
        <v>53</v>
      </c>
      <c r="S1084">
        <f>Excel_Advanced_Sales_Dataset_2000__3[[#This Row],[Quantity]]*Excel_Advanced_Sales_Dataset_2000__3[[#This Row],[Unit Price]]*Excel_Advanced_Sales_Dataset_2000__3[[#This Row],[Discount %]]/100</f>
        <v>8374.6107759999995</v>
      </c>
      <c r="T1084" s="4">
        <f>Excel_Advanced_Sales_Dataset_2000__3[[#This Row],[Quantity]]*Excel_Advanced_Sales_Dataset_2000__3[[#This Row],[Unit Price]]-Excel_Advanced_Sales_Dataset_2000__3[[#This Row],[Discount Amount]]</f>
        <v>246172.82922400002</v>
      </c>
    </row>
    <row r="1085" spans="1:20" x14ac:dyDescent="0.25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>
        <v>42</v>
      </c>
      <c r="J1085" s="4">
        <v>37415.620000000003</v>
      </c>
      <c r="K1085" s="6">
        <v>13.62</v>
      </c>
      <c r="L1085" s="4">
        <v>1357423.73</v>
      </c>
      <c r="M1085" s="4" t="str" cm="1">
        <f t="array" ref="M1085">IF(Excel_Advanced_Sales_Dataset_2000__3[[#This Row],[Total Sales]]&gt;50000,{"Yes"},{"No"})</f>
        <v>Yes</v>
      </c>
      <c r="N1085" s="5">
        <v>46353</v>
      </c>
      <c r="O1085" s="1" t="s">
        <v>113</v>
      </c>
      <c r="P1085" t="s">
        <v>59</v>
      </c>
      <c r="Q1085" t="str">
        <f>IF(Excel_Advanced_Sales_Dataset_2000__3[[#This Row],[Delivery Status]]="Pending","Follow Up","Ok")</f>
        <v>Ok</v>
      </c>
      <c r="R1085" s="1" t="s">
        <v>36</v>
      </c>
      <c r="S1085">
        <f>Excel_Advanced_Sales_Dataset_2000__3[[#This Row],[Quantity]]*Excel_Advanced_Sales_Dataset_2000__3[[#This Row],[Unit Price]]*Excel_Advanced_Sales_Dataset_2000__3[[#This Row],[Discount %]]/100</f>
        <v>214032.31264800002</v>
      </c>
      <c r="T1085" s="4">
        <f>Excel_Advanced_Sales_Dataset_2000__3[[#This Row],[Quantity]]*Excel_Advanced_Sales_Dataset_2000__3[[#This Row],[Unit Price]]-Excel_Advanced_Sales_Dataset_2000__3[[#This Row],[Discount Amount]]</f>
        <v>1357423.7273520001</v>
      </c>
    </row>
    <row r="1086" spans="1:20" x14ac:dyDescent="0.25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>
        <v>25</v>
      </c>
      <c r="J1086" s="4">
        <v>43552.61</v>
      </c>
      <c r="K1086" s="6">
        <v>3.46</v>
      </c>
      <c r="L1086" s="4">
        <v>1051142.24</v>
      </c>
      <c r="M1086" s="4" t="str" cm="1">
        <f t="array" ref="M1086">IF(Excel_Advanced_Sales_Dataset_2000__3[[#This Row],[Total Sales]]&gt;50000,{"Yes"},{"No"})</f>
        <v>Yes</v>
      </c>
      <c r="N1086" s="5">
        <v>46350</v>
      </c>
      <c r="O1086" s="1" t="s">
        <v>24</v>
      </c>
      <c r="P1086" t="s">
        <v>35</v>
      </c>
      <c r="Q1086" t="str">
        <f>IF(Excel_Advanced_Sales_Dataset_2000__3[[#This Row],[Delivery Status]]="Pending","Follow Up","Ok")</f>
        <v>Ok</v>
      </c>
      <c r="R1086" s="1" t="s">
        <v>26</v>
      </c>
      <c r="S1086">
        <f>Excel_Advanced_Sales_Dataset_2000__3[[#This Row],[Quantity]]*Excel_Advanced_Sales_Dataset_2000__3[[#This Row],[Unit Price]]*Excel_Advanced_Sales_Dataset_2000__3[[#This Row],[Discount %]]/100</f>
        <v>37673.00765</v>
      </c>
      <c r="T1086" s="4">
        <f>Excel_Advanced_Sales_Dataset_2000__3[[#This Row],[Quantity]]*Excel_Advanced_Sales_Dataset_2000__3[[#This Row],[Unit Price]]-Excel_Advanced_Sales_Dataset_2000__3[[#This Row],[Discount Amount]]</f>
        <v>1051142.24235</v>
      </c>
    </row>
    <row r="1087" spans="1:20" x14ac:dyDescent="0.25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>
        <v>18</v>
      </c>
      <c r="J1087" s="4">
        <v>21929.65</v>
      </c>
      <c r="K1087" s="6">
        <v>15.78</v>
      </c>
      <c r="L1087" s="4">
        <v>332444.71999999997</v>
      </c>
      <c r="M1087" s="4" t="str" cm="1">
        <f t="array" ref="M1087">IF(Excel_Advanced_Sales_Dataset_2000__3[[#This Row],[Total Sales]]&gt;50000,{"Yes"},{"No"})</f>
        <v>Yes</v>
      </c>
      <c r="N1087" s="5">
        <v>46112</v>
      </c>
      <c r="O1087" s="1" t="s">
        <v>58</v>
      </c>
      <c r="P1087" t="s">
        <v>35</v>
      </c>
      <c r="Q1087" t="str">
        <f>IF(Excel_Advanced_Sales_Dataset_2000__3[[#This Row],[Delivery Status]]="Pending","Follow Up","Ok")</f>
        <v>Ok</v>
      </c>
      <c r="R1087" s="1" t="s">
        <v>26</v>
      </c>
      <c r="S1087">
        <f>Excel_Advanced_Sales_Dataset_2000__3[[#This Row],[Quantity]]*Excel_Advanced_Sales_Dataset_2000__3[[#This Row],[Unit Price]]*Excel_Advanced_Sales_Dataset_2000__3[[#This Row],[Discount %]]/100</f>
        <v>62288.977860000006</v>
      </c>
      <c r="T1087" s="4">
        <f>Excel_Advanced_Sales_Dataset_2000__3[[#This Row],[Quantity]]*Excel_Advanced_Sales_Dataset_2000__3[[#This Row],[Unit Price]]-Excel_Advanced_Sales_Dataset_2000__3[[#This Row],[Discount Amount]]</f>
        <v>332444.72214000003</v>
      </c>
    </row>
    <row r="1088" spans="1:20" x14ac:dyDescent="0.25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>
        <v>49</v>
      </c>
      <c r="J1088" s="4">
        <v>47787.5</v>
      </c>
      <c r="K1088" s="6">
        <v>5.57</v>
      </c>
      <c r="L1088" s="4">
        <v>2211161.08</v>
      </c>
      <c r="M1088" s="4" t="str" cm="1">
        <f t="array" ref="M1088">IF(Excel_Advanced_Sales_Dataset_2000__3[[#This Row],[Total Sales]]&gt;50000,{"Yes"},{"No"})</f>
        <v>Yes</v>
      </c>
      <c r="N1088" s="5">
        <v>46172</v>
      </c>
      <c r="O1088" s="1" t="s">
        <v>24</v>
      </c>
      <c r="P1088" t="s">
        <v>35</v>
      </c>
      <c r="Q1088" t="str">
        <f>IF(Excel_Advanced_Sales_Dataset_2000__3[[#This Row],[Delivery Status]]="Pending","Follow Up","Ok")</f>
        <v>Ok</v>
      </c>
      <c r="R1088" s="1" t="s">
        <v>26</v>
      </c>
      <c r="S1088">
        <f>Excel_Advanced_Sales_Dataset_2000__3[[#This Row],[Quantity]]*Excel_Advanced_Sales_Dataset_2000__3[[#This Row],[Unit Price]]*Excel_Advanced_Sales_Dataset_2000__3[[#This Row],[Discount %]]/100</f>
        <v>130426.42375</v>
      </c>
      <c r="T1088" s="4">
        <f>Excel_Advanced_Sales_Dataset_2000__3[[#This Row],[Quantity]]*Excel_Advanced_Sales_Dataset_2000__3[[#This Row],[Unit Price]]-Excel_Advanced_Sales_Dataset_2000__3[[#This Row],[Discount Amount]]</f>
        <v>2211161.0762499999</v>
      </c>
    </row>
    <row r="1089" spans="1:20" x14ac:dyDescent="0.25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>
        <v>11</v>
      </c>
      <c r="J1089" s="4">
        <v>6371.7</v>
      </c>
      <c r="K1089" s="6">
        <v>15.49</v>
      </c>
      <c r="L1089" s="4">
        <v>59231.96</v>
      </c>
      <c r="M1089" s="4" t="str" cm="1">
        <f t="array" ref="M1089">IF(Excel_Advanced_Sales_Dataset_2000__3[[#This Row],[Total Sales]]&gt;50000,{"Yes"},{"No"})</f>
        <v>Yes</v>
      </c>
      <c r="N1089" s="5">
        <v>46051</v>
      </c>
      <c r="O1089" s="1" t="s">
        <v>45</v>
      </c>
      <c r="P1089" t="s">
        <v>35</v>
      </c>
      <c r="Q1089" t="str">
        <f>IF(Excel_Advanced_Sales_Dataset_2000__3[[#This Row],[Delivery Status]]="Pending","Follow Up","Ok")</f>
        <v>Ok</v>
      </c>
      <c r="R1089" s="1" t="s">
        <v>26</v>
      </c>
      <c r="S1089">
        <f>Excel_Advanced_Sales_Dataset_2000__3[[#This Row],[Quantity]]*Excel_Advanced_Sales_Dataset_2000__3[[#This Row],[Unit Price]]*Excel_Advanced_Sales_Dataset_2000__3[[#This Row],[Discount %]]/100</f>
        <v>10856.73963</v>
      </c>
      <c r="T1089" s="4">
        <f>Excel_Advanced_Sales_Dataset_2000__3[[#This Row],[Quantity]]*Excel_Advanced_Sales_Dataset_2000__3[[#This Row],[Unit Price]]-Excel_Advanced_Sales_Dataset_2000__3[[#This Row],[Discount Amount]]</f>
        <v>59231.960370000001</v>
      </c>
    </row>
    <row r="1090" spans="1:20" x14ac:dyDescent="0.25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>
        <v>33</v>
      </c>
      <c r="J1090" s="4">
        <v>10298.23</v>
      </c>
      <c r="K1090" s="6">
        <v>17.309999999999999</v>
      </c>
      <c r="L1090" s="4">
        <v>281015.01</v>
      </c>
      <c r="M1090" s="4" t="str" cm="1">
        <f t="array" ref="M1090">IF(Excel_Advanced_Sales_Dataset_2000__3[[#This Row],[Total Sales]]&gt;50000,{"Yes"},{"No"})</f>
        <v>Yes</v>
      </c>
      <c r="N1090" s="5">
        <v>46240</v>
      </c>
      <c r="O1090" s="1" t="s">
        <v>58</v>
      </c>
      <c r="P1090" t="s">
        <v>35</v>
      </c>
      <c r="Q1090" t="str">
        <f>IF(Excel_Advanced_Sales_Dataset_2000__3[[#This Row],[Delivery Status]]="Pending","Follow Up","Ok")</f>
        <v>Ok</v>
      </c>
      <c r="R1090" s="1" t="s">
        <v>26</v>
      </c>
      <c r="S1090">
        <f>Excel_Advanced_Sales_Dataset_2000__3[[#This Row],[Quantity]]*Excel_Advanced_Sales_Dataset_2000__3[[#This Row],[Unit Price]]*Excel_Advanced_Sales_Dataset_2000__3[[#This Row],[Discount %]]/100</f>
        <v>58826.579228999988</v>
      </c>
      <c r="T1090" s="4">
        <f>Excel_Advanced_Sales_Dataset_2000__3[[#This Row],[Quantity]]*Excel_Advanced_Sales_Dataset_2000__3[[#This Row],[Unit Price]]-Excel_Advanced_Sales_Dataset_2000__3[[#This Row],[Discount Amount]]</f>
        <v>281015.010771</v>
      </c>
    </row>
    <row r="1091" spans="1:20" x14ac:dyDescent="0.25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>
        <v>47</v>
      </c>
      <c r="J1091" s="4">
        <v>46302.16</v>
      </c>
      <c r="K1091" s="6">
        <v>17.43</v>
      </c>
      <c r="L1091" s="4">
        <v>1796889.6000000001</v>
      </c>
      <c r="M1091" s="4" t="str" cm="1">
        <f t="array" ref="M1091">IF(Excel_Advanced_Sales_Dataset_2000__3[[#This Row],[Total Sales]]&gt;50000,{"Yes"},{"No"})</f>
        <v>Yes</v>
      </c>
      <c r="N1091" s="5">
        <v>46344</v>
      </c>
      <c r="O1091" s="1" t="s">
        <v>68</v>
      </c>
      <c r="P1091" t="s">
        <v>35</v>
      </c>
      <c r="Q1091" t="str">
        <f>IF(Excel_Advanced_Sales_Dataset_2000__3[[#This Row],[Delivery Status]]="Pending","Follow Up","Ok")</f>
        <v>Ok</v>
      </c>
      <c r="R1091" s="1" t="s">
        <v>26</v>
      </c>
      <c r="S1091">
        <f>Excel_Advanced_Sales_Dataset_2000__3[[#This Row],[Quantity]]*Excel_Advanced_Sales_Dataset_2000__3[[#This Row],[Unit Price]]*Excel_Advanced_Sales_Dataset_2000__3[[#This Row],[Discount %]]/100</f>
        <v>379311.92493600002</v>
      </c>
      <c r="T1091" s="4">
        <f>Excel_Advanced_Sales_Dataset_2000__3[[#This Row],[Quantity]]*Excel_Advanced_Sales_Dataset_2000__3[[#This Row],[Unit Price]]-Excel_Advanced_Sales_Dataset_2000__3[[#This Row],[Discount Amount]]</f>
        <v>1796889.595064</v>
      </c>
    </row>
    <row r="1092" spans="1:20" x14ac:dyDescent="0.25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>
        <v>29</v>
      </c>
      <c r="J1092" s="4">
        <v>11786.26</v>
      </c>
      <c r="K1092" s="6">
        <v>10.17</v>
      </c>
      <c r="L1092" s="4">
        <v>307040.32</v>
      </c>
      <c r="M1092" s="4" t="str" cm="1">
        <f t="array" ref="M1092">IF(Excel_Advanced_Sales_Dataset_2000__3[[#This Row],[Total Sales]]&gt;50000,{"Yes"},{"No"})</f>
        <v>Yes</v>
      </c>
      <c r="N1092" s="5">
        <v>46233</v>
      </c>
      <c r="O1092" s="1" t="s">
        <v>45</v>
      </c>
      <c r="P1092" t="s">
        <v>25</v>
      </c>
      <c r="Q1092" t="str">
        <f>IF(Excel_Advanced_Sales_Dataset_2000__3[[#This Row],[Delivery Status]]="Pending","Follow Up","Ok")</f>
        <v>Follow Up</v>
      </c>
      <c r="R1092" s="1" t="s">
        <v>26</v>
      </c>
      <c r="S1092">
        <f>Excel_Advanced_Sales_Dataset_2000__3[[#This Row],[Quantity]]*Excel_Advanced_Sales_Dataset_2000__3[[#This Row],[Unit Price]]*Excel_Advanced_Sales_Dataset_2000__3[[#This Row],[Discount %]]/100</f>
        <v>34761.216617999999</v>
      </c>
      <c r="T1092" s="4">
        <f>Excel_Advanced_Sales_Dataset_2000__3[[#This Row],[Quantity]]*Excel_Advanced_Sales_Dataset_2000__3[[#This Row],[Unit Price]]-Excel_Advanced_Sales_Dataset_2000__3[[#This Row],[Discount Amount]]</f>
        <v>307040.32338199997</v>
      </c>
    </row>
    <row r="1093" spans="1:20" x14ac:dyDescent="0.25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>
        <v>29</v>
      </c>
      <c r="J1093" s="4">
        <v>31387.98</v>
      </c>
      <c r="K1093" s="6">
        <v>9.23</v>
      </c>
      <c r="L1093" s="4">
        <v>826235.21</v>
      </c>
      <c r="M1093" s="4" t="str" cm="1">
        <f t="array" ref="M1093">IF(Excel_Advanced_Sales_Dataset_2000__3[[#This Row],[Total Sales]]&gt;50000,{"Yes"},{"No"})</f>
        <v>Yes</v>
      </c>
      <c r="N1093" s="5">
        <v>46351</v>
      </c>
      <c r="O1093" s="1" t="s">
        <v>68</v>
      </c>
      <c r="P1093" t="s">
        <v>35</v>
      </c>
      <c r="Q1093" t="str">
        <f>IF(Excel_Advanced_Sales_Dataset_2000__3[[#This Row],[Delivery Status]]="Pending","Follow Up","Ok")</f>
        <v>Ok</v>
      </c>
      <c r="R1093" s="1" t="s">
        <v>53</v>
      </c>
      <c r="S1093">
        <f>Excel_Advanced_Sales_Dataset_2000__3[[#This Row],[Quantity]]*Excel_Advanced_Sales_Dataset_2000__3[[#This Row],[Unit Price]]*Excel_Advanced_Sales_Dataset_2000__3[[#This Row],[Discount %]]/100</f>
        <v>84016.206066000013</v>
      </c>
      <c r="T1093" s="4">
        <f>Excel_Advanced_Sales_Dataset_2000__3[[#This Row],[Quantity]]*Excel_Advanced_Sales_Dataset_2000__3[[#This Row],[Unit Price]]-Excel_Advanced_Sales_Dataset_2000__3[[#This Row],[Discount Amount]]</f>
        <v>826235.213934</v>
      </c>
    </row>
    <row r="1094" spans="1:20" x14ac:dyDescent="0.25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>
        <v>44</v>
      </c>
      <c r="J1094" s="4">
        <v>32984.660000000003</v>
      </c>
      <c r="K1094" s="6">
        <v>1.7</v>
      </c>
      <c r="L1094" s="4">
        <v>1426652.51</v>
      </c>
      <c r="M1094" s="4" t="str" cm="1">
        <f t="array" ref="M1094">IF(Excel_Advanced_Sales_Dataset_2000__3[[#This Row],[Total Sales]]&gt;50000,{"Yes"},{"No"})</f>
        <v>Yes</v>
      </c>
      <c r="N1094" s="5">
        <v>46186</v>
      </c>
      <c r="O1094" s="1" t="s">
        <v>24</v>
      </c>
      <c r="P1094" t="s">
        <v>35</v>
      </c>
      <c r="Q1094" t="str">
        <f>IF(Excel_Advanced_Sales_Dataset_2000__3[[#This Row],[Delivery Status]]="Pending","Follow Up","Ok")</f>
        <v>Ok</v>
      </c>
      <c r="R1094" s="1" t="s">
        <v>53</v>
      </c>
      <c r="S1094">
        <f>Excel_Advanced_Sales_Dataset_2000__3[[#This Row],[Quantity]]*Excel_Advanced_Sales_Dataset_2000__3[[#This Row],[Unit Price]]*Excel_Advanced_Sales_Dataset_2000__3[[#This Row],[Discount %]]/100</f>
        <v>24672.525679999999</v>
      </c>
      <c r="T1094" s="4">
        <f>Excel_Advanced_Sales_Dataset_2000__3[[#This Row],[Quantity]]*Excel_Advanced_Sales_Dataset_2000__3[[#This Row],[Unit Price]]-Excel_Advanced_Sales_Dataset_2000__3[[#This Row],[Discount Amount]]</f>
        <v>1426652.5143200001</v>
      </c>
    </row>
    <row r="1095" spans="1:20" x14ac:dyDescent="0.25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>
        <v>11</v>
      </c>
      <c r="J1095" s="4">
        <v>33479.74</v>
      </c>
      <c r="K1095" s="6">
        <v>16.34</v>
      </c>
      <c r="L1095" s="4">
        <v>308100.65999999997</v>
      </c>
      <c r="M1095" s="4" t="str" cm="1">
        <f t="array" ref="M1095">IF(Excel_Advanced_Sales_Dataset_2000__3[[#This Row],[Total Sales]]&gt;50000,{"Yes"},{"No"})</f>
        <v>Yes</v>
      </c>
      <c r="N1095" s="5">
        <v>46184</v>
      </c>
      <c r="O1095" s="1" t="s">
        <v>113</v>
      </c>
      <c r="P1095" t="s">
        <v>35</v>
      </c>
      <c r="Q1095" t="str">
        <f>IF(Excel_Advanced_Sales_Dataset_2000__3[[#This Row],[Delivery Status]]="Pending","Follow Up","Ok")</f>
        <v>Ok</v>
      </c>
      <c r="R1095" s="1" t="s">
        <v>26</v>
      </c>
      <c r="S1095">
        <f>Excel_Advanced_Sales_Dataset_2000__3[[#This Row],[Quantity]]*Excel_Advanced_Sales_Dataset_2000__3[[#This Row],[Unit Price]]*Excel_Advanced_Sales_Dataset_2000__3[[#This Row],[Discount %]]/100</f>
        <v>60176.484675999993</v>
      </c>
      <c r="T1095" s="4">
        <f>Excel_Advanced_Sales_Dataset_2000__3[[#This Row],[Quantity]]*Excel_Advanced_Sales_Dataset_2000__3[[#This Row],[Unit Price]]-Excel_Advanced_Sales_Dataset_2000__3[[#This Row],[Discount Amount]]</f>
        <v>308100.65532399993</v>
      </c>
    </row>
    <row r="1096" spans="1:20" x14ac:dyDescent="0.25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>
        <v>19</v>
      </c>
      <c r="J1096" s="4">
        <v>12326.91</v>
      </c>
      <c r="K1096" s="6">
        <v>2.57</v>
      </c>
      <c r="L1096" s="4">
        <v>228192.06</v>
      </c>
      <c r="M1096" s="4" t="str" cm="1">
        <f t="array" ref="M1096">IF(Excel_Advanced_Sales_Dataset_2000__3[[#This Row],[Total Sales]]&gt;50000,{"Yes"},{"No"})</f>
        <v>Yes</v>
      </c>
      <c r="N1096" s="5">
        <v>46036</v>
      </c>
      <c r="O1096" s="1" t="s">
        <v>113</v>
      </c>
      <c r="P1096" t="s">
        <v>35</v>
      </c>
      <c r="Q1096" t="str">
        <f>IF(Excel_Advanced_Sales_Dataset_2000__3[[#This Row],[Delivery Status]]="Pending","Follow Up","Ok")</f>
        <v>Ok</v>
      </c>
      <c r="R1096" s="1" t="s">
        <v>36</v>
      </c>
      <c r="S1096">
        <f>Excel_Advanced_Sales_Dataset_2000__3[[#This Row],[Quantity]]*Excel_Advanced_Sales_Dataset_2000__3[[#This Row],[Unit Price]]*Excel_Advanced_Sales_Dataset_2000__3[[#This Row],[Discount %]]/100</f>
        <v>6019.2301529999995</v>
      </c>
      <c r="T1096" s="4">
        <f>Excel_Advanced_Sales_Dataset_2000__3[[#This Row],[Quantity]]*Excel_Advanced_Sales_Dataset_2000__3[[#This Row],[Unit Price]]-Excel_Advanced_Sales_Dataset_2000__3[[#This Row],[Discount Amount]]</f>
        <v>228192.059847</v>
      </c>
    </row>
    <row r="1097" spans="1:20" x14ac:dyDescent="0.25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>
        <v>39</v>
      </c>
      <c r="J1097" s="4">
        <v>10484.44</v>
      </c>
      <c r="K1097" s="6">
        <v>17.850000000000001</v>
      </c>
      <c r="L1097" s="4">
        <v>335905.73</v>
      </c>
      <c r="M1097" s="4" t="str" cm="1">
        <f t="array" ref="M1097">IF(Excel_Advanced_Sales_Dataset_2000__3[[#This Row],[Total Sales]]&gt;50000,{"Yes"},{"No"})</f>
        <v>Yes</v>
      </c>
      <c r="N1097" s="5">
        <v>46069</v>
      </c>
      <c r="O1097" s="1" t="s">
        <v>45</v>
      </c>
      <c r="P1097" t="s">
        <v>35</v>
      </c>
      <c r="Q1097" t="str">
        <f>IF(Excel_Advanced_Sales_Dataset_2000__3[[#This Row],[Delivery Status]]="Pending","Follow Up","Ok")</f>
        <v>Ok</v>
      </c>
      <c r="R1097" s="1" t="s">
        <v>26</v>
      </c>
      <c r="S1097">
        <f>Excel_Advanced_Sales_Dataset_2000__3[[#This Row],[Quantity]]*Excel_Advanced_Sales_Dataset_2000__3[[#This Row],[Unit Price]]*Excel_Advanced_Sales_Dataset_2000__3[[#This Row],[Discount %]]/100</f>
        <v>72987.429060000009</v>
      </c>
      <c r="T1097" s="4">
        <f>Excel_Advanced_Sales_Dataset_2000__3[[#This Row],[Quantity]]*Excel_Advanced_Sales_Dataset_2000__3[[#This Row],[Unit Price]]-Excel_Advanced_Sales_Dataset_2000__3[[#This Row],[Discount Amount]]</f>
        <v>335905.73094000004</v>
      </c>
    </row>
    <row r="1098" spans="1:20" x14ac:dyDescent="0.25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>
        <v>23</v>
      </c>
      <c r="J1098" s="4">
        <v>2258.63</v>
      </c>
      <c r="K1098" s="6">
        <v>12.04</v>
      </c>
      <c r="L1098" s="4">
        <v>45693.89</v>
      </c>
      <c r="M1098" s="4" t="str" cm="1">
        <f t="array" ref="M1098">IF(Excel_Advanced_Sales_Dataset_2000__3[[#This Row],[Total Sales]]&gt;50000,{"Yes"},{"No"})</f>
        <v>No</v>
      </c>
      <c r="N1098" s="5">
        <v>46263</v>
      </c>
      <c r="O1098" s="1" t="s">
        <v>58</v>
      </c>
      <c r="P1098" t="s">
        <v>35</v>
      </c>
      <c r="Q1098" t="str">
        <f>IF(Excel_Advanced_Sales_Dataset_2000__3[[#This Row],[Delivery Status]]="Pending","Follow Up","Ok")</f>
        <v>Ok</v>
      </c>
      <c r="R1098" s="1" t="s">
        <v>53</v>
      </c>
      <c r="S1098">
        <f>Excel_Advanced_Sales_Dataset_2000__3[[#This Row],[Quantity]]*Excel_Advanced_Sales_Dataset_2000__3[[#This Row],[Unit Price]]*Excel_Advanced_Sales_Dataset_2000__3[[#This Row],[Discount %]]/100</f>
        <v>6254.5981960000008</v>
      </c>
      <c r="T1098" s="4">
        <f>Excel_Advanced_Sales_Dataset_2000__3[[#This Row],[Quantity]]*Excel_Advanced_Sales_Dataset_2000__3[[#This Row],[Unit Price]]-Excel_Advanced_Sales_Dataset_2000__3[[#This Row],[Discount Amount]]</f>
        <v>45693.891804000006</v>
      </c>
    </row>
    <row r="1099" spans="1:20" x14ac:dyDescent="0.25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>
        <v>1</v>
      </c>
      <c r="J1099" s="4">
        <v>42242.16</v>
      </c>
      <c r="K1099" s="6">
        <v>19.22</v>
      </c>
      <c r="L1099" s="4">
        <v>34123.22</v>
      </c>
      <c r="M1099" s="4" t="str" cm="1">
        <f t="array" ref="M1099">IF(Excel_Advanced_Sales_Dataset_2000__3[[#This Row],[Total Sales]]&gt;50000,{"Yes"},{"No"})</f>
        <v>No</v>
      </c>
      <c r="N1099" s="5">
        <v>46373</v>
      </c>
      <c r="O1099" s="1" t="s">
        <v>68</v>
      </c>
      <c r="P1099" t="s">
        <v>35</v>
      </c>
      <c r="Q1099" t="str">
        <f>IF(Excel_Advanced_Sales_Dataset_2000__3[[#This Row],[Delivery Status]]="Pending","Follow Up","Ok")</f>
        <v>Ok</v>
      </c>
      <c r="R1099" s="1" t="s">
        <v>36</v>
      </c>
      <c r="S1099">
        <f>Excel_Advanced_Sales_Dataset_2000__3[[#This Row],[Quantity]]*Excel_Advanced_Sales_Dataset_2000__3[[#This Row],[Unit Price]]*Excel_Advanced_Sales_Dataset_2000__3[[#This Row],[Discount %]]/100</f>
        <v>8118.9431520000007</v>
      </c>
      <c r="T1099" s="4">
        <f>Excel_Advanced_Sales_Dataset_2000__3[[#This Row],[Quantity]]*Excel_Advanced_Sales_Dataset_2000__3[[#This Row],[Unit Price]]-Excel_Advanced_Sales_Dataset_2000__3[[#This Row],[Discount Amount]]</f>
        <v>34123.216848000004</v>
      </c>
    </row>
    <row r="1100" spans="1:20" x14ac:dyDescent="0.25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>
        <v>1</v>
      </c>
      <c r="J1100" s="4">
        <v>38298.199999999997</v>
      </c>
      <c r="K1100" s="6">
        <v>6.27</v>
      </c>
      <c r="L1100" s="4">
        <v>35896.9</v>
      </c>
      <c r="M1100" s="4" t="str" cm="1">
        <f t="array" ref="M1100">IF(Excel_Advanced_Sales_Dataset_2000__3[[#This Row],[Total Sales]]&gt;50000,{"Yes"},{"No"})</f>
        <v>No</v>
      </c>
      <c r="N1100" s="5">
        <v>46327</v>
      </c>
      <c r="O1100" s="1" t="s">
        <v>45</v>
      </c>
      <c r="P1100" t="s">
        <v>25</v>
      </c>
      <c r="Q1100" t="str">
        <f>IF(Excel_Advanced_Sales_Dataset_2000__3[[#This Row],[Delivery Status]]="Pending","Follow Up","Ok")</f>
        <v>Follow Up</v>
      </c>
      <c r="R1100" s="1" t="s">
        <v>26</v>
      </c>
      <c r="S1100">
        <f>Excel_Advanced_Sales_Dataset_2000__3[[#This Row],[Quantity]]*Excel_Advanced_Sales_Dataset_2000__3[[#This Row],[Unit Price]]*Excel_Advanced_Sales_Dataset_2000__3[[#This Row],[Discount %]]/100</f>
        <v>2401.2971399999997</v>
      </c>
      <c r="T1100" s="4">
        <f>Excel_Advanced_Sales_Dataset_2000__3[[#This Row],[Quantity]]*Excel_Advanced_Sales_Dataset_2000__3[[#This Row],[Unit Price]]-Excel_Advanced_Sales_Dataset_2000__3[[#This Row],[Discount Amount]]</f>
        <v>35896.902859999995</v>
      </c>
    </row>
    <row r="1101" spans="1:20" x14ac:dyDescent="0.25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>
        <v>37</v>
      </c>
      <c r="J1101" s="4">
        <v>4268.92</v>
      </c>
      <c r="K1101" s="6">
        <v>14.75</v>
      </c>
      <c r="L1101" s="4">
        <v>134652.41</v>
      </c>
      <c r="M1101" s="4" t="str" cm="1">
        <f t="array" ref="M1101">IF(Excel_Advanced_Sales_Dataset_2000__3[[#This Row],[Total Sales]]&gt;50000,{"Yes"},{"No"})</f>
        <v>Yes</v>
      </c>
      <c r="N1101" s="5">
        <v>46098</v>
      </c>
      <c r="O1101" s="1" t="s">
        <v>24</v>
      </c>
      <c r="P1101" t="s">
        <v>35</v>
      </c>
      <c r="Q1101" t="str">
        <f>IF(Excel_Advanced_Sales_Dataset_2000__3[[#This Row],[Delivery Status]]="Pending","Follow Up","Ok")</f>
        <v>Ok</v>
      </c>
      <c r="R1101" s="1" t="s">
        <v>26</v>
      </c>
      <c r="S1101">
        <f>Excel_Advanced_Sales_Dataset_2000__3[[#This Row],[Quantity]]*Excel_Advanced_Sales_Dataset_2000__3[[#This Row],[Unit Price]]*Excel_Advanced_Sales_Dataset_2000__3[[#This Row],[Discount %]]/100</f>
        <v>23297.630900000004</v>
      </c>
      <c r="T1101" s="4">
        <f>Excel_Advanced_Sales_Dataset_2000__3[[#This Row],[Quantity]]*Excel_Advanced_Sales_Dataset_2000__3[[#This Row],[Unit Price]]-Excel_Advanced_Sales_Dataset_2000__3[[#This Row],[Discount Amount]]</f>
        <v>134652.40909999999</v>
      </c>
    </row>
    <row r="1102" spans="1:20" x14ac:dyDescent="0.25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>
        <v>29</v>
      </c>
      <c r="J1102" s="4">
        <v>3930.31</v>
      </c>
      <c r="K1102" s="6">
        <v>6.32</v>
      </c>
      <c r="L1102" s="4">
        <v>106775.52</v>
      </c>
      <c r="M1102" s="4" t="str" cm="1">
        <f t="array" ref="M1102">IF(Excel_Advanced_Sales_Dataset_2000__3[[#This Row],[Total Sales]]&gt;50000,{"Yes"},{"No"})</f>
        <v>Yes</v>
      </c>
      <c r="N1102" s="5">
        <v>46355</v>
      </c>
      <c r="O1102" s="1" t="s">
        <v>68</v>
      </c>
      <c r="P1102" t="s">
        <v>35</v>
      </c>
      <c r="Q1102" t="str">
        <f>IF(Excel_Advanced_Sales_Dataset_2000__3[[#This Row],[Delivery Status]]="Pending","Follow Up","Ok")</f>
        <v>Ok</v>
      </c>
      <c r="R1102" s="1" t="s">
        <v>53</v>
      </c>
      <c r="S1102">
        <f>Excel_Advanced_Sales_Dataset_2000__3[[#This Row],[Quantity]]*Excel_Advanced_Sales_Dataset_2000__3[[#This Row],[Unit Price]]*Excel_Advanced_Sales_Dataset_2000__3[[#This Row],[Discount %]]/100</f>
        <v>7203.4721680000002</v>
      </c>
      <c r="T1102" s="4">
        <f>Excel_Advanced_Sales_Dataset_2000__3[[#This Row],[Quantity]]*Excel_Advanced_Sales_Dataset_2000__3[[#This Row],[Unit Price]]-Excel_Advanced_Sales_Dataset_2000__3[[#This Row],[Discount Amount]]</f>
        <v>106775.51783200001</v>
      </c>
    </row>
    <row r="1103" spans="1:20" x14ac:dyDescent="0.25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>
        <v>4</v>
      </c>
      <c r="J1103" s="4">
        <v>40702.03</v>
      </c>
      <c r="K1103" s="6">
        <v>2</v>
      </c>
      <c r="L1103" s="4">
        <v>159551.96</v>
      </c>
      <c r="M1103" s="4" t="str" cm="1">
        <f t="array" ref="M1103">IF(Excel_Advanced_Sales_Dataset_2000__3[[#This Row],[Total Sales]]&gt;50000,{"Yes"},{"No"})</f>
        <v>Yes</v>
      </c>
      <c r="N1103" s="5">
        <v>46276</v>
      </c>
      <c r="O1103" s="1" t="s">
        <v>68</v>
      </c>
      <c r="P1103" t="s">
        <v>25</v>
      </c>
      <c r="Q1103" t="str">
        <f>IF(Excel_Advanced_Sales_Dataset_2000__3[[#This Row],[Delivery Status]]="Pending","Follow Up","Ok")</f>
        <v>Follow Up</v>
      </c>
      <c r="R1103" s="1" t="s">
        <v>36</v>
      </c>
      <c r="S1103">
        <f>Excel_Advanced_Sales_Dataset_2000__3[[#This Row],[Quantity]]*Excel_Advanced_Sales_Dataset_2000__3[[#This Row],[Unit Price]]*Excel_Advanced_Sales_Dataset_2000__3[[#This Row],[Discount %]]/100</f>
        <v>3256.1623999999997</v>
      </c>
      <c r="T1103" s="4">
        <f>Excel_Advanced_Sales_Dataset_2000__3[[#This Row],[Quantity]]*Excel_Advanced_Sales_Dataset_2000__3[[#This Row],[Unit Price]]-Excel_Advanced_Sales_Dataset_2000__3[[#This Row],[Discount Amount]]</f>
        <v>159551.95759999999</v>
      </c>
    </row>
    <row r="1104" spans="1:20" x14ac:dyDescent="0.25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>
        <v>8</v>
      </c>
      <c r="J1104" s="4">
        <v>47895.13</v>
      </c>
      <c r="K1104" s="6">
        <v>19.190000000000001</v>
      </c>
      <c r="L1104" s="4">
        <v>309632.44</v>
      </c>
      <c r="M1104" s="4" t="str" cm="1">
        <f t="array" ref="M1104">IF(Excel_Advanced_Sales_Dataset_2000__3[[#This Row],[Total Sales]]&gt;50000,{"Yes"},{"No"})</f>
        <v>Yes</v>
      </c>
      <c r="N1104" s="5">
        <v>46030</v>
      </c>
      <c r="O1104" s="1" t="s">
        <v>113</v>
      </c>
      <c r="P1104" t="s">
        <v>35</v>
      </c>
      <c r="Q1104" t="str">
        <f>IF(Excel_Advanced_Sales_Dataset_2000__3[[#This Row],[Delivery Status]]="Pending","Follow Up","Ok")</f>
        <v>Ok</v>
      </c>
      <c r="R1104" s="1" t="s">
        <v>26</v>
      </c>
      <c r="S1104">
        <f>Excel_Advanced_Sales_Dataset_2000__3[[#This Row],[Quantity]]*Excel_Advanced_Sales_Dataset_2000__3[[#This Row],[Unit Price]]*Excel_Advanced_Sales_Dataset_2000__3[[#This Row],[Discount %]]/100</f>
        <v>73528.603575999994</v>
      </c>
      <c r="T1104" s="4">
        <f>Excel_Advanced_Sales_Dataset_2000__3[[#This Row],[Quantity]]*Excel_Advanced_Sales_Dataset_2000__3[[#This Row],[Unit Price]]-Excel_Advanced_Sales_Dataset_2000__3[[#This Row],[Discount Amount]]</f>
        <v>309632.43642399996</v>
      </c>
    </row>
    <row r="1105" spans="1:20" x14ac:dyDescent="0.25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>
        <v>50</v>
      </c>
      <c r="J1105" s="4">
        <v>4195.09</v>
      </c>
      <c r="K1105" s="6">
        <v>2.57</v>
      </c>
      <c r="L1105" s="4">
        <v>204363.81</v>
      </c>
      <c r="M1105" s="4" t="str" cm="1">
        <f t="array" ref="M1105">IF(Excel_Advanced_Sales_Dataset_2000__3[[#This Row],[Total Sales]]&gt;50000,{"Yes"},{"No"})</f>
        <v>Yes</v>
      </c>
      <c r="N1105" s="5">
        <v>46027</v>
      </c>
      <c r="O1105" s="1" t="s">
        <v>24</v>
      </c>
      <c r="P1105" t="s">
        <v>35</v>
      </c>
      <c r="Q1105" t="str">
        <f>IF(Excel_Advanced_Sales_Dataset_2000__3[[#This Row],[Delivery Status]]="Pending","Follow Up","Ok")</f>
        <v>Ok</v>
      </c>
      <c r="R1105" s="1" t="s">
        <v>26</v>
      </c>
      <c r="S1105">
        <f>Excel_Advanced_Sales_Dataset_2000__3[[#This Row],[Quantity]]*Excel_Advanced_Sales_Dataset_2000__3[[#This Row],[Unit Price]]*Excel_Advanced_Sales_Dataset_2000__3[[#This Row],[Discount %]]/100</f>
        <v>5390.6906499999996</v>
      </c>
      <c r="T1105" s="4">
        <f>Excel_Advanced_Sales_Dataset_2000__3[[#This Row],[Quantity]]*Excel_Advanced_Sales_Dataset_2000__3[[#This Row],[Unit Price]]-Excel_Advanced_Sales_Dataset_2000__3[[#This Row],[Discount Amount]]</f>
        <v>204363.80935</v>
      </c>
    </row>
    <row r="1106" spans="1:20" x14ac:dyDescent="0.25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>
        <v>7</v>
      </c>
      <c r="J1106" s="4">
        <v>7077.1</v>
      </c>
      <c r="K1106" s="6">
        <v>14.16</v>
      </c>
      <c r="L1106" s="4">
        <v>42524.88</v>
      </c>
      <c r="M1106" s="4" t="str" cm="1">
        <f t="array" ref="M1106">IF(Excel_Advanced_Sales_Dataset_2000__3[[#This Row],[Total Sales]]&gt;50000,{"Yes"},{"No"})</f>
        <v>No</v>
      </c>
      <c r="N1106" s="5">
        <v>46142</v>
      </c>
      <c r="O1106" s="1" t="s">
        <v>58</v>
      </c>
      <c r="P1106" t="s">
        <v>35</v>
      </c>
      <c r="Q1106" t="str">
        <f>IF(Excel_Advanced_Sales_Dataset_2000__3[[#This Row],[Delivery Status]]="Pending","Follow Up","Ok")</f>
        <v>Ok</v>
      </c>
      <c r="R1106" s="1" t="s">
        <v>53</v>
      </c>
      <c r="S1106">
        <f>Excel_Advanced_Sales_Dataset_2000__3[[#This Row],[Quantity]]*Excel_Advanced_Sales_Dataset_2000__3[[#This Row],[Unit Price]]*Excel_Advanced_Sales_Dataset_2000__3[[#This Row],[Discount %]]/100</f>
        <v>7014.8215200000013</v>
      </c>
      <c r="T1106" s="4">
        <f>Excel_Advanced_Sales_Dataset_2000__3[[#This Row],[Quantity]]*Excel_Advanced_Sales_Dataset_2000__3[[#This Row],[Unit Price]]-Excel_Advanced_Sales_Dataset_2000__3[[#This Row],[Discount Amount]]</f>
        <v>42524.878479999999</v>
      </c>
    </row>
    <row r="1107" spans="1:20" x14ac:dyDescent="0.25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>
        <v>40</v>
      </c>
      <c r="J1107" s="4">
        <v>7816.66</v>
      </c>
      <c r="K1107" s="6">
        <v>12.02</v>
      </c>
      <c r="L1107" s="4">
        <v>275083.90000000002</v>
      </c>
      <c r="M1107" s="4" t="str" cm="1">
        <f t="array" ref="M1107">IF(Excel_Advanced_Sales_Dataset_2000__3[[#This Row],[Total Sales]]&gt;50000,{"Yes"},{"No"})</f>
        <v>Yes</v>
      </c>
      <c r="N1107" s="5">
        <v>46040</v>
      </c>
      <c r="O1107" s="1" t="s">
        <v>24</v>
      </c>
      <c r="P1107" t="s">
        <v>25</v>
      </c>
      <c r="Q1107" t="str">
        <f>IF(Excel_Advanced_Sales_Dataset_2000__3[[#This Row],[Delivery Status]]="Pending","Follow Up","Ok")</f>
        <v>Follow Up</v>
      </c>
      <c r="R1107" s="1" t="s">
        <v>53</v>
      </c>
      <c r="S1107">
        <f>Excel_Advanced_Sales_Dataset_2000__3[[#This Row],[Quantity]]*Excel_Advanced_Sales_Dataset_2000__3[[#This Row],[Unit Price]]*Excel_Advanced_Sales_Dataset_2000__3[[#This Row],[Discount %]]/100</f>
        <v>37582.501279999997</v>
      </c>
      <c r="T1107" s="4">
        <f>Excel_Advanced_Sales_Dataset_2000__3[[#This Row],[Quantity]]*Excel_Advanced_Sales_Dataset_2000__3[[#This Row],[Unit Price]]-Excel_Advanced_Sales_Dataset_2000__3[[#This Row],[Discount Amount]]</f>
        <v>275083.89872000006</v>
      </c>
    </row>
    <row r="1108" spans="1:20" x14ac:dyDescent="0.25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>
        <v>27</v>
      </c>
      <c r="J1108" s="4">
        <v>10163.459999999999</v>
      </c>
      <c r="K1108" s="6">
        <v>9.9700000000000006</v>
      </c>
      <c r="L1108" s="4">
        <v>247054.4</v>
      </c>
      <c r="M1108" s="4" t="str" cm="1">
        <f t="array" ref="M1108">IF(Excel_Advanced_Sales_Dataset_2000__3[[#This Row],[Total Sales]]&gt;50000,{"Yes"},{"No"})</f>
        <v>Yes</v>
      </c>
      <c r="N1108" s="5">
        <v>46116</v>
      </c>
      <c r="O1108" s="1" t="s">
        <v>24</v>
      </c>
      <c r="P1108" t="s">
        <v>35</v>
      </c>
      <c r="Q1108" t="str">
        <f>IF(Excel_Advanced_Sales_Dataset_2000__3[[#This Row],[Delivery Status]]="Pending","Follow Up","Ok")</f>
        <v>Ok</v>
      </c>
      <c r="R1108" s="1" t="s">
        <v>36</v>
      </c>
      <c r="S1108">
        <f>Excel_Advanced_Sales_Dataset_2000__3[[#This Row],[Quantity]]*Excel_Advanced_Sales_Dataset_2000__3[[#This Row],[Unit Price]]*Excel_Advanced_Sales_Dataset_2000__3[[#This Row],[Discount %]]/100</f>
        <v>27359.017974000002</v>
      </c>
      <c r="T1108" s="4">
        <f>Excel_Advanced_Sales_Dataset_2000__3[[#This Row],[Quantity]]*Excel_Advanced_Sales_Dataset_2000__3[[#This Row],[Unit Price]]-Excel_Advanced_Sales_Dataset_2000__3[[#This Row],[Discount Amount]]</f>
        <v>247054.40202599997</v>
      </c>
    </row>
    <row r="1109" spans="1:20" x14ac:dyDescent="0.25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>
        <v>42</v>
      </c>
      <c r="J1109" s="4">
        <v>5642.8</v>
      </c>
      <c r="K1109" s="6">
        <v>16.670000000000002</v>
      </c>
      <c r="L1109" s="4">
        <v>197490.1</v>
      </c>
      <c r="M1109" s="4" t="str" cm="1">
        <f t="array" ref="M1109">IF(Excel_Advanced_Sales_Dataset_2000__3[[#This Row],[Total Sales]]&gt;50000,{"Yes"},{"No"})</f>
        <v>Yes</v>
      </c>
      <c r="N1109" s="5">
        <v>46042</v>
      </c>
      <c r="O1109" s="1" t="s">
        <v>58</v>
      </c>
      <c r="P1109" t="s">
        <v>35</v>
      </c>
      <c r="Q1109" t="str">
        <f>IF(Excel_Advanced_Sales_Dataset_2000__3[[#This Row],[Delivery Status]]="Pending","Follow Up","Ok")</f>
        <v>Ok</v>
      </c>
      <c r="R1109" s="1" t="s">
        <v>26</v>
      </c>
      <c r="S1109">
        <f>Excel_Advanced_Sales_Dataset_2000__3[[#This Row],[Quantity]]*Excel_Advanced_Sales_Dataset_2000__3[[#This Row],[Unit Price]]*Excel_Advanced_Sales_Dataset_2000__3[[#This Row],[Discount %]]/100</f>
        <v>39507.499920000002</v>
      </c>
      <c r="T1109" s="4">
        <f>Excel_Advanced_Sales_Dataset_2000__3[[#This Row],[Quantity]]*Excel_Advanced_Sales_Dataset_2000__3[[#This Row],[Unit Price]]-Excel_Advanced_Sales_Dataset_2000__3[[#This Row],[Discount Amount]]</f>
        <v>197490.10008</v>
      </c>
    </row>
    <row r="1110" spans="1:20" x14ac:dyDescent="0.25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>
        <v>28</v>
      </c>
      <c r="J1110" s="4">
        <v>19161.93</v>
      </c>
      <c r="K1110" s="6">
        <v>15.46</v>
      </c>
      <c r="L1110" s="4">
        <v>453585.88</v>
      </c>
      <c r="M1110" s="4" t="str" cm="1">
        <f t="array" ref="M1110">IF(Excel_Advanced_Sales_Dataset_2000__3[[#This Row],[Total Sales]]&gt;50000,{"Yes"},{"No"})</f>
        <v>Yes</v>
      </c>
      <c r="N1110" s="5">
        <v>46224</v>
      </c>
      <c r="O1110" s="1" t="s">
        <v>113</v>
      </c>
      <c r="P1110" t="s">
        <v>35</v>
      </c>
      <c r="Q1110" t="str">
        <f>IF(Excel_Advanced_Sales_Dataset_2000__3[[#This Row],[Delivery Status]]="Pending","Follow Up","Ok")</f>
        <v>Ok</v>
      </c>
      <c r="R1110" s="1" t="s">
        <v>26</v>
      </c>
      <c r="S1110">
        <f>Excel_Advanced_Sales_Dataset_2000__3[[#This Row],[Quantity]]*Excel_Advanced_Sales_Dataset_2000__3[[#This Row],[Unit Price]]*Excel_Advanced_Sales_Dataset_2000__3[[#This Row],[Discount %]]/100</f>
        <v>82948.162584000005</v>
      </c>
      <c r="T1110" s="4">
        <f>Excel_Advanced_Sales_Dataset_2000__3[[#This Row],[Quantity]]*Excel_Advanced_Sales_Dataset_2000__3[[#This Row],[Unit Price]]-Excel_Advanced_Sales_Dataset_2000__3[[#This Row],[Discount Amount]]</f>
        <v>453585.877416</v>
      </c>
    </row>
    <row r="1111" spans="1:20" x14ac:dyDescent="0.25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>
        <v>45</v>
      </c>
      <c r="J1111" s="4">
        <v>33735.21</v>
      </c>
      <c r="K1111" s="6">
        <v>7.56</v>
      </c>
      <c r="L1111" s="4">
        <v>1403317.27</v>
      </c>
      <c r="M1111" s="4" t="str" cm="1">
        <f t="array" ref="M1111">IF(Excel_Advanced_Sales_Dataset_2000__3[[#This Row],[Total Sales]]&gt;50000,{"Yes"},{"No"})</f>
        <v>Yes</v>
      </c>
      <c r="N1111" s="5">
        <v>46346</v>
      </c>
      <c r="O1111" s="1" t="s">
        <v>113</v>
      </c>
      <c r="P1111" t="s">
        <v>59</v>
      </c>
      <c r="Q1111" t="str">
        <f>IF(Excel_Advanced_Sales_Dataset_2000__3[[#This Row],[Delivery Status]]="Pending","Follow Up","Ok")</f>
        <v>Ok</v>
      </c>
      <c r="R1111" s="1" t="s">
        <v>36</v>
      </c>
      <c r="S1111">
        <f>Excel_Advanced_Sales_Dataset_2000__3[[#This Row],[Quantity]]*Excel_Advanced_Sales_Dataset_2000__3[[#This Row],[Unit Price]]*Excel_Advanced_Sales_Dataset_2000__3[[#This Row],[Discount %]]/100</f>
        <v>114767.18442000001</v>
      </c>
      <c r="T1111" s="4">
        <f>Excel_Advanced_Sales_Dataset_2000__3[[#This Row],[Quantity]]*Excel_Advanced_Sales_Dataset_2000__3[[#This Row],[Unit Price]]-Excel_Advanced_Sales_Dataset_2000__3[[#This Row],[Discount Amount]]</f>
        <v>1403317.2655799999</v>
      </c>
    </row>
    <row r="1112" spans="1:20" x14ac:dyDescent="0.25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>
        <v>46</v>
      </c>
      <c r="J1112" s="4">
        <v>14702.18</v>
      </c>
      <c r="K1112" s="6">
        <v>0.38</v>
      </c>
      <c r="L1112" s="4">
        <v>673730.34</v>
      </c>
      <c r="M1112" s="4" t="str" cm="1">
        <f t="array" ref="M1112">IF(Excel_Advanced_Sales_Dataset_2000__3[[#This Row],[Total Sales]]&gt;50000,{"Yes"},{"No"})</f>
        <v>Yes</v>
      </c>
      <c r="N1112" s="5">
        <v>46227</v>
      </c>
      <c r="O1112" s="1" t="s">
        <v>58</v>
      </c>
      <c r="P1112" t="s">
        <v>25</v>
      </c>
      <c r="Q1112" t="str">
        <f>IF(Excel_Advanced_Sales_Dataset_2000__3[[#This Row],[Delivery Status]]="Pending","Follow Up","Ok")</f>
        <v>Follow Up</v>
      </c>
      <c r="R1112" s="1" t="s">
        <v>53</v>
      </c>
      <c r="S1112">
        <f>Excel_Advanced_Sales_Dataset_2000__3[[#This Row],[Quantity]]*Excel_Advanced_Sales_Dataset_2000__3[[#This Row],[Unit Price]]*Excel_Advanced_Sales_Dataset_2000__3[[#This Row],[Discount %]]/100</f>
        <v>2569.9410640000001</v>
      </c>
      <c r="T1112" s="4">
        <f>Excel_Advanced_Sales_Dataset_2000__3[[#This Row],[Quantity]]*Excel_Advanced_Sales_Dataset_2000__3[[#This Row],[Unit Price]]-Excel_Advanced_Sales_Dataset_2000__3[[#This Row],[Discount Amount]]</f>
        <v>673730.33893600001</v>
      </c>
    </row>
    <row r="1113" spans="1:20" x14ac:dyDescent="0.25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>
        <v>24</v>
      </c>
      <c r="J1113" s="4">
        <v>40193.519999999997</v>
      </c>
      <c r="K1113" s="6">
        <v>19.97</v>
      </c>
      <c r="L1113" s="4">
        <v>772004.98</v>
      </c>
      <c r="M1113" s="4" t="str" cm="1">
        <f t="array" ref="M1113">IF(Excel_Advanced_Sales_Dataset_2000__3[[#This Row],[Total Sales]]&gt;50000,{"Yes"},{"No"})</f>
        <v>Yes</v>
      </c>
      <c r="N1113" s="5">
        <v>46310</v>
      </c>
      <c r="O1113" s="1" t="s">
        <v>24</v>
      </c>
      <c r="P1113" t="s">
        <v>59</v>
      </c>
      <c r="Q1113" t="str">
        <f>IF(Excel_Advanced_Sales_Dataset_2000__3[[#This Row],[Delivery Status]]="Pending","Follow Up","Ok")</f>
        <v>Ok</v>
      </c>
      <c r="R1113" s="1" t="s">
        <v>26</v>
      </c>
      <c r="S1113">
        <f>Excel_Advanced_Sales_Dataset_2000__3[[#This Row],[Quantity]]*Excel_Advanced_Sales_Dataset_2000__3[[#This Row],[Unit Price]]*Excel_Advanced_Sales_Dataset_2000__3[[#This Row],[Discount %]]/100</f>
        <v>192639.502656</v>
      </c>
      <c r="T1113" s="4">
        <f>Excel_Advanced_Sales_Dataset_2000__3[[#This Row],[Quantity]]*Excel_Advanced_Sales_Dataset_2000__3[[#This Row],[Unit Price]]-Excel_Advanced_Sales_Dataset_2000__3[[#This Row],[Discount Amount]]</f>
        <v>772004.97734400001</v>
      </c>
    </row>
    <row r="1114" spans="1:20" x14ac:dyDescent="0.25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>
        <v>46</v>
      </c>
      <c r="J1114" s="4">
        <v>44408.35</v>
      </c>
      <c r="K1114" s="6">
        <v>4.78</v>
      </c>
      <c r="L1114" s="4">
        <v>1945139.02</v>
      </c>
      <c r="M1114" s="4" t="str" cm="1">
        <f t="array" ref="M1114">IF(Excel_Advanced_Sales_Dataset_2000__3[[#This Row],[Total Sales]]&gt;50000,{"Yes"},{"No"})</f>
        <v>Yes</v>
      </c>
      <c r="N1114" s="5">
        <v>46046</v>
      </c>
      <c r="O1114" s="1" t="s">
        <v>58</v>
      </c>
      <c r="P1114" t="s">
        <v>35</v>
      </c>
      <c r="Q1114" t="str">
        <f>IF(Excel_Advanced_Sales_Dataset_2000__3[[#This Row],[Delivery Status]]="Pending","Follow Up","Ok")</f>
        <v>Ok</v>
      </c>
      <c r="R1114" s="1" t="s">
        <v>53</v>
      </c>
      <c r="S1114">
        <f>Excel_Advanced_Sales_Dataset_2000__3[[#This Row],[Quantity]]*Excel_Advanced_Sales_Dataset_2000__3[[#This Row],[Unit Price]]*Excel_Advanced_Sales_Dataset_2000__3[[#This Row],[Discount %]]/100</f>
        <v>97645.079979999995</v>
      </c>
      <c r="T1114" s="4">
        <f>Excel_Advanced_Sales_Dataset_2000__3[[#This Row],[Quantity]]*Excel_Advanced_Sales_Dataset_2000__3[[#This Row],[Unit Price]]-Excel_Advanced_Sales_Dataset_2000__3[[#This Row],[Discount Amount]]</f>
        <v>1945139.0200199999</v>
      </c>
    </row>
    <row r="1115" spans="1:20" x14ac:dyDescent="0.25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>
        <v>44</v>
      </c>
      <c r="J1115" s="4">
        <v>18544.91</v>
      </c>
      <c r="K1115" s="6">
        <v>15.41</v>
      </c>
      <c r="L1115" s="4">
        <v>690234.13</v>
      </c>
      <c r="M1115" s="4" t="str" cm="1">
        <f t="array" ref="M1115">IF(Excel_Advanced_Sales_Dataset_2000__3[[#This Row],[Total Sales]]&gt;50000,{"Yes"},{"No"})</f>
        <v>Yes</v>
      </c>
      <c r="N1115" s="5">
        <v>46244</v>
      </c>
      <c r="O1115" s="1" t="s">
        <v>113</v>
      </c>
      <c r="P1115" t="s">
        <v>35</v>
      </c>
      <c r="Q1115" t="str">
        <f>IF(Excel_Advanced_Sales_Dataset_2000__3[[#This Row],[Delivery Status]]="Pending","Follow Up","Ok")</f>
        <v>Ok</v>
      </c>
      <c r="R1115" s="1" t="s">
        <v>36</v>
      </c>
      <c r="S1115">
        <f>Excel_Advanced_Sales_Dataset_2000__3[[#This Row],[Quantity]]*Excel_Advanced_Sales_Dataset_2000__3[[#This Row],[Unit Price]]*Excel_Advanced_Sales_Dataset_2000__3[[#This Row],[Discount %]]/100</f>
        <v>125741.907764</v>
      </c>
      <c r="T1115" s="4">
        <f>Excel_Advanced_Sales_Dataset_2000__3[[#This Row],[Quantity]]*Excel_Advanced_Sales_Dataset_2000__3[[#This Row],[Unit Price]]-Excel_Advanced_Sales_Dataset_2000__3[[#This Row],[Discount Amount]]</f>
        <v>690234.13223600003</v>
      </c>
    </row>
    <row r="1116" spans="1:20" x14ac:dyDescent="0.25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>
        <v>35</v>
      </c>
      <c r="J1116" s="4">
        <v>49730.3</v>
      </c>
      <c r="K1116" s="6">
        <v>8.4499999999999993</v>
      </c>
      <c r="L1116" s="4">
        <v>1593483.14</v>
      </c>
      <c r="M1116" s="4" t="str" cm="1">
        <f t="array" ref="M1116">IF(Excel_Advanced_Sales_Dataset_2000__3[[#This Row],[Total Sales]]&gt;50000,{"Yes"},{"No"})</f>
        <v>Yes</v>
      </c>
      <c r="N1116" s="5">
        <v>46289</v>
      </c>
      <c r="O1116" s="1" t="s">
        <v>58</v>
      </c>
      <c r="P1116" t="s">
        <v>35</v>
      </c>
      <c r="Q1116" t="str">
        <f>IF(Excel_Advanced_Sales_Dataset_2000__3[[#This Row],[Delivery Status]]="Pending","Follow Up","Ok")</f>
        <v>Ok</v>
      </c>
      <c r="R1116" s="1" t="s">
        <v>36</v>
      </c>
      <c r="S1116">
        <f>Excel_Advanced_Sales_Dataset_2000__3[[#This Row],[Quantity]]*Excel_Advanced_Sales_Dataset_2000__3[[#This Row],[Unit Price]]*Excel_Advanced_Sales_Dataset_2000__3[[#This Row],[Discount %]]/100</f>
        <v>147077.36225000001</v>
      </c>
      <c r="T1116" s="4">
        <f>Excel_Advanced_Sales_Dataset_2000__3[[#This Row],[Quantity]]*Excel_Advanced_Sales_Dataset_2000__3[[#This Row],[Unit Price]]-Excel_Advanced_Sales_Dataset_2000__3[[#This Row],[Discount Amount]]</f>
        <v>1593483.13775</v>
      </c>
    </row>
    <row r="1117" spans="1:20" x14ac:dyDescent="0.25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>
        <v>2</v>
      </c>
      <c r="J1117" s="4">
        <v>40226.199999999997</v>
      </c>
      <c r="K1117" s="6">
        <v>13.05</v>
      </c>
      <c r="L1117" s="4">
        <v>69953.36</v>
      </c>
      <c r="M1117" s="4" t="str" cm="1">
        <f t="array" ref="M1117">IF(Excel_Advanced_Sales_Dataset_2000__3[[#This Row],[Total Sales]]&gt;50000,{"Yes"},{"No"})</f>
        <v>Yes</v>
      </c>
      <c r="N1117" s="5">
        <v>46150</v>
      </c>
      <c r="O1117" s="1" t="s">
        <v>113</v>
      </c>
      <c r="P1117" t="s">
        <v>35</v>
      </c>
      <c r="Q1117" t="str">
        <f>IF(Excel_Advanced_Sales_Dataset_2000__3[[#This Row],[Delivery Status]]="Pending","Follow Up","Ok")</f>
        <v>Ok</v>
      </c>
      <c r="R1117" s="1" t="s">
        <v>26</v>
      </c>
      <c r="S1117">
        <f>Excel_Advanced_Sales_Dataset_2000__3[[#This Row],[Quantity]]*Excel_Advanced_Sales_Dataset_2000__3[[#This Row],[Unit Price]]*Excel_Advanced_Sales_Dataset_2000__3[[#This Row],[Discount %]]/100</f>
        <v>10499.038200000001</v>
      </c>
      <c r="T1117" s="4">
        <f>Excel_Advanced_Sales_Dataset_2000__3[[#This Row],[Quantity]]*Excel_Advanced_Sales_Dataset_2000__3[[#This Row],[Unit Price]]-Excel_Advanced_Sales_Dataset_2000__3[[#This Row],[Discount Amount]]</f>
        <v>69953.361799999999</v>
      </c>
    </row>
    <row r="1118" spans="1:20" x14ac:dyDescent="0.25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>
        <v>42</v>
      </c>
      <c r="J1118" s="4">
        <v>31978.19</v>
      </c>
      <c r="K1118" s="6">
        <v>9.31</v>
      </c>
      <c r="L1118" s="4">
        <v>1218042.8600000001</v>
      </c>
      <c r="M1118" s="4" t="str" cm="1">
        <f t="array" ref="M1118">IF(Excel_Advanced_Sales_Dataset_2000__3[[#This Row],[Total Sales]]&gt;50000,{"Yes"},{"No"})</f>
        <v>Yes</v>
      </c>
      <c r="N1118" s="5">
        <v>46236</v>
      </c>
      <c r="O1118" s="1" t="s">
        <v>58</v>
      </c>
      <c r="P1118" t="s">
        <v>35</v>
      </c>
      <c r="Q1118" t="str">
        <f>IF(Excel_Advanced_Sales_Dataset_2000__3[[#This Row],[Delivery Status]]="Pending","Follow Up","Ok")</f>
        <v>Ok</v>
      </c>
      <c r="R1118" s="1" t="s">
        <v>53</v>
      </c>
      <c r="S1118">
        <f>Excel_Advanced_Sales_Dataset_2000__3[[#This Row],[Quantity]]*Excel_Advanced_Sales_Dataset_2000__3[[#This Row],[Unit Price]]*Excel_Advanced_Sales_Dataset_2000__3[[#This Row],[Discount %]]/100</f>
        <v>125041.11853800001</v>
      </c>
      <c r="T1118" s="4">
        <f>Excel_Advanced_Sales_Dataset_2000__3[[#This Row],[Quantity]]*Excel_Advanced_Sales_Dataset_2000__3[[#This Row],[Unit Price]]-Excel_Advanced_Sales_Dataset_2000__3[[#This Row],[Discount Amount]]</f>
        <v>1218042.8614620001</v>
      </c>
    </row>
    <row r="1119" spans="1:20" x14ac:dyDescent="0.25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>
        <v>18</v>
      </c>
      <c r="J1119" s="4">
        <v>49420.800000000003</v>
      </c>
      <c r="K1119" s="6">
        <v>11.89</v>
      </c>
      <c r="L1119" s="4">
        <v>783804</v>
      </c>
      <c r="M1119" s="4" t="str" cm="1">
        <f t="array" ref="M1119">IF(Excel_Advanced_Sales_Dataset_2000__3[[#This Row],[Total Sales]]&gt;50000,{"Yes"},{"No"})</f>
        <v>Yes</v>
      </c>
      <c r="N1119" s="5">
        <v>46035</v>
      </c>
      <c r="O1119" s="1" t="s">
        <v>113</v>
      </c>
      <c r="P1119" t="s">
        <v>35</v>
      </c>
      <c r="Q1119" t="str">
        <f>IF(Excel_Advanced_Sales_Dataset_2000__3[[#This Row],[Delivery Status]]="Pending","Follow Up","Ok")</f>
        <v>Ok</v>
      </c>
      <c r="R1119" s="1" t="s">
        <v>53</v>
      </c>
      <c r="S1119">
        <f>Excel_Advanced_Sales_Dataset_2000__3[[#This Row],[Quantity]]*Excel_Advanced_Sales_Dataset_2000__3[[#This Row],[Unit Price]]*Excel_Advanced_Sales_Dataset_2000__3[[#This Row],[Discount %]]/100</f>
        <v>105770.39616</v>
      </c>
      <c r="T1119" s="4">
        <f>Excel_Advanced_Sales_Dataset_2000__3[[#This Row],[Quantity]]*Excel_Advanced_Sales_Dataset_2000__3[[#This Row],[Unit Price]]-Excel_Advanced_Sales_Dataset_2000__3[[#This Row],[Discount Amount]]</f>
        <v>783804.00384000002</v>
      </c>
    </row>
    <row r="1120" spans="1:20" x14ac:dyDescent="0.25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>
        <v>12</v>
      </c>
      <c r="J1120" s="4">
        <v>37639.11</v>
      </c>
      <c r="K1120" s="6">
        <v>13.9</v>
      </c>
      <c r="L1120" s="4">
        <v>388887.28</v>
      </c>
      <c r="M1120" s="4" t="str" cm="1">
        <f t="array" ref="M1120">IF(Excel_Advanced_Sales_Dataset_2000__3[[#This Row],[Total Sales]]&gt;50000,{"Yes"},{"No"})</f>
        <v>Yes</v>
      </c>
      <c r="N1120" s="5">
        <v>46341</v>
      </c>
      <c r="O1120" s="1" t="s">
        <v>58</v>
      </c>
      <c r="P1120" t="s">
        <v>35</v>
      </c>
      <c r="Q1120" t="str">
        <f>IF(Excel_Advanced_Sales_Dataset_2000__3[[#This Row],[Delivery Status]]="Pending","Follow Up","Ok")</f>
        <v>Ok</v>
      </c>
      <c r="R1120" s="1" t="s">
        <v>36</v>
      </c>
      <c r="S1120">
        <f>Excel_Advanced_Sales_Dataset_2000__3[[#This Row],[Quantity]]*Excel_Advanced_Sales_Dataset_2000__3[[#This Row],[Unit Price]]*Excel_Advanced_Sales_Dataset_2000__3[[#This Row],[Discount %]]/100</f>
        <v>62782.035480000006</v>
      </c>
      <c r="T1120" s="4">
        <f>Excel_Advanced_Sales_Dataset_2000__3[[#This Row],[Quantity]]*Excel_Advanced_Sales_Dataset_2000__3[[#This Row],[Unit Price]]-Excel_Advanced_Sales_Dataset_2000__3[[#This Row],[Discount Amount]]</f>
        <v>388887.28451999999</v>
      </c>
    </row>
    <row r="1121" spans="1:20" x14ac:dyDescent="0.25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>
        <v>27</v>
      </c>
      <c r="J1121" s="4">
        <v>5722.39</v>
      </c>
      <c r="K1121" s="6">
        <v>5.37</v>
      </c>
      <c r="L1121" s="4">
        <v>146207.64000000001</v>
      </c>
      <c r="M1121" s="4" t="str" cm="1">
        <f t="array" ref="M1121">IF(Excel_Advanced_Sales_Dataset_2000__3[[#This Row],[Total Sales]]&gt;50000,{"Yes"},{"No"})</f>
        <v>Yes</v>
      </c>
      <c r="N1121" s="5">
        <v>46176</v>
      </c>
      <c r="O1121" s="1" t="s">
        <v>68</v>
      </c>
      <c r="P1121" t="s">
        <v>35</v>
      </c>
      <c r="Q1121" t="str">
        <f>IF(Excel_Advanced_Sales_Dataset_2000__3[[#This Row],[Delivery Status]]="Pending","Follow Up","Ok")</f>
        <v>Ok</v>
      </c>
      <c r="R1121" s="1" t="s">
        <v>36</v>
      </c>
      <c r="S1121">
        <f>Excel_Advanced_Sales_Dataset_2000__3[[#This Row],[Quantity]]*Excel_Advanced_Sales_Dataset_2000__3[[#This Row],[Unit Price]]*Excel_Advanced_Sales_Dataset_2000__3[[#This Row],[Discount %]]/100</f>
        <v>8296.8932610000011</v>
      </c>
      <c r="T1121" s="4">
        <f>Excel_Advanced_Sales_Dataset_2000__3[[#This Row],[Quantity]]*Excel_Advanced_Sales_Dataset_2000__3[[#This Row],[Unit Price]]-Excel_Advanced_Sales_Dataset_2000__3[[#This Row],[Discount Amount]]</f>
        <v>146207.63673900001</v>
      </c>
    </row>
    <row r="1122" spans="1:20" x14ac:dyDescent="0.25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>
        <v>12</v>
      </c>
      <c r="J1122" s="4">
        <v>16047.72</v>
      </c>
      <c r="K1122" s="6">
        <v>13.49</v>
      </c>
      <c r="L1122" s="4">
        <v>166594.59</v>
      </c>
      <c r="M1122" s="4" t="str" cm="1">
        <f t="array" ref="M1122">IF(Excel_Advanced_Sales_Dataset_2000__3[[#This Row],[Total Sales]]&gt;50000,{"Yes"},{"No"})</f>
        <v>Yes</v>
      </c>
      <c r="N1122" s="5">
        <v>46177</v>
      </c>
      <c r="O1122" s="1" t="s">
        <v>45</v>
      </c>
      <c r="P1122" t="s">
        <v>35</v>
      </c>
      <c r="Q1122" t="str">
        <f>IF(Excel_Advanced_Sales_Dataset_2000__3[[#This Row],[Delivery Status]]="Pending","Follow Up","Ok")</f>
        <v>Ok</v>
      </c>
      <c r="R1122" s="1" t="s">
        <v>36</v>
      </c>
      <c r="S1122">
        <f>Excel_Advanced_Sales_Dataset_2000__3[[#This Row],[Quantity]]*Excel_Advanced_Sales_Dataset_2000__3[[#This Row],[Unit Price]]*Excel_Advanced_Sales_Dataset_2000__3[[#This Row],[Discount %]]/100</f>
        <v>25978.049135999998</v>
      </c>
      <c r="T1122" s="4">
        <f>Excel_Advanced_Sales_Dataset_2000__3[[#This Row],[Quantity]]*Excel_Advanced_Sales_Dataset_2000__3[[#This Row],[Unit Price]]-Excel_Advanced_Sales_Dataset_2000__3[[#This Row],[Discount Amount]]</f>
        <v>166594.590864</v>
      </c>
    </row>
    <row r="1123" spans="1:20" x14ac:dyDescent="0.25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>
        <v>34</v>
      </c>
      <c r="J1123" s="4">
        <v>32995.81</v>
      </c>
      <c r="K1123" s="6">
        <v>18.649999999999999</v>
      </c>
      <c r="L1123" s="4">
        <v>912631.11</v>
      </c>
      <c r="M1123" s="4" t="str" cm="1">
        <f t="array" ref="M1123">IF(Excel_Advanced_Sales_Dataset_2000__3[[#This Row],[Total Sales]]&gt;50000,{"Yes"},{"No"})</f>
        <v>Yes</v>
      </c>
      <c r="N1123" s="5">
        <v>46136</v>
      </c>
      <c r="O1123" s="1" t="s">
        <v>68</v>
      </c>
      <c r="P1123" t="s">
        <v>35</v>
      </c>
      <c r="Q1123" t="str">
        <f>IF(Excel_Advanced_Sales_Dataset_2000__3[[#This Row],[Delivery Status]]="Pending","Follow Up","Ok")</f>
        <v>Ok</v>
      </c>
      <c r="R1123" s="1" t="s">
        <v>53</v>
      </c>
      <c r="S1123">
        <f>Excel_Advanced_Sales_Dataset_2000__3[[#This Row],[Quantity]]*Excel_Advanced_Sales_Dataset_2000__3[[#This Row],[Unit Price]]*Excel_Advanced_Sales_Dataset_2000__3[[#This Row],[Discount %]]/100</f>
        <v>209226.43120999998</v>
      </c>
      <c r="T1123" s="4">
        <f>Excel_Advanced_Sales_Dataset_2000__3[[#This Row],[Quantity]]*Excel_Advanced_Sales_Dataset_2000__3[[#This Row],[Unit Price]]-Excel_Advanced_Sales_Dataset_2000__3[[#This Row],[Discount Amount]]</f>
        <v>912631.10879000009</v>
      </c>
    </row>
    <row r="1124" spans="1:20" x14ac:dyDescent="0.25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>
        <v>2</v>
      </c>
      <c r="J1124" s="4">
        <v>41293.26</v>
      </c>
      <c r="K1124" s="6">
        <v>16.87</v>
      </c>
      <c r="L1124" s="4">
        <v>68654.17</v>
      </c>
      <c r="M1124" s="4" t="str" cm="1">
        <f t="array" ref="M1124">IF(Excel_Advanced_Sales_Dataset_2000__3[[#This Row],[Total Sales]]&gt;50000,{"Yes"},{"No"})</f>
        <v>Yes</v>
      </c>
      <c r="N1124" s="5">
        <v>46216</v>
      </c>
      <c r="O1124" s="1" t="s">
        <v>113</v>
      </c>
      <c r="P1124" t="s">
        <v>35</v>
      </c>
      <c r="Q1124" t="str">
        <f>IF(Excel_Advanced_Sales_Dataset_2000__3[[#This Row],[Delivery Status]]="Pending","Follow Up","Ok")</f>
        <v>Ok</v>
      </c>
      <c r="R1124" s="1" t="s">
        <v>26</v>
      </c>
      <c r="S1124">
        <f>Excel_Advanced_Sales_Dataset_2000__3[[#This Row],[Quantity]]*Excel_Advanced_Sales_Dataset_2000__3[[#This Row],[Unit Price]]*Excel_Advanced_Sales_Dataset_2000__3[[#This Row],[Discount %]]/100</f>
        <v>13932.345924000001</v>
      </c>
      <c r="T1124" s="4">
        <f>Excel_Advanced_Sales_Dataset_2000__3[[#This Row],[Quantity]]*Excel_Advanced_Sales_Dataset_2000__3[[#This Row],[Unit Price]]-Excel_Advanced_Sales_Dataset_2000__3[[#This Row],[Discount Amount]]</f>
        <v>68654.174075999996</v>
      </c>
    </row>
    <row r="1125" spans="1:20" x14ac:dyDescent="0.25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>
        <v>18</v>
      </c>
      <c r="J1125" s="4">
        <v>28845.06</v>
      </c>
      <c r="K1125" s="6">
        <v>9.2100000000000009</v>
      </c>
      <c r="L1125" s="4">
        <v>471391.74</v>
      </c>
      <c r="M1125" s="4" t="str" cm="1">
        <f t="array" ref="M1125">IF(Excel_Advanced_Sales_Dataset_2000__3[[#This Row],[Total Sales]]&gt;50000,{"Yes"},{"No"})</f>
        <v>Yes</v>
      </c>
      <c r="N1125" s="5">
        <v>46334</v>
      </c>
      <c r="O1125" s="1" t="s">
        <v>24</v>
      </c>
      <c r="P1125" t="s">
        <v>59</v>
      </c>
      <c r="Q1125" t="str">
        <f>IF(Excel_Advanced_Sales_Dataset_2000__3[[#This Row],[Delivery Status]]="Pending","Follow Up","Ok")</f>
        <v>Ok</v>
      </c>
      <c r="R1125" s="1" t="s">
        <v>53</v>
      </c>
      <c r="S1125">
        <f>Excel_Advanced_Sales_Dataset_2000__3[[#This Row],[Quantity]]*Excel_Advanced_Sales_Dataset_2000__3[[#This Row],[Unit Price]]*Excel_Advanced_Sales_Dataset_2000__3[[#This Row],[Discount %]]/100</f>
        <v>47819.340468000009</v>
      </c>
      <c r="T1125" s="4">
        <f>Excel_Advanced_Sales_Dataset_2000__3[[#This Row],[Quantity]]*Excel_Advanced_Sales_Dataset_2000__3[[#This Row],[Unit Price]]-Excel_Advanced_Sales_Dataset_2000__3[[#This Row],[Discount Amount]]</f>
        <v>471391.73953200004</v>
      </c>
    </row>
    <row r="1126" spans="1:20" x14ac:dyDescent="0.25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>
        <v>46</v>
      </c>
      <c r="J1126" s="4">
        <v>7084.09</v>
      </c>
      <c r="K1126" s="6">
        <v>11.15</v>
      </c>
      <c r="L1126" s="4">
        <v>289533.84000000003</v>
      </c>
      <c r="M1126" s="4" t="str" cm="1">
        <f t="array" ref="M1126">IF(Excel_Advanced_Sales_Dataset_2000__3[[#This Row],[Total Sales]]&gt;50000,{"Yes"},{"No"})</f>
        <v>Yes</v>
      </c>
      <c r="N1126" s="5">
        <v>46385</v>
      </c>
      <c r="O1126" s="1" t="s">
        <v>58</v>
      </c>
      <c r="P1126" t="s">
        <v>59</v>
      </c>
      <c r="Q1126" t="str">
        <f>IF(Excel_Advanced_Sales_Dataset_2000__3[[#This Row],[Delivery Status]]="Pending","Follow Up","Ok")</f>
        <v>Ok</v>
      </c>
      <c r="R1126" s="1" t="s">
        <v>26</v>
      </c>
      <c r="S1126">
        <f>Excel_Advanced_Sales_Dataset_2000__3[[#This Row],[Quantity]]*Excel_Advanced_Sales_Dataset_2000__3[[#This Row],[Unit Price]]*Excel_Advanced_Sales_Dataset_2000__3[[#This Row],[Discount %]]/100</f>
        <v>36334.297610000001</v>
      </c>
      <c r="T1126" s="4">
        <f>Excel_Advanced_Sales_Dataset_2000__3[[#This Row],[Quantity]]*Excel_Advanced_Sales_Dataset_2000__3[[#This Row],[Unit Price]]-Excel_Advanced_Sales_Dataset_2000__3[[#This Row],[Discount Amount]]</f>
        <v>289533.84239000001</v>
      </c>
    </row>
    <row r="1127" spans="1:20" x14ac:dyDescent="0.25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>
        <v>28</v>
      </c>
      <c r="J1127" s="4">
        <v>28587.35</v>
      </c>
      <c r="K1127" s="6">
        <v>8.18</v>
      </c>
      <c r="L1127" s="4">
        <v>734969.33</v>
      </c>
      <c r="M1127" s="4" t="str" cm="1">
        <f t="array" ref="M1127">IF(Excel_Advanced_Sales_Dataset_2000__3[[#This Row],[Total Sales]]&gt;50000,{"Yes"},{"No"})</f>
        <v>Yes</v>
      </c>
      <c r="N1127" s="5">
        <v>46035</v>
      </c>
      <c r="O1127" s="1" t="s">
        <v>45</v>
      </c>
      <c r="P1127" t="s">
        <v>35</v>
      </c>
      <c r="Q1127" t="str">
        <f>IF(Excel_Advanced_Sales_Dataset_2000__3[[#This Row],[Delivery Status]]="Pending","Follow Up","Ok")</f>
        <v>Ok</v>
      </c>
      <c r="R1127" s="1" t="s">
        <v>26</v>
      </c>
      <c r="S1127">
        <f>Excel_Advanced_Sales_Dataset_2000__3[[#This Row],[Quantity]]*Excel_Advanced_Sales_Dataset_2000__3[[#This Row],[Unit Price]]*Excel_Advanced_Sales_Dataset_2000__3[[#This Row],[Discount %]]/100</f>
        <v>65476.466439999997</v>
      </c>
      <c r="T1127" s="4">
        <f>Excel_Advanced_Sales_Dataset_2000__3[[#This Row],[Quantity]]*Excel_Advanced_Sales_Dataset_2000__3[[#This Row],[Unit Price]]-Excel_Advanced_Sales_Dataset_2000__3[[#This Row],[Discount Amount]]</f>
        <v>734969.33355999994</v>
      </c>
    </row>
    <row r="1128" spans="1:20" x14ac:dyDescent="0.25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>
        <v>45</v>
      </c>
      <c r="J1128" s="4">
        <v>24508.39</v>
      </c>
      <c r="K1128" s="6">
        <v>15.55</v>
      </c>
      <c r="L1128" s="4">
        <v>931380.09</v>
      </c>
      <c r="M1128" s="4" t="str" cm="1">
        <f t="array" ref="M1128">IF(Excel_Advanced_Sales_Dataset_2000__3[[#This Row],[Total Sales]]&gt;50000,{"Yes"},{"No"})</f>
        <v>Yes</v>
      </c>
      <c r="N1128" s="5">
        <v>46145</v>
      </c>
      <c r="O1128" s="1" t="s">
        <v>113</v>
      </c>
      <c r="P1128" t="s">
        <v>35</v>
      </c>
      <c r="Q1128" t="str">
        <f>IF(Excel_Advanced_Sales_Dataset_2000__3[[#This Row],[Delivery Status]]="Pending","Follow Up","Ok")</f>
        <v>Ok</v>
      </c>
      <c r="R1128" s="1" t="s">
        <v>36</v>
      </c>
      <c r="S1128">
        <f>Excel_Advanced_Sales_Dataset_2000__3[[#This Row],[Quantity]]*Excel_Advanced_Sales_Dataset_2000__3[[#This Row],[Unit Price]]*Excel_Advanced_Sales_Dataset_2000__3[[#This Row],[Discount %]]/100</f>
        <v>171497.45902499999</v>
      </c>
      <c r="T1128" s="4">
        <f>Excel_Advanced_Sales_Dataset_2000__3[[#This Row],[Quantity]]*Excel_Advanced_Sales_Dataset_2000__3[[#This Row],[Unit Price]]-Excel_Advanced_Sales_Dataset_2000__3[[#This Row],[Discount Amount]]</f>
        <v>931380.09097500006</v>
      </c>
    </row>
    <row r="1129" spans="1:20" x14ac:dyDescent="0.25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>
        <v>34</v>
      </c>
      <c r="J1129" s="4">
        <v>16690.41</v>
      </c>
      <c r="K1129" s="6">
        <v>14.7</v>
      </c>
      <c r="L1129" s="4">
        <v>484055.27</v>
      </c>
      <c r="M1129" s="4" t="str" cm="1">
        <f t="array" ref="M1129">IF(Excel_Advanced_Sales_Dataset_2000__3[[#This Row],[Total Sales]]&gt;50000,{"Yes"},{"No"})</f>
        <v>Yes</v>
      </c>
      <c r="N1129" s="5">
        <v>46186</v>
      </c>
      <c r="O1129" s="1" t="s">
        <v>24</v>
      </c>
      <c r="P1129" t="s">
        <v>35</v>
      </c>
      <c r="Q1129" t="str">
        <f>IF(Excel_Advanced_Sales_Dataset_2000__3[[#This Row],[Delivery Status]]="Pending","Follow Up","Ok")</f>
        <v>Ok</v>
      </c>
      <c r="R1129" s="1" t="s">
        <v>36</v>
      </c>
      <c r="S1129">
        <f>Excel_Advanced_Sales_Dataset_2000__3[[#This Row],[Quantity]]*Excel_Advanced_Sales_Dataset_2000__3[[#This Row],[Unit Price]]*Excel_Advanced_Sales_Dataset_2000__3[[#This Row],[Discount %]]/100</f>
        <v>83418.669179999983</v>
      </c>
      <c r="T1129" s="4">
        <f>Excel_Advanced_Sales_Dataset_2000__3[[#This Row],[Quantity]]*Excel_Advanced_Sales_Dataset_2000__3[[#This Row],[Unit Price]]-Excel_Advanced_Sales_Dataset_2000__3[[#This Row],[Discount Amount]]</f>
        <v>484055.27081999998</v>
      </c>
    </row>
    <row r="1130" spans="1:20" x14ac:dyDescent="0.25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>
        <v>49</v>
      </c>
      <c r="J1130" s="4">
        <v>12969.6</v>
      </c>
      <c r="K1130" s="6">
        <v>17.420000000000002</v>
      </c>
      <c r="L1130" s="4">
        <v>524804.49</v>
      </c>
      <c r="M1130" s="4" t="str" cm="1">
        <f t="array" ref="M1130">IF(Excel_Advanced_Sales_Dataset_2000__3[[#This Row],[Total Sales]]&gt;50000,{"Yes"},{"No"})</f>
        <v>Yes</v>
      </c>
      <c r="N1130" s="5">
        <v>46335</v>
      </c>
      <c r="O1130" s="1" t="s">
        <v>68</v>
      </c>
      <c r="P1130" t="s">
        <v>35</v>
      </c>
      <c r="Q1130" t="str">
        <f>IF(Excel_Advanced_Sales_Dataset_2000__3[[#This Row],[Delivery Status]]="Pending","Follow Up","Ok")</f>
        <v>Ok</v>
      </c>
      <c r="R1130" s="1" t="s">
        <v>36</v>
      </c>
      <c r="S1130">
        <f>Excel_Advanced_Sales_Dataset_2000__3[[#This Row],[Quantity]]*Excel_Advanced_Sales_Dataset_2000__3[[#This Row],[Unit Price]]*Excel_Advanced_Sales_Dataset_2000__3[[#This Row],[Discount %]]/100</f>
        <v>110705.91168000002</v>
      </c>
      <c r="T1130" s="4">
        <f>Excel_Advanced_Sales_Dataset_2000__3[[#This Row],[Quantity]]*Excel_Advanced_Sales_Dataset_2000__3[[#This Row],[Unit Price]]-Excel_Advanced_Sales_Dataset_2000__3[[#This Row],[Discount Amount]]</f>
        <v>524804.48832</v>
      </c>
    </row>
    <row r="1131" spans="1:20" x14ac:dyDescent="0.25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>
        <v>21</v>
      </c>
      <c r="J1131" s="4">
        <v>21427.11</v>
      </c>
      <c r="K1131" s="6">
        <v>19.45</v>
      </c>
      <c r="L1131" s="4">
        <v>362450.28</v>
      </c>
      <c r="M1131" s="4" t="str" cm="1">
        <f t="array" ref="M1131">IF(Excel_Advanced_Sales_Dataset_2000__3[[#This Row],[Total Sales]]&gt;50000,{"Yes"},{"No"})</f>
        <v>Yes</v>
      </c>
      <c r="N1131" s="5">
        <v>46111</v>
      </c>
      <c r="O1131" s="1" t="s">
        <v>68</v>
      </c>
      <c r="P1131" t="s">
        <v>35</v>
      </c>
      <c r="Q1131" t="str">
        <f>IF(Excel_Advanced_Sales_Dataset_2000__3[[#This Row],[Delivery Status]]="Pending","Follow Up","Ok")</f>
        <v>Ok</v>
      </c>
      <c r="R1131" s="1" t="s">
        <v>36</v>
      </c>
      <c r="S1131">
        <f>Excel_Advanced_Sales_Dataset_2000__3[[#This Row],[Quantity]]*Excel_Advanced_Sales_Dataset_2000__3[[#This Row],[Unit Price]]*Excel_Advanced_Sales_Dataset_2000__3[[#This Row],[Discount %]]/100</f>
        <v>87519.030794999984</v>
      </c>
      <c r="T1131" s="4">
        <f>Excel_Advanced_Sales_Dataset_2000__3[[#This Row],[Quantity]]*Excel_Advanced_Sales_Dataset_2000__3[[#This Row],[Unit Price]]-Excel_Advanced_Sales_Dataset_2000__3[[#This Row],[Discount Amount]]</f>
        <v>362450.27920500003</v>
      </c>
    </row>
    <row r="1132" spans="1:20" x14ac:dyDescent="0.25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>
        <v>49</v>
      </c>
      <c r="J1132" s="4">
        <v>38683.11</v>
      </c>
      <c r="K1132" s="6">
        <v>3.93</v>
      </c>
      <c r="L1132" s="4">
        <v>1820980.33</v>
      </c>
      <c r="M1132" s="4" t="str" cm="1">
        <f t="array" ref="M1132">IF(Excel_Advanced_Sales_Dataset_2000__3[[#This Row],[Total Sales]]&gt;50000,{"Yes"},{"No"})</f>
        <v>Yes</v>
      </c>
      <c r="N1132" s="5">
        <v>46312</v>
      </c>
      <c r="O1132" s="1" t="s">
        <v>113</v>
      </c>
      <c r="P1132" t="s">
        <v>35</v>
      </c>
      <c r="Q1132" t="str">
        <f>IF(Excel_Advanced_Sales_Dataset_2000__3[[#This Row],[Delivery Status]]="Pending","Follow Up","Ok")</f>
        <v>Ok</v>
      </c>
      <c r="R1132" s="1" t="s">
        <v>53</v>
      </c>
      <c r="S1132">
        <f>Excel_Advanced_Sales_Dataset_2000__3[[#This Row],[Quantity]]*Excel_Advanced_Sales_Dataset_2000__3[[#This Row],[Unit Price]]*Excel_Advanced_Sales_Dataset_2000__3[[#This Row],[Discount %]]/100</f>
        <v>74492.064927000014</v>
      </c>
      <c r="T1132" s="4">
        <f>Excel_Advanced_Sales_Dataset_2000__3[[#This Row],[Quantity]]*Excel_Advanced_Sales_Dataset_2000__3[[#This Row],[Unit Price]]-Excel_Advanced_Sales_Dataset_2000__3[[#This Row],[Discount Amount]]</f>
        <v>1820980.325073</v>
      </c>
    </row>
    <row r="1133" spans="1:20" x14ac:dyDescent="0.25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>
        <v>37</v>
      </c>
      <c r="J1133" s="4">
        <v>17755.21</v>
      </c>
      <c r="K1133" s="6">
        <v>18.760000000000002</v>
      </c>
      <c r="L1133" s="4">
        <v>533700.31000000006</v>
      </c>
      <c r="M1133" s="4" t="str" cm="1">
        <f t="array" ref="M1133">IF(Excel_Advanced_Sales_Dataset_2000__3[[#This Row],[Total Sales]]&gt;50000,{"Yes"},{"No"})</f>
        <v>Yes</v>
      </c>
      <c r="N1133" s="5">
        <v>46176</v>
      </c>
      <c r="O1133" s="1" t="s">
        <v>45</v>
      </c>
      <c r="P1133" t="s">
        <v>59</v>
      </c>
      <c r="Q1133" t="str">
        <f>IF(Excel_Advanced_Sales_Dataset_2000__3[[#This Row],[Delivery Status]]="Pending","Follow Up","Ok")</f>
        <v>Ok</v>
      </c>
      <c r="R1133" s="1" t="s">
        <v>36</v>
      </c>
      <c r="S1133">
        <f>Excel_Advanced_Sales_Dataset_2000__3[[#This Row],[Quantity]]*Excel_Advanced_Sales_Dataset_2000__3[[#This Row],[Unit Price]]*Excel_Advanced_Sales_Dataset_2000__3[[#This Row],[Discount %]]/100</f>
        <v>123242.46365200002</v>
      </c>
      <c r="T1133" s="4">
        <f>Excel_Advanced_Sales_Dataset_2000__3[[#This Row],[Quantity]]*Excel_Advanced_Sales_Dataset_2000__3[[#This Row],[Unit Price]]-Excel_Advanced_Sales_Dataset_2000__3[[#This Row],[Discount Amount]]</f>
        <v>533700.30634799995</v>
      </c>
    </row>
    <row r="1134" spans="1:20" x14ac:dyDescent="0.25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>
        <v>17</v>
      </c>
      <c r="J1134" s="4">
        <v>1902.79</v>
      </c>
      <c r="K1134" s="6">
        <v>8.89</v>
      </c>
      <c r="L1134" s="4">
        <v>29471.74</v>
      </c>
      <c r="M1134" s="4" t="str" cm="1">
        <f t="array" ref="M1134">IF(Excel_Advanced_Sales_Dataset_2000__3[[#This Row],[Total Sales]]&gt;50000,{"Yes"},{"No"})</f>
        <v>No</v>
      </c>
      <c r="N1134" s="5">
        <v>46338</v>
      </c>
      <c r="O1134" s="1" t="s">
        <v>58</v>
      </c>
      <c r="P1134" t="s">
        <v>35</v>
      </c>
      <c r="Q1134" t="str">
        <f>IF(Excel_Advanced_Sales_Dataset_2000__3[[#This Row],[Delivery Status]]="Pending","Follow Up","Ok")</f>
        <v>Ok</v>
      </c>
      <c r="R1134" s="1" t="s">
        <v>36</v>
      </c>
      <c r="S1134">
        <f>Excel_Advanced_Sales_Dataset_2000__3[[#This Row],[Quantity]]*Excel_Advanced_Sales_Dataset_2000__3[[#This Row],[Unit Price]]*Excel_Advanced_Sales_Dataset_2000__3[[#This Row],[Discount %]]/100</f>
        <v>2875.6865270000003</v>
      </c>
      <c r="T1134" s="4">
        <f>Excel_Advanced_Sales_Dataset_2000__3[[#This Row],[Quantity]]*Excel_Advanced_Sales_Dataset_2000__3[[#This Row],[Unit Price]]-Excel_Advanced_Sales_Dataset_2000__3[[#This Row],[Discount Amount]]</f>
        <v>29471.743472999999</v>
      </c>
    </row>
    <row r="1135" spans="1:20" x14ac:dyDescent="0.25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>
        <v>43</v>
      </c>
      <c r="J1135" s="4">
        <v>35247.589999999997</v>
      </c>
      <c r="K1135" s="6">
        <v>19.93</v>
      </c>
      <c r="L1135" s="4">
        <v>1213578.05</v>
      </c>
      <c r="M1135" s="4" t="str" cm="1">
        <f t="array" ref="M1135">IF(Excel_Advanced_Sales_Dataset_2000__3[[#This Row],[Total Sales]]&gt;50000,{"Yes"},{"No"})</f>
        <v>Yes</v>
      </c>
      <c r="N1135" s="5">
        <v>46263</v>
      </c>
      <c r="O1135" s="1" t="s">
        <v>24</v>
      </c>
      <c r="P1135" t="s">
        <v>25</v>
      </c>
      <c r="Q1135" t="str">
        <f>IF(Excel_Advanced_Sales_Dataset_2000__3[[#This Row],[Delivery Status]]="Pending","Follow Up","Ok")</f>
        <v>Follow Up</v>
      </c>
      <c r="R1135" s="1" t="s">
        <v>53</v>
      </c>
      <c r="S1135">
        <f>Excel_Advanced_Sales_Dataset_2000__3[[#This Row],[Quantity]]*Excel_Advanced_Sales_Dataset_2000__3[[#This Row],[Unit Price]]*Excel_Advanced_Sales_Dataset_2000__3[[#This Row],[Discount %]]/100</f>
        <v>302068.32154099998</v>
      </c>
      <c r="T1135" s="4">
        <f>Excel_Advanced_Sales_Dataset_2000__3[[#This Row],[Quantity]]*Excel_Advanced_Sales_Dataset_2000__3[[#This Row],[Unit Price]]-Excel_Advanced_Sales_Dataset_2000__3[[#This Row],[Discount Amount]]</f>
        <v>1213578.048459</v>
      </c>
    </row>
    <row r="1136" spans="1:20" x14ac:dyDescent="0.25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>
        <v>6</v>
      </c>
      <c r="J1136" s="4">
        <v>32333.68</v>
      </c>
      <c r="K1136" s="6">
        <v>1.1499999999999999</v>
      </c>
      <c r="L1136" s="4">
        <v>191771.06</v>
      </c>
      <c r="M1136" s="4" t="str" cm="1">
        <f t="array" ref="M1136">IF(Excel_Advanced_Sales_Dataset_2000__3[[#This Row],[Total Sales]]&gt;50000,{"Yes"},{"No"})</f>
        <v>Yes</v>
      </c>
      <c r="N1136" s="5">
        <v>46252</v>
      </c>
      <c r="O1136" s="1" t="s">
        <v>45</v>
      </c>
      <c r="P1136" t="s">
        <v>35</v>
      </c>
      <c r="Q1136" t="str">
        <f>IF(Excel_Advanced_Sales_Dataset_2000__3[[#This Row],[Delivery Status]]="Pending","Follow Up","Ok")</f>
        <v>Ok</v>
      </c>
      <c r="R1136" s="1" t="s">
        <v>26</v>
      </c>
      <c r="S1136">
        <f>Excel_Advanced_Sales_Dataset_2000__3[[#This Row],[Quantity]]*Excel_Advanced_Sales_Dataset_2000__3[[#This Row],[Unit Price]]*Excel_Advanced_Sales_Dataset_2000__3[[#This Row],[Discount %]]/100</f>
        <v>2231.0239200000001</v>
      </c>
      <c r="T1136" s="4">
        <f>Excel_Advanced_Sales_Dataset_2000__3[[#This Row],[Quantity]]*Excel_Advanced_Sales_Dataset_2000__3[[#This Row],[Unit Price]]-Excel_Advanced_Sales_Dataset_2000__3[[#This Row],[Discount Amount]]</f>
        <v>191771.05608000001</v>
      </c>
    </row>
    <row r="1137" spans="1:20" x14ac:dyDescent="0.25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>
        <v>35</v>
      </c>
      <c r="J1137" s="4">
        <v>12293.48</v>
      </c>
      <c r="K1137" s="6">
        <v>15.34</v>
      </c>
      <c r="L1137" s="4">
        <v>364268.11</v>
      </c>
      <c r="M1137" s="4" t="str" cm="1">
        <f t="array" ref="M1137">IF(Excel_Advanced_Sales_Dataset_2000__3[[#This Row],[Total Sales]]&gt;50000,{"Yes"},{"No"})</f>
        <v>Yes</v>
      </c>
      <c r="N1137" s="5">
        <v>46286</v>
      </c>
      <c r="O1137" s="1" t="s">
        <v>58</v>
      </c>
      <c r="P1137" t="s">
        <v>35</v>
      </c>
      <c r="Q1137" t="str">
        <f>IF(Excel_Advanced_Sales_Dataset_2000__3[[#This Row],[Delivery Status]]="Pending","Follow Up","Ok")</f>
        <v>Ok</v>
      </c>
      <c r="R1137" s="1" t="s">
        <v>53</v>
      </c>
      <c r="S1137">
        <f>Excel_Advanced_Sales_Dataset_2000__3[[#This Row],[Quantity]]*Excel_Advanced_Sales_Dataset_2000__3[[#This Row],[Unit Price]]*Excel_Advanced_Sales_Dataset_2000__3[[#This Row],[Discount %]]/100</f>
        <v>66003.69412</v>
      </c>
      <c r="T1137" s="4">
        <f>Excel_Advanced_Sales_Dataset_2000__3[[#This Row],[Quantity]]*Excel_Advanced_Sales_Dataset_2000__3[[#This Row],[Unit Price]]-Excel_Advanced_Sales_Dataset_2000__3[[#This Row],[Discount Amount]]</f>
        <v>364268.10587999999</v>
      </c>
    </row>
    <row r="1138" spans="1:20" x14ac:dyDescent="0.25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>
        <v>39</v>
      </c>
      <c r="J1138" s="4">
        <v>22744.36</v>
      </c>
      <c r="K1138" s="6">
        <v>16.850000000000001</v>
      </c>
      <c r="L1138" s="4">
        <v>737565.48</v>
      </c>
      <c r="M1138" s="4" t="str" cm="1">
        <f t="array" ref="M1138">IF(Excel_Advanced_Sales_Dataset_2000__3[[#This Row],[Total Sales]]&gt;50000,{"Yes"},{"No"})</f>
        <v>Yes</v>
      </c>
      <c r="N1138" s="5">
        <v>46096</v>
      </c>
      <c r="O1138" s="1" t="s">
        <v>58</v>
      </c>
      <c r="P1138" t="s">
        <v>35</v>
      </c>
      <c r="Q1138" t="str">
        <f>IF(Excel_Advanced_Sales_Dataset_2000__3[[#This Row],[Delivery Status]]="Pending","Follow Up","Ok")</f>
        <v>Ok</v>
      </c>
      <c r="R1138" s="1" t="s">
        <v>26</v>
      </c>
      <c r="S1138">
        <f>Excel_Advanced_Sales_Dataset_2000__3[[#This Row],[Quantity]]*Excel_Advanced_Sales_Dataset_2000__3[[#This Row],[Unit Price]]*Excel_Advanced_Sales_Dataset_2000__3[[#This Row],[Discount %]]/100</f>
        <v>149464.56174000003</v>
      </c>
      <c r="T1138" s="4">
        <f>Excel_Advanced_Sales_Dataset_2000__3[[#This Row],[Quantity]]*Excel_Advanced_Sales_Dataset_2000__3[[#This Row],[Unit Price]]-Excel_Advanced_Sales_Dataset_2000__3[[#This Row],[Discount Amount]]</f>
        <v>737565.47826</v>
      </c>
    </row>
    <row r="1139" spans="1:20" x14ac:dyDescent="0.25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>
        <v>8</v>
      </c>
      <c r="J1139" s="4">
        <v>48423.12</v>
      </c>
      <c r="K1139" s="6">
        <v>13.58</v>
      </c>
      <c r="L1139" s="4">
        <v>334778.08</v>
      </c>
      <c r="M1139" s="4" t="str" cm="1">
        <f t="array" ref="M1139">IF(Excel_Advanced_Sales_Dataset_2000__3[[#This Row],[Total Sales]]&gt;50000,{"Yes"},{"No"})</f>
        <v>Yes</v>
      </c>
      <c r="N1139" s="5">
        <v>46043</v>
      </c>
      <c r="O1139" s="1" t="s">
        <v>58</v>
      </c>
      <c r="P1139" t="s">
        <v>35</v>
      </c>
      <c r="Q1139" t="str">
        <f>IF(Excel_Advanced_Sales_Dataset_2000__3[[#This Row],[Delivery Status]]="Pending","Follow Up","Ok")</f>
        <v>Ok</v>
      </c>
      <c r="R1139" s="1" t="s">
        <v>53</v>
      </c>
      <c r="S1139">
        <f>Excel_Advanced_Sales_Dataset_2000__3[[#This Row],[Quantity]]*Excel_Advanced_Sales_Dataset_2000__3[[#This Row],[Unit Price]]*Excel_Advanced_Sales_Dataset_2000__3[[#This Row],[Discount %]]/100</f>
        <v>52606.877568000004</v>
      </c>
      <c r="T1139" s="4">
        <f>Excel_Advanced_Sales_Dataset_2000__3[[#This Row],[Quantity]]*Excel_Advanced_Sales_Dataset_2000__3[[#This Row],[Unit Price]]-Excel_Advanced_Sales_Dataset_2000__3[[#This Row],[Discount Amount]]</f>
        <v>334778.08243200002</v>
      </c>
    </row>
    <row r="1140" spans="1:20" x14ac:dyDescent="0.25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>
        <v>13</v>
      </c>
      <c r="J1140" s="4">
        <v>8847.82</v>
      </c>
      <c r="K1140" s="6">
        <v>10.3</v>
      </c>
      <c r="L1140" s="4">
        <v>103174.43</v>
      </c>
      <c r="M1140" s="4" t="str" cm="1">
        <f t="array" ref="M1140">IF(Excel_Advanced_Sales_Dataset_2000__3[[#This Row],[Total Sales]]&gt;50000,{"Yes"},{"No"})</f>
        <v>Yes</v>
      </c>
      <c r="N1140" s="5">
        <v>46331</v>
      </c>
      <c r="O1140" s="1" t="s">
        <v>58</v>
      </c>
      <c r="P1140" t="s">
        <v>35</v>
      </c>
      <c r="Q1140" t="str">
        <f>IF(Excel_Advanced_Sales_Dataset_2000__3[[#This Row],[Delivery Status]]="Pending","Follow Up","Ok")</f>
        <v>Ok</v>
      </c>
      <c r="R1140" s="1" t="s">
        <v>26</v>
      </c>
      <c r="S1140">
        <f>Excel_Advanced_Sales_Dataset_2000__3[[#This Row],[Quantity]]*Excel_Advanced_Sales_Dataset_2000__3[[#This Row],[Unit Price]]*Excel_Advanced_Sales_Dataset_2000__3[[#This Row],[Discount %]]/100</f>
        <v>11847.230980000002</v>
      </c>
      <c r="T1140" s="4">
        <f>Excel_Advanced_Sales_Dataset_2000__3[[#This Row],[Quantity]]*Excel_Advanced_Sales_Dataset_2000__3[[#This Row],[Unit Price]]-Excel_Advanced_Sales_Dataset_2000__3[[#This Row],[Discount Amount]]</f>
        <v>103174.42902</v>
      </c>
    </row>
    <row r="1141" spans="1:20" x14ac:dyDescent="0.25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>
        <v>6</v>
      </c>
      <c r="J1141" s="4">
        <v>15619.1</v>
      </c>
      <c r="K1141" s="6">
        <v>16.260000000000002</v>
      </c>
      <c r="L1141" s="4">
        <v>78476.61</v>
      </c>
      <c r="M1141" s="4" t="str" cm="1">
        <f t="array" ref="M1141">IF(Excel_Advanced_Sales_Dataset_2000__3[[#This Row],[Total Sales]]&gt;50000,{"Yes"},{"No"})</f>
        <v>Yes</v>
      </c>
      <c r="N1141" s="5">
        <v>46378</v>
      </c>
      <c r="O1141" s="1" t="s">
        <v>24</v>
      </c>
      <c r="P1141" t="s">
        <v>35</v>
      </c>
      <c r="Q1141" t="str">
        <f>IF(Excel_Advanced_Sales_Dataset_2000__3[[#This Row],[Delivery Status]]="Pending","Follow Up","Ok")</f>
        <v>Ok</v>
      </c>
      <c r="R1141" s="1" t="s">
        <v>53</v>
      </c>
      <c r="S1141">
        <f>Excel_Advanced_Sales_Dataset_2000__3[[#This Row],[Quantity]]*Excel_Advanced_Sales_Dataset_2000__3[[#This Row],[Unit Price]]*Excel_Advanced_Sales_Dataset_2000__3[[#This Row],[Discount %]]/100</f>
        <v>15237.993960000002</v>
      </c>
      <c r="T1141" s="4">
        <f>Excel_Advanced_Sales_Dataset_2000__3[[#This Row],[Quantity]]*Excel_Advanced_Sales_Dataset_2000__3[[#This Row],[Unit Price]]-Excel_Advanced_Sales_Dataset_2000__3[[#This Row],[Discount Amount]]</f>
        <v>78476.606039999999</v>
      </c>
    </row>
    <row r="1142" spans="1:20" x14ac:dyDescent="0.25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>
        <v>42</v>
      </c>
      <c r="J1142" s="4">
        <v>33392.1</v>
      </c>
      <c r="K1142" s="6">
        <v>17.57</v>
      </c>
      <c r="L1142" s="4">
        <v>1156054.54</v>
      </c>
      <c r="M1142" s="4" t="str" cm="1">
        <f t="array" ref="M1142">IF(Excel_Advanced_Sales_Dataset_2000__3[[#This Row],[Total Sales]]&gt;50000,{"Yes"},{"No"})</f>
        <v>Yes</v>
      </c>
      <c r="N1142" s="5">
        <v>46166</v>
      </c>
      <c r="O1142" s="1" t="s">
        <v>58</v>
      </c>
      <c r="P1142" t="s">
        <v>35</v>
      </c>
      <c r="Q1142" t="str">
        <f>IF(Excel_Advanced_Sales_Dataset_2000__3[[#This Row],[Delivery Status]]="Pending","Follow Up","Ok")</f>
        <v>Ok</v>
      </c>
      <c r="R1142" s="1" t="s">
        <v>36</v>
      </c>
      <c r="S1142">
        <f>Excel_Advanced_Sales_Dataset_2000__3[[#This Row],[Quantity]]*Excel_Advanced_Sales_Dataset_2000__3[[#This Row],[Unit Price]]*Excel_Advanced_Sales_Dataset_2000__3[[#This Row],[Discount %]]/100</f>
        <v>246413.66274</v>
      </c>
      <c r="T1142" s="4">
        <f>Excel_Advanced_Sales_Dataset_2000__3[[#This Row],[Quantity]]*Excel_Advanced_Sales_Dataset_2000__3[[#This Row],[Unit Price]]-Excel_Advanced_Sales_Dataset_2000__3[[#This Row],[Discount Amount]]</f>
        <v>1156054.5372599999</v>
      </c>
    </row>
    <row r="1143" spans="1:20" x14ac:dyDescent="0.25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>
        <v>31</v>
      </c>
      <c r="J1143" s="4">
        <v>545.51</v>
      </c>
      <c r="K1143" s="6">
        <v>14.67</v>
      </c>
      <c r="L1143" s="4">
        <v>14429.99</v>
      </c>
      <c r="M1143" s="4" t="str" cm="1">
        <f t="array" ref="M1143">IF(Excel_Advanced_Sales_Dataset_2000__3[[#This Row],[Total Sales]]&gt;50000,{"Yes"},{"No"})</f>
        <v>No</v>
      </c>
      <c r="N1143" s="5">
        <v>46045</v>
      </c>
      <c r="O1143" s="1" t="s">
        <v>24</v>
      </c>
      <c r="P1143" t="s">
        <v>25</v>
      </c>
      <c r="Q1143" t="str">
        <f>IF(Excel_Advanced_Sales_Dataset_2000__3[[#This Row],[Delivery Status]]="Pending","Follow Up","Ok")</f>
        <v>Follow Up</v>
      </c>
      <c r="R1143" s="1" t="s">
        <v>53</v>
      </c>
      <c r="S1143">
        <f>Excel_Advanced_Sales_Dataset_2000__3[[#This Row],[Quantity]]*Excel_Advanced_Sales_Dataset_2000__3[[#This Row],[Unit Price]]*Excel_Advanced_Sales_Dataset_2000__3[[#This Row],[Discount %]]/100</f>
        <v>2480.8158270000004</v>
      </c>
      <c r="T1143" s="4">
        <f>Excel_Advanced_Sales_Dataset_2000__3[[#This Row],[Quantity]]*Excel_Advanced_Sales_Dataset_2000__3[[#This Row],[Unit Price]]-Excel_Advanced_Sales_Dataset_2000__3[[#This Row],[Discount Amount]]</f>
        <v>14429.994173000001</v>
      </c>
    </row>
    <row r="1144" spans="1:20" x14ac:dyDescent="0.25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>
        <v>8</v>
      </c>
      <c r="J1144" s="4">
        <v>4980.8900000000003</v>
      </c>
      <c r="K1144" s="6">
        <v>18.559999999999999</v>
      </c>
      <c r="L1144" s="4">
        <v>32451.49</v>
      </c>
      <c r="M1144" s="4" t="str" cm="1">
        <f t="array" ref="M1144">IF(Excel_Advanced_Sales_Dataset_2000__3[[#This Row],[Total Sales]]&gt;50000,{"Yes"},{"No"})</f>
        <v>No</v>
      </c>
      <c r="N1144" s="5">
        <v>46159</v>
      </c>
      <c r="O1144" s="1" t="s">
        <v>58</v>
      </c>
      <c r="P1144" t="s">
        <v>35</v>
      </c>
      <c r="Q1144" t="str">
        <f>IF(Excel_Advanced_Sales_Dataset_2000__3[[#This Row],[Delivery Status]]="Pending","Follow Up","Ok")</f>
        <v>Ok</v>
      </c>
      <c r="R1144" s="1" t="s">
        <v>36</v>
      </c>
      <c r="S1144">
        <f>Excel_Advanced_Sales_Dataset_2000__3[[#This Row],[Quantity]]*Excel_Advanced_Sales_Dataset_2000__3[[#This Row],[Unit Price]]*Excel_Advanced_Sales_Dataset_2000__3[[#This Row],[Discount %]]/100</f>
        <v>7395.6254720000006</v>
      </c>
      <c r="T1144" s="4">
        <f>Excel_Advanced_Sales_Dataset_2000__3[[#This Row],[Quantity]]*Excel_Advanced_Sales_Dataset_2000__3[[#This Row],[Unit Price]]-Excel_Advanced_Sales_Dataset_2000__3[[#This Row],[Discount Amount]]</f>
        <v>32451.494528000003</v>
      </c>
    </row>
    <row r="1145" spans="1:20" x14ac:dyDescent="0.25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>
        <v>4</v>
      </c>
      <c r="J1145" s="4">
        <v>30198.26</v>
      </c>
      <c r="K1145" s="6">
        <v>16.72</v>
      </c>
      <c r="L1145" s="4">
        <v>100596.44</v>
      </c>
      <c r="M1145" s="4" t="str" cm="1">
        <f t="array" ref="M1145">IF(Excel_Advanced_Sales_Dataset_2000__3[[#This Row],[Total Sales]]&gt;50000,{"Yes"},{"No"})</f>
        <v>Yes</v>
      </c>
      <c r="N1145" s="5">
        <v>46150</v>
      </c>
      <c r="O1145" s="1" t="s">
        <v>58</v>
      </c>
      <c r="P1145" t="s">
        <v>25</v>
      </c>
      <c r="Q1145" t="str">
        <f>IF(Excel_Advanced_Sales_Dataset_2000__3[[#This Row],[Delivery Status]]="Pending","Follow Up","Ok")</f>
        <v>Follow Up</v>
      </c>
      <c r="R1145" s="1" t="s">
        <v>26</v>
      </c>
      <c r="S1145">
        <f>Excel_Advanced_Sales_Dataset_2000__3[[#This Row],[Quantity]]*Excel_Advanced_Sales_Dataset_2000__3[[#This Row],[Unit Price]]*Excel_Advanced_Sales_Dataset_2000__3[[#This Row],[Discount %]]/100</f>
        <v>20196.596287999997</v>
      </c>
      <c r="T1145" s="4">
        <f>Excel_Advanced_Sales_Dataset_2000__3[[#This Row],[Quantity]]*Excel_Advanced_Sales_Dataset_2000__3[[#This Row],[Unit Price]]-Excel_Advanced_Sales_Dataset_2000__3[[#This Row],[Discount Amount]]</f>
        <v>100596.44371199999</v>
      </c>
    </row>
    <row r="1146" spans="1:20" x14ac:dyDescent="0.25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>
        <v>34</v>
      </c>
      <c r="J1146" s="4">
        <v>18379.419999999998</v>
      </c>
      <c r="K1146" s="6">
        <v>1.94</v>
      </c>
      <c r="L1146" s="4">
        <v>612777.21</v>
      </c>
      <c r="M1146" s="4" t="str" cm="1">
        <f t="array" ref="M1146">IF(Excel_Advanced_Sales_Dataset_2000__3[[#This Row],[Total Sales]]&gt;50000,{"Yes"},{"No"})</f>
        <v>Yes</v>
      </c>
      <c r="N1146" s="5">
        <v>46350</v>
      </c>
      <c r="O1146" s="1" t="s">
        <v>24</v>
      </c>
      <c r="P1146" t="s">
        <v>35</v>
      </c>
      <c r="Q1146" t="str">
        <f>IF(Excel_Advanced_Sales_Dataset_2000__3[[#This Row],[Delivery Status]]="Pending","Follow Up","Ok")</f>
        <v>Ok</v>
      </c>
      <c r="R1146" s="1" t="s">
        <v>53</v>
      </c>
      <c r="S1146">
        <f>Excel_Advanced_Sales_Dataset_2000__3[[#This Row],[Quantity]]*Excel_Advanced_Sales_Dataset_2000__3[[#This Row],[Unit Price]]*Excel_Advanced_Sales_Dataset_2000__3[[#This Row],[Discount %]]/100</f>
        <v>12123.065431999998</v>
      </c>
      <c r="T1146" s="4">
        <f>Excel_Advanced_Sales_Dataset_2000__3[[#This Row],[Quantity]]*Excel_Advanced_Sales_Dataset_2000__3[[#This Row],[Unit Price]]-Excel_Advanced_Sales_Dataset_2000__3[[#This Row],[Discount Amount]]</f>
        <v>612777.21456799994</v>
      </c>
    </row>
    <row r="1147" spans="1:20" x14ac:dyDescent="0.25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>
        <v>34</v>
      </c>
      <c r="J1147" s="4">
        <v>34371.54</v>
      </c>
      <c r="K1147" s="6">
        <v>3.1</v>
      </c>
      <c r="L1147" s="4">
        <v>1132404.76</v>
      </c>
      <c r="M1147" s="4" t="str" cm="1">
        <f t="array" ref="M1147">IF(Excel_Advanced_Sales_Dataset_2000__3[[#This Row],[Total Sales]]&gt;50000,{"Yes"},{"No"})</f>
        <v>Yes</v>
      </c>
      <c r="N1147" s="5">
        <v>46034</v>
      </c>
      <c r="O1147" s="1" t="s">
        <v>58</v>
      </c>
      <c r="P1147" t="s">
        <v>35</v>
      </c>
      <c r="Q1147" t="str">
        <f>IF(Excel_Advanced_Sales_Dataset_2000__3[[#This Row],[Delivery Status]]="Pending","Follow Up","Ok")</f>
        <v>Ok</v>
      </c>
      <c r="R1147" s="1" t="s">
        <v>36</v>
      </c>
      <c r="S1147">
        <f>Excel_Advanced_Sales_Dataset_2000__3[[#This Row],[Quantity]]*Excel_Advanced_Sales_Dataset_2000__3[[#This Row],[Unit Price]]*Excel_Advanced_Sales_Dataset_2000__3[[#This Row],[Discount %]]/100</f>
        <v>36227.603160000006</v>
      </c>
      <c r="T1147" s="4">
        <f>Excel_Advanced_Sales_Dataset_2000__3[[#This Row],[Quantity]]*Excel_Advanced_Sales_Dataset_2000__3[[#This Row],[Unit Price]]-Excel_Advanced_Sales_Dataset_2000__3[[#This Row],[Discount Amount]]</f>
        <v>1132404.7568400002</v>
      </c>
    </row>
    <row r="1148" spans="1:20" x14ac:dyDescent="0.25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>
        <v>10</v>
      </c>
      <c r="J1148" s="4">
        <v>1289.81</v>
      </c>
      <c r="K1148" s="6">
        <v>7.9</v>
      </c>
      <c r="L1148" s="4">
        <v>11879.15</v>
      </c>
      <c r="M1148" s="4" t="str" cm="1">
        <f t="array" ref="M1148">IF(Excel_Advanced_Sales_Dataset_2000__3[[#This Row],[Total Sales]]&gt;50000,{"Yes"},{"No"})</f>
        <v>No</v>
      </c>
      <c r="N1148" s="5">
        <v>46367</v>
      </c>
      <c r="O1148" s="1" t="s">
        <v>113</v>
      </c>
      <c r="P1148" t="s">
        <v>25</v>
      </c>
      <c r="Q1148" t="str">
        <f>IF(Excel_Advanced_Sales_Dataset_2000__3[[#This Row],[Delivery Status]]="Pending","Follow Up","Ok")</f>
        <v>Follow Up</v>
      </c>
      <c r="R1148" s="1" t="s">
        <v>36</v>
      </c>
      <c r="S1148">
        <f>Excel_Advanced_Sales_Dataset_2000__3[[#This Row],[Quantity]]*Excel_Advanced_Sales_Dataset_2000__3[[#This Row],[Unit Price]]*Excel_Advanced_Sales_Dataset_2000__3[[#This Row],[Discount %]]/100</f>
        <v>1018.9499</v>
      </c>
      <c r="T1148" s="4">
        <f>Excel_Advanced_Sales_Dataset_2000__3[[#This Row],[Quantity]]*Excel_Advanced_Sales_Dataset_2000__3[[#This Row],[Unit Price]]-Excel_Advanced_Sales_Dataset_2000__3[[#This Row],[Discount Amount]]</f>
        <v>11879.150099999999</v>
      </c>
    </row>
    <row r="1149" spans="1:20" x14ac:dyDescent="0.25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>
        <v>37</v>
      </c>
      <c r="J1149" s="4">
        <v>15766.7</v>
      </c>
      <c r="K1149" s="6">
        <v>5.41</v>
      </c>
      <c r="L1149" s="4">
        <v>551807.69999999995</v>
      </c>
      <c r="M1149" s="4" t="str" cm="1">
        <f t="array" ref="M1149">IF(Excel_Advanced_Sales_Dataset_2000__3[[#This Row],[Total Sales]]&gt;50000,{"Yes"},{"No"})</f>
        <v>Yes</v>
      </c>
      <c r="N1149" s="5">
        <v>46080</v>
      </c>
      <c r="O1149" s="1" t="s">
        <v>68</v>
      </c>
      <c r="P1149" t="s">
        <v>35</v>
      </c>
      <c r="Q1149" t="str">
        <f>IF(Excel_Advanced_Sales_Dataset_2000__3[[#This Row],[Delivery Status]]="Pending","Follow Up","Ok")</f>
        <v>Ok</v>
      </c>
      <c r="R1149" s="1" t="s">
        <v>26</v>
      </c>
      <c r="S1149">
        <f>Excel_Advanced_Sales_Dataset_2000__3[[#This Row],[Quantity]]*Excel_Advanced_Sales_Dataset_2000__3[[#This Row],[Unit Price]]*Excel_Advanced_Sales_Dataset_2000__3[[#This Row],[Discount %]]/100</f>
        <v>31560.203390000002</v>
      </c>
      <c r="T1149" s="4">
        <f>Excel_Advanced_Sales_Dataset_2000__3[[#This Row],[Quantity]]*Excel_Advanced_Sales_Dataset_2000__3[[#This Row],[Unit Price]]-Excel_Advanced_Sales_Dataset_2000__3[[#This Row],[Discount Amount]]</f>
        <v>551807.69660999998</v>
      </c>
    </row>
    <row r="1150" spans="1:20" x14ac:dyDescent="0.25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>
        <v>24</v>
      </c>
      <c r="J1150" s="4">
        <v>34686.269999999997</v>
      </c>
      <c r="K1150" s="6">
        <v>4.3</v>
      </c>
      <c r="L1150" s="4">
        <v>796674.25</v>
      </c>
      <c r="M1150" s="4" t="str" cm="1">
        <f t="array" ref="M1150">IF(Excel_Advanced_Sales_Dataset_2000__3[[#This Row],[Total Sales]]&gt;50000,{"Yes"},{"No"})</f>
        <v>Yes</v>
      </c>
      <c r="N1150" s="5">
        <v>46208</v>
      </c>
      <c r="O1150" s="1" t="s">
        <v>45</v>
      </c>
      <c r="P1150" t="s">
        <v>35</v>
      </c>
      <c r="Q1150" t="str">
        <f>IF(Excel_Advanced_Sales_Dataset_2000__3[[#This Row],[Delivery Status]]="Pending","Follow Up","Ok")</f>
        <v>Ok</v>
      </c>
      <c r="R1150" s="1" t="s">
        <v>36</v>
      </c>
      <c r="S1150">
        <f>Excel_Advanced_Sales_Dataset_2000__3[[#This Row],[Quantity]]*Excel_Advanced_Sales_Dataset_2000__3[[#This Row],[Unit Price]]*Excel_Advanced_Sales_Dataset_2000__3[[#This Row],[Discount %]]/100</f>
        <v>35796.230639999994</v>
      </c>
      <c r="T1150" s="4">
        <f>Excel_Advanced_Sales_Dataset_2000__3[[#This Row],[Quantity]]*Excel_Advanced_Sales_Dataset_2000__3[[#This Row],[Unit Price]]-Excel_Advanced_Sales_Dataset_2000__3[[#This Row],[Discount Amount]]</f>
        <v>796674.24936000002</v>
      </c>
    </row>
    <row r="1151" spans="1:20" x14ac:dyDescent="0.25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>
        <v>39</v>
      </c>
      <c r="J1151" s="4">
        <v>34129.4</v>
      </c>
      <c r="K1151" s="6">
        <v>18.23</v>
      </c>
      <c r="L1151" s="4">
        <v>1088396.8</v>
      </c>
      <c r="M1151" s="4" t="str" cm="1">
        <f t="array" ref="M1151">IF(Excel_Advanced_Sales_Dataset_2000__3[[#This Row],[Total Sales]]&gt;50000,{"Yes"},{"No"})</f>
        <v>Yes</v>
      </c>
      <c r="N1151" s="5">
        <v>46161</v>
      </c>
      <c r="O1151" s="1" t="s">
        <v>24</v>
      </c>
      <c r="P1151" t="s">
        <v>35</v>
      </c>
      <c r="Q1151" t="str">
        <f>IF(Excel_Advanced_Sales_Dataset_2000__3[[#This Row],[Delivery Status]]="Pending","Follow Up","Ok")</f>
        <v>Ok</v>
      </c>
      <c r="R1151" s="1" t="s">
        <v>36</v>
      </c>
      <c r="S1151">
        <f>Excel_Advanced_Sales_Dataset_2000__3[[#This Row],[Quantity]]*Excel_Advanced_Sales_Dataset_2000__3[[#This Row],[Unit Price]]*Excel_Advanced_Sales_Dataset_2000__3[[#This Row],[Discount %]]/100</f>
        <v>242649.79518000002</v>
      </c>
      <c r="T1151" s="4">
        <f>Excel_Advanced_Sales_Dataset_2000__3[[#This Row],[Quantity]]*Excel_Advanced_Sales_Dataset_2000__3[[#This Row],[Unit Price]]-Excel_Advanced_Sales_Dataset_2000__3[[#This Row],[Discount Amount]]</f>
        <v>1088396.8048200002</v>
      </c>
    </row>
    <row r="1152" spans="1:20" x14ac:dyDescent="0.25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>
        <v>11</v>
      </c>
      <c r="J1152" s="4">
        <v>4880.5200000000004</v>
      </c>
      <c r="K1152" s="6">
        <v>0.21</v>
      </c>
      <c r="L1152" s="4">
        <v>53572.98</v>
      </c>
      <c r="M1152" s="4" t="str" cm="1">
        <f t="array" ref="M1152">IF(Excel_Advanced_Sales_Dataset_2000__3[[#This Row],[Total Sales]]&gt;50000,{"Yes"},{"No"})</f>
        <v>Yes</v>
      </c>
      <c r="N1152" s="5">
        <v>46295</v>
      </c>
      <c r="O1152" s="1" t="s">
        <v>58</v>
      </c>
      <c r="P1152" t="s">
        <v>35</v>
      </c>
      <c r="Q1152" t="str">
        <f>IF(Excel_Advanced_Sales_Dataset_2000__3[[#This Row],[Delivery Status]]="Pending","Follow Up","Ok")</f>
        <v>Ok</v>
      </c>
      <c r="R1152" s="1" t="s">
        <v>53</v>
      </c>
      <c r="S1152">
        <f>Excel_Advanced_Sales_Dataset_2000__3[[#This Row],[Quantity]]*Excel_Advanced_Sales_Dataset_2000__3[[#This Row],[Unit Price]]*Excel_Advanced_Sales_Dataset_2000__3[[#This Row],[Discount %]]/100</f>
        <v>112.74001200000001</v>
      </c>
      <c r="T1152" s="4">
        <f>Excel_Advanced_Sales_Dataset_2000__3[[#This Row],[Quantity]]*Excel_Advanced_Sales_Dataset_2000__3[[#This Row],[Unit Price]]-Excel_Advanced_Sales_Dataset_2000__3[[#This Row],[Discount Amount]]</f>
        <v>53572.979987999999</v>
      </c>
    </row>
    <row r="1153" spans="1:20" x14ac:dyDescent="0.25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>
        <v>28</v>
      </c>
      <c r="J1153" s="4">
        <v>5084.8999999999996</v>
      </c>
      <c r="K1153" s="6">
        <v>14.3</v>
      </c>
      <c r="L1153" s="4">
        <v>122017.26</v>
      </c>
      <c r="M1153" s="4" t="str" cm="1">
        <f t="array" ref="M1153">IF(Excel_Advanced_Sales_Dataset_2000__3[[#This Row],[Total Sales]]&gt;50000,{"Yes"},{"No"})</f>
        <v>Yes</v>
      </c>
      <c r="N1153" s="5">
        <v>46340</v>
      </c>
      <c r="O1153" s="1" t="s">
        <v>113</v>
      </c>
      <c r="P1153" t="s">
        <v>35</v>
      </c>
      <c r="Q1153" t="str">
        <f>IF(Excel_Advanced_Sales_Dataset_2000__3[[#This Row],[Delivery Status]]="Pending","Follow Up","Ok")</f>
        <v>Ok</v>
      </c>
      <c r="R1153" s="1" t="s">
        <v>53</v>
      </c>
      <c r="S1153">
        <f>Excel_Advanced_Sales_Dataset_2000__3[[#This Row],[Quantity]]*Excel_Advanced_Sales_Dataset_2000__3[[#This Row],[Unit Price]]*Excel_Advanced_Sales_Dataset_2000__3[[#This Row],[Discount %]]/100</f>
        <v>20359.939599999998</v>
      </c>
      <c r="T1153" s="4">
        <f>Excel_Advanced_Sales_Dataset_2000__3[[#This Row],[Quantity]]*Excel_Advanced_Sales_Dataset_2000__3[[#This Row],[Unit Price]]-Excel_Advanced_Sales_Dataset_2000__3[[#This Row],[Discount Amount]]</f>
        <v>122017.26039999998</v>
      </c>
    </row>
    <row r="1154" spans="1:20" x14ac:dyDescent="0.25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>
        <v>23</v>
      </c>
      <c r="J1154" s="4">
        <v>30269.75</v>
      </c>
      <c r="K1154" s="6">
        <v>4.7300000000000004</v>
      </c>
      <c r="L1154" s="4">
        <v>663273.79</v>
      </c>
      <c r="M1154" s="4" t="str" cm="1">
        <f t="array" ref="M1154">IF(Excel_Advanced_Sales_Dataset_2000__3[[#This Row],[Total Sales]]&gt;50000,{"Yes"},{"No"})</f>
        <v>Yes</v>
      </c>
      <c r="N1154" s="5">
        <v>46344</v>
      </c>
      <c r="O1154" s="1" t="s">
        <v>24</v>
      </c>
      <c r="P1154" t="s">
        <v>35</v>
      </c>
      <c r="Q1154" t="str">
        <f>IF(Excel_Advanced_Sales_Dataset_2000__3[[#This Row],[Delivery Status]]="Pending","Follow Up","Ok")</f>
        <v>Ok</v>
      </c>
      <c r="R1154" s="1" t="s">
        <v>36</v>
      </c>
      <c r="S1154">
        <f>Excel_Advanced_Sales_Dataset_2000__3[[#This Row],[Quantity]]*Excel_Advanced_Sales_Dataset_2000__3[[#This Row],[Unit Price]]*Excel_Advanced_Sales_Dataset_2000__3[[#This Row],[Discount %]]/100</f>
        <v>32930.461025000004</v>
      </c>
      <c r="T1154" s="4">
        <f>Excel_Advanced_Sales_Dataset_2000__3[[#This Row],[Quantity]]*Excel_Advanced_Sales_Dataset_2000__3[[#This Row],[Unit Price]]-Excel_Advanced_Sales_Dataset_2000__3[[#This Row],[Discount Amount]]</f>
        <v>663273.78897500003</v>
      </c>
    </row>
    <row r="1155" spans="1:20" x14ac:dyDescent="0.25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>
        <v>31</v>
      </c>
      <c r="J1155" s="4">
        <v>42182.89</v>
      </c>
      <c r="K1155" s="6">
        <v>5.51</v>
      </c>
      <c r="L1155" s="4">
        <v>1235617</v>
      </c>
      <c r="M1155" s="4" t="str" cm="1">
        <f t="array" ref="M1155">IF(Excel_Advanced_Sales_Dataset_2000__3[[#This Row],[Total Sales]]&gt;50000,{"Yes"},{"No"})</f>
        <v>Yes</v>
      </c>
      <c r="N1155" s="5">
        <v>46113</v>
      </c>
      <c r="O1155" s="1" t="s">
        <v>113</v>
      </c>
      <c r="P1155" t="s">
        <v>35</v>
      </c>
      <c r="Q1155" t="str">
        <f>IF(Excel_Advanced_Sales_Dataset_2000__3[[#This Row],[Delivery Status]]="Pending","Follow Up","Ok")</f>
        <v>Ok</v>
      </c>
      <c r="R1155" s="1" t="s">
        <v>53</v>
      </c>
      <c r="S1155">
        <f>Excel_Advanced_Sales_Dataset_2000__3[[#This Row],[Quantity]]*Excel_Advanced_Sales_Dataset_2000__3[[#This Row],[Unit Price]]*Excel_Advanced_Sales_Dataset_2000__3[[#This Row],[Discount %]]/100</f>
        <v>72052.594408999998</v>
      </c>
      <c r="T1155" s="4">
        <f>Excel_Advanced_Sales_Dataset_2000__3[[#This Row],[Quantity]]*Excel_Advanced_Sales_Dataset_2000__3[[#This Row],[Unit Price]]-Excel_Advanced_Sales_Dataset_2000__3[[#This Row],[Discount Amount]]</f>
        <v>1235616.9955910002</v>
      </c>
    </row>
    <row r="1156" spans="1:20" x14ac:dyDescent="0.25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>
        <v>8</v>
      </c>
      <c r="J1156" s="4">
        <v>42849.94</v>
      </c>
      <c r="K1156" s="6">
        <v>12.73</v>
      </c>
      <c r="L1156" s="4">
        <v>299161.14</v>
      </c>
      <c r="M1156" s="4" t="str" cm="1">
        <f t="array" ref="M1156">IF(Excel_Advanced_Sales_Dataset_2000__3[[#This Row],[Total Sales]]&gt;50000,{"Yes"},{"No"})</f>
        <v>Yes</v>
      </c>
      <c r="N1156" s="5">
        <v>46191</v>
      </c>
      <c r="O1156" s="1" t="s">
        <v>24</v>
      </c>
      <c r="P1156" t="s">
        <v>59</v>
      </c>
      <c r="Q1156" t="str">
        <f>IF(Excel_Advanced_Sales_Dataset_2000__3[[#This Row],[Delivery Status]]="Pending","Follow Up","Ok")</f>
        <v>Ok</v>
      </c>
      <c r="R1156" s="1" t="s">
        <v>53</v>
      </c>
      <c r="S1156">
        <f>Excel_Advanced_Sales_Dataset_2000__3[[#This Row],[Quantity]]*Excel_Advanced_Sales_Dataset_2000__3[[#This Row],[Unit Price]]*Excel_Advanced_Sales_Dataset_2000__3[[#This Row],[Discount %]]/100</f>
        <v>43638.378896000002</v>
      </c>
      <c r="T1156" s="4">
        <f>Excel_Advanced_Sales_Dataset_2000__3[[#This Row],[Quantity]]*Excel_Advanced_Sales_Dataset_2000__3[[#This Row],[Unit Price]]-Excel_Advanced_Sales_Dataset_2000__3[[#This Row],[Discount Amount]]</f>
        <v>299161.14110400004</v>
      </c>
    </row>
    <row r="1157" spans="1:20" x14ac:dyDescent="0.25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>
        <v>36</v>
      </c>
      <c r="J1157" s="4">
        <v>7000.67</v>
      </c>
      <c r="K1157" s="6">
        <v>4.7699999999999996</v>
      </c>
      <c r="L1157" s="4">
        <v>240002.57</v>
      </c>
      <c r="M1157" s="4" t="str" cm="1">
        <f t="array" ref="M1157">IF(Excel_Advanced_Sales_Dataset_2000__3[[#This Row],[Total Sales]]&gt;50000,{"Yes"},{"No"})</f>
        <v>Yes</v>
      </c>
      <c r="N1157" s="5">
        <v>46168</v>
      </c>
      <c r="O1157" s="1" t="s">
        <v>68</v>
      </c>
      <c r="P1157" t="s">
        <v>35</v>
      </c>
      <c r="Q1157" t="str">
        <f>IF(Excel_Advanced_Sales_Dataset_2000__3[[#This Row],[Delivery Status]]="Pending","Follow Up","Ok")</f>
        <v>Ok</v>
      </c>
      <c r="R1157" s="1" t="s">
        <v>36</v>
      </c>
      <c r="S1157">
        <f>Excel_Advanced_Sales_Dataset_2000__3[[#This Row],[Quantity]]*Excel_Advanced_Sales_Dataset_2000__3[[#This Row],[Unit Price]]*Excel_Advanced_Sales_Dataset_2000__3[[#This Row],[Discount %]]/100</f>
        <v>12021.550523999998</v>
      </c>
      <c r="T1157" s="4">
        <f>Excel_Advanced_Sales_Dataset_2000__3[[#This Row],[Quantity]]*Excel_Advanced_Sales_Dataset_2000__3[[#This Row],[Unit Price]]-Excel_Advanced_Sales_Dataset_2000__3[[#This Row],[Discount Amount]]</f>
        <v>240002.569476</v>
      </c>
    </row>
    <row r="1158" spans="1:20" x14ac:dyDescent="0.25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>
        <v>32</v>
      </c>
      <c r="J1158" s="4">
        <v>23137.98</v>
      </c>
      <c r="K1158" s="6">
        <v>13.04</v>
      </c>
      <c r="L1158" s="4">
        <v>643865.19999999995</v>
      </c>
      <c r="M1158" s="4" t="str" cm="1">
        <f t="array" ref="M1158">IF(Excel_Advanced_Sales_Dataset_2000__3[[#This Row],[Total Sales]]&gt;50000,{"Yes"},{"No"})</f>
        <v>Yes</v>
      </c>
      <c r="N1158" s="5">
        <v>46260</v>
      </c>
      <c r="O1158" s="1" t="s">
        <v>68</v>
      </c>
      <c r="P1158" t="s">
        <v>35</v>
      </c>
      <c r="Q1158" t="str">
        <f>IF(Excel_Advanced_Sales_Dataset_2000__3[[#This Row],[Delivery Status]]="Pending","Follow Up","Ok")</f>
        <v>Ok</v>
      </c>
      <c r="R1158" s="1" t="s">
        <v>53</v>
      </c>
      <c r="S1158">
        <f>Excel_Advanced_Sales_Dataset_2000__3[[#This Row],[Quantity]]*Excel_Advanced_Sales_Dataset_2000__3[[#This Row],[Unit Price]]*Excel_Advanced_Sales_Dataset_2000__3[[#This Row],[Discount %]]/100</f>
        <v>96550.162943999996</v>
      </c>
      <c r="T1158" s="4">
        <f>Excel_Advanced_Sales_Dataset_2000__3[[#This Row],[Quantity]]*Excel_Advanced_Sales_Dataset_2000__3[[#This Row],[Unit Price]]-Excel_Advanced_Sales_Dataset_2000__3[[#This Row],[Discount Amount]]</f>
        <v>643865.197056</v>
      </c>
    </row>
    <row r="1159" spans="1:20" x14ac:dyDescent="0.25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>
        <v>36</v>
      </c>
      <c r="J1159" s="4">
        <v>42807.94</v>
      </c>
      <c r="K1159" s="6">
        <v>14.72</v>
      </c>
      <c r="L1159" s="4">
        <v>1314238</v>
      </c>
      <c r="M1159" s="4" t="str" cm="1">
        <f t="array" ref="M1159">IF(Excel_Advanced_Sales_Dataset_2000__3[[#This Row],[Total Sales]]&gt;50000,{"Yes"},{"No"})</f>
        <v>Yes</v>
      </c>
      <c r="N1159" s="5">
        <v>46024</v>
      </c>
      <c r="O1159" s="1" t="s">
        <v>58</v>
      </c>
      <c r="P1159" t="s">
        <v>35</v>
      </c>
      <c r="Q1159" t="str">
        <f>IF(Excel_Advanced_Sales_Dataset_2000__3[[#This Row],[Delivery Status]]="Pending","Follow Up","Ok")</f>
        <v>Ok</v>
      </c>
      <c r="R1159" s="1" t="s">
        <v>36</v>
      </c>
      <c r="S1159">
        <f>Excel_Advanced_Sales_Dataset_2000__3[[#This Row],[Quantity]]*Excel_Advanced_Sales_Dataset_2000__3[[#This Row],[Unit Price]]*Excel_Advanced_Sales_Dataset_2000__3[[#This Row],[Discount %]]/100</f>
        <v>226847.83564800001</v>
      </c>
      <c r="T1159" s="4">
        <f>Excel_Advanced_Sales_Dataset_2000__3[[#This Row],[Quantity]]*Excel_Advanced_Sales_Dataset_2000__3[[#This Row],[Unit Price]]-Excel_Advanced_Sales_Dataset_2000__3[[#This Row],[Discount Amount]]</f>
        <v>1314238.0043520001</v>
      </c>
    </row>
    <row r="1160" spans="1:20" x14ac:dyDescent="0.25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>
        <v>22</v>
      </c>
      <c r="J1160" s="4">
        <v>13794.58</v>
      </c>
      <c r="K1160" s="6">
        <v>18.57</v>
      </c>
      <c r="L1160" s="4">
        <v>247124.38</v>
      </c>
      <c r="M1160" s="4" t="str" cm="1">
        <f t="array" ref="M1160">IF(Excel_Advanced_Sales_Dataset_2000__3[[#This Row],[Total Sales]]&gt;50000,{"Yes"},{"No"})</f>
        <v>Yes</v>
      </c>
      <c r="N1160" s="5">
        <v>46236</v>
      </c>
      <c r="O1160" s="1" t="s">
        <v>24</v>
      </c>
      <c r="P1160" t="s">
        <v>35</v>
      </c>
      <c r="Q1160" t="str">
        <f>IF(Excel_Advanced_Sales_Dataset_2000__3[[#This Row],[Delivery Status]]="Pending","Follow Up","Ok")</f>
        <v>Ok</v>
      </c>
      <c r="R1160" s="1" t="s">
        <v>36</v>
      </c>
      <c r="S1160">
        <f>Excel_Advanced_Sales_Dataset_2000__3[[#This Row],[Quantity]]*Excel_Advanced_Sales_Dataset_2000__3[[#This Row],[Unit Price]]*Excel_Advanced_Sales_Dataset_2000__3[[#This Row],[Discount %]]/100</f>
        <v>56356.377132000001</v>
      </c>
      <c r="T1160" s="4">
        <f>Excel_Advanced_Sales_Dataset_2000__3[[#This Row],[Quantity]]*Excel_Advanced_Sales_Dataset_2000__3[[#This Row],[Unit Price]]-Excel_Advanced_Sales_Dataset_2000__3[[#This Row],[Discount Amount]]</f>
        <v>247124.38286800002</v>
      </c>
    </row>
    <row r="1161" spans="1:20" x14ac:dyDescent="0.25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>
        <v>33</v>
      </c>
      <c r="J1161" s="4">
        <v>28738.67</v>
      </c>
      <c r="K1161" s="6">
        <v>5.04</v>
      </c>
      <c r="L1161" s="4">
        <v>900577.95</v>
      </c>
      <c r="M1161" s="4" t="str" cm="1">
        <f t="array" ref="M1161">IF(Excel_Advanced_Sales_Dataset_2000__3[[#This Row],[Total Sales]]&gt;50000,{"Yes"},{"No"})</f>
        <v>Yes</v>
      </c>
      <c r="N1161" s="5">
        <v>46318</v>
      </c>
      <c r="O1161" s="1" t="s">
        <v>113</v>
      </c>
      <c r="P1161" t="s">
        <v>35</v>
      </c>
      <c r="Q1161" t="str">
        <f>IF(Excel_Advanced_Sales_Dataset_2000__3[[#This Row],[Delivery Status]]="Pending","Follow Up","Ok")</f>
        <v>Ok</v>
      </c>
      <c r="R1161" s="1" t="s">
        <v>26</v>
      </c>
      <c r="S1161">
        <f>Excel_Advanced_Sales_Dataset_2000__3[[#This Row],[Quantity]]*Excel_Advanced_Sales_Dataset_2000__3[[#This Row],[Unit Price]]*Excel_Advanced_Sales_Dataset_2000__3[[#This Row],[Discount %]]/100</f>
        <v>47798.155943999998</v>
      </c>
      <c r="T1161" s="4">
        <f>Excel_Advanced_Sales_Dataset_2000__3[[#This Row],[Quantity]]*Excel_Advanced_Sales_Dataset_2000__3[[#This Row],[Unit Price]]-Excel_Advanced_Sales_Dataset_2000__3[[#This Row],[Discount Amount]]</f>
        <v>900577.95405599999</v>
      </c>
    </row>
    <row r="1162" spans="1:20" x14ac:dyDescent="0.25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>
        <v>19</v>
      </c>
      <c r="J1162" s="4">
        <v>2269.6</v>
      </c>
      <c r="K1162" s="6">
        <v>16.760000000000002</v>
      </c>
      <c r="L1162" s="4">
        <v>35895.089999999997</v>
      </c>
      <c r="M1162" s="4" t="str" cm="1">
        <f t="array" ref="M1162">IF(Excel_Advanced_Sales_Dataset_2000__3[[#This Row],[Total Sales]]&gt;50000,{"Yes"},{"No"})</f>
        <v>No</v>
      </c>
      <c r="N1162" s="5">
        <v>46109</v>
      </c>
      <c r="O1162" s="1" t="s">
        <v>68</v>
      </c>
      <c r="P1162" t="s">
        <v>35</v>
      </c>
      <c r="Q1162" t="str">
        <f>IF(Excel_Advanced_Sales_Dataset_2000__3[[#This Row],[Delivery Status]]="Pending","Follow Up","Ok")</f>
        <v>Ok</v>
      </c>
      <c r="R1162" s="1" t="s">
        <v>53</v>
      </c>
      <c r="S1162">
        <f>Excel_Advanced_Sales_Dataset_2000__3[[#This Row],[Quantity]]*Excel_Advanced_Sales_Dataset_2000__3[[#This Row],[Unit Price]]*Excel_Advanced_Sales_Dataset_2000__3[[#This Row],[Discount %]]/100</f>
        <v>7227.3142400000015</v>
      </c>
      <c r="T1162" s="4">
        <f>Excel_Advanced_Sales_Dataset_2000__3[[#This Row],[Quantity]]*Excel_Advanced_Sales_Dataset_2000__3[[#This Row],[Unit Price]]-Excel_Advanced_Sales_Dataset_2000__3[[#This Row],[Discount Amount]]</f>
        <v>35895.085760000002</v>
      </c>
    </row>
    <row r="1163" spans="1:20" x14ac:dyDescent="0.25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>
        <v>49</v>
      </c>
      <c r="J1163" s="4">
        <v>39628.800000000003</v>
      </c>
      <c r="K1163" s="6">
        <v>12.3</v>
      </c>
      <c r="L1163" s="4">
        <v>1702968.42</v>
      </c>
      <c r="M1163" s="4" t="str" cm="1">
        <f t="array" ref="M1163">IF(Excel_Advanced_Sales_Dataset_2000__3[[#This Row],[Total Sales]]&gt;50000,{"Yes"},{"No"})</f>
        <v>Yes</v>
      </c>
      <c r="N1163" s="5">
        <v>46261</v>
      </c>
      <c r="O1163" s="1" t="s">
        <v>68</v>
      </c>
      <c r="P1163" t="s">
        <v>25</v>
      </c>
      <c r="Q1163" t="str">
        <f>IF(Excel_Advanced_Sales_Dataset_2000__3[[#This Row],[Delivery Status]]="Pending","Follow Up","Ok")</f>
        <v>Follow Up</v>
      </c>
      <c r="R1163" s="1" t="s">
        <v>53</v>
      </c>
      <c r="S1163">
        <f>Excel_Advanced_Sales_Dataset_2000__3[[#This Row],[Quantity]]*Excel_Advanced_Sales_Dataset_2000__3[[#This Row],[Unit Price]]*Excel_Advanced_Sales_Dataset_2000__3[[#This Row],[Discount %]]/100</f>
        <v>238842.77760000006</v>
      </c>
      <c r="T1163" s="4">
        <f>Excel_Advanced_Sales_Dataset_2000__3[[#This Row],[Quantity]]*Excel_Advanced_Sales_Dataset_2000__3[[#This Row],[Unit Price]]-Excel_Advanced_Sales_Dataset_2000__3[[#This Row],[Discount Amount]]</f>
        <v>1702968.4224</v>
      </c>
    </row>
    <row r="1164" spans="1:20" x14ac:dyDescent="0.25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>
        <v>35</v>
      </c>
      <c r="J1164" s="4">
        <v>4172.43</v>
      </c>
      <c r="K1164" s="6">
        <v>18.72</v>
      </c>
      <c r="L1164" s="4">
        <v>118697.29</v>
      </c>
      <c r="M1164" s="4" t="str" cm="1">
        <f t="array" ref="M1164">IF(Excel_Advanced_Sales_Dataset_2000__3[[#This Row],[Total Sales]]&gt;50000,{"Yes"},{"No"})</f>
        <v>Yes</v>
      </c>
      <c r="N1164" s="5">
        <v>46385</v>
      </c>
      <c r="O1164" s="1" t="s">
        <v>68</v>
      </c>
      <c r="P1164" t="s">
        <v>25</v>
      </c>
      <c r="Q1164" t="str">
        <f>IF(Excel_Advanced_Sales_Dataset_2000__3[[#This Row],[Delivery Status]]="Pending","Follow Up","Ok")</f>
        <v>Follow Up</v>
      </c>
      <c r="R1164" s="1" t="s">
        <v>53</v>
      </c>
      <c r="S1164">
        <f>Excel_Advanced_Sales_Dataset_2000__3[[#This Row],[Quantity]]*Excel_Advanced_Sales_Dataset_2000__3[[#This Row],[Unit Price]]*Excel_Advanced_Sales_Dataset_2000__3[[#This Row],[Discount %]]/100</f>
        <v>27337.76136</v>
      </c>
      <c r="T1164" s="4">
        <f>Excel_Advanced_Sales_Dataset_2000__3[[#This Row],[Quantity]]*Excel_Advanced_Sales_Dataset_2000__3[[#This Row],[Unit Price]]-Excel_Advanced_Sales_Dataset_2000__3[[#This Row],[Discount Amount]]</f>
        <v>118697.28864000001</v>
      </c>
    </row>
    <row r="1165" spans="1:20" x14ac:dyDescent="0.25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>
        <v>14</v>
      </c>
      <c r="J1165" s="4">
        <v>42085.69</v>
      </c>
      <c r="K1165" s="6">
        <v>6.81</v>
      </c>
      <c r="L1165" s="4">
        <v>549075.16</v>
      </c>
      <c r="M1165" s="4" t="str" cm="1">
        <f t="array" ref="M1165">IF(Excel_Advanced_Sales_Dataset_2000__3[[#This Row],[Total Sales]]&gt;50000,{"Yes"},{"No"})</f>
        <v>Yes</v>
      </c>
      <c r="N1165" s="5">
        <v>46134</v>
      </c>
      <c r="O1165" s="1" t="s">
        <v>24</v>
      </c>
      <c r="P1165" t="s">
        <v>25</v>
      </c>
      <c r="Q1165" t="str">
        <f>IF(Excel_Advanced_Sales_Dataset_2000__3[[#This Row],[Delivery Status]]="Pending","Follow Up","Ok")</f>
        <v>Follow Up</v>
      </c>
      <c r="R1165" s="1" t="s">
        <v>36</v>
      </c>
      <c r="S1165">
        <f>Excel_Advanced_Sales_Dataset_2000__3[[#This Row],[Quantity]]*Excel_Advanced_Sales_Dataset_2000__3[[#This Row],[Unit Price]]*Excel_Advanced_Sales_Dataset_2000__3[[#This Row],[Discount %]]/100</f>
        <v>40124.496845999995</v>
      </c>
      <c r="T1165" s="4">
        <f>Excel_Advanced_Sales_Dataset_2000__3[[#This Row],[Quantity]]*Excel_Advanced_Sales_Dataset_2000__3[[#This Row],[Unit Price]]-Excel_Advanced_Sales_Dataset_2000__3[[#This Row],[Discount Amount]]</f>
        <v>549075.16315400007</v>
      </c>
    </row>
    <row r="1166" spans="1:20" x14ac:dyDescent="0.25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>
        <v>28</v>
      </c>
      <c r="J1166" s="4">
        <v>33453.440000000002</v>
      </c>
      <c r="K1166" s="6">
        <v>5.94</v>
      </c>
      <c r="L1166" s="4">
        <v>881056.56</v>
      </c>
      <c r="M1166" s="4" t="str" cm="1">
        <f t="array" ref="M1166">IF(Excel_Advanced_Sales_Dataset_2000__3[[#This Row],[Total Sales]]&gt;50000,{"Yes"},{"No"})</f>
        <v>Yes</v>
      </c>
      <c r="N1166" s="5">
        <v>46106</v>
      </c>
      <c r="O1166" s="1" t="s">
        <v>45</v>
      </c>
      <c r="P1166" t="s">
        <v>35</v>
      </c>
      <c r="Q1166" t="str">
        <f>IF(Excel_Advanced_Sales_Dataset_2000__3[[#This Row],[Delivery Status]]="Pending","Follow Up","Ok")</f>
        <v>Ok</v>
      </c>
      <c r="R1166" s="1" t="s">
        <v>36</v>
      </c>
      <c r="S1166">
        <f>Excel_Advanced_Sales_Dataset_2000__3[[#This Row],[Quantity]]*Excel_Advanced_Sales_Dataset_2000__3[[#This Row],[Unit Price]]*Excel_Advanced_Sales_Dataset_2000__3[[#This Row],[Discount %]]/100</f>
        <v>55639.761408000013</v>
      </c>
      <c r="T1166" s="4">
        <f>Excel_Advanced_Sales_Dataset_2000__3[[#This Row],[Quantity]]*Excel_Advanced_Sales_Dataset_2000__3[[#This Row],[Unit Price]]-Excel_Advanced_Sales_Dataset_2000__3[[#This Row],[Discount Amount]]</f>
        <v>881056.55859200004</v>
      </c>
    </row>
    <row r="1167" spans="1:20" x14ac:dyDescent="0.25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>
        <v>44</v>
      </c>
      <c r="J1167" s="4">
        <v>39150.720000000001</v>
      </c>
      <c r="K1167" s="6">
        <v>3.29</v>
      </c>
      <c r="L1167" s="4">
        <v>1665957.1</v>
      </c>
      <c r="M1167" s="4" t="str" cm="1">
        <f t="array" ref="M1167">IF(Excel_Advanced_Sales_Dataset_2000__3[[#This Row],[Total Sales]]&gt;50000,{"Yes"},{"No"})</f>
        <v>Yes</v>
      </c>
      <c r="N1167" s="5">
        <v>46162</v>
      </c>
      <c r="O1167" s="1" t="s">
        <v>68</v>
      </c>
      <c r="P1167" t="s">
        <v>35</v>
      </c>
      <c r="Q1167" t="str">
        <f>IF(Excel_Advanced_Sales_Dataset_2000__3[[#This Row],[Delivery Status]]="Pending","Follow Up","Ok")</f>
        <v>Ok</v>
      </c>
      <c r="R1167" s="1" t="s">
        <v>53</v>
      </c>
      <c r="S1167">
        <f>Excel_Advanced_Sales_Dataset_2000__3[[#This Row],[Quantity]]*Excel_Advanced_Sales_Dataset_2000__3[[#This Row],[Unit Price]]*Excel_Advanced_Sales_Dataset_2000__3[[#This Row],[Discount %]]/100</f>
        <v>56674.582272000007</v>
      </c>
      <c r="T1167" s="4">
        <f>Excel_Advanced_Sales_Dataset_2000__3[[#This Row],[Quantity]]*Excel_Advanced_Sales_Dataset_2000__3[[#This Row],[Unit Price]]-Excel_Advanced_Sales_Dataset_2000__3[[#This Row],[Discount Amount]]</f>
        <v>1665957.0977280003</v>
      </c>
    </row>
    <row r="1168" spans="1:20" x14ac:dyDescent="0.25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>
        <v>50</v>
      </c>
      <c r="J1168" s="4">
        <v>48802.09</v>
      </c>
      <c r="K1168" s="6">
        <v>5.81</v>
      </c>
      <c r="L1168" s="4">
        <v>2298334.4300000002</v>
      </c>
      <c r="M1168" s="4" t="str" cm="1">
        <f t="array" ref="M1168">IF(Excel_Advanced_Sales_Dataset_2000__3[[#This Row],[Total Sales]]&gt;50000,{"Yes"},{"No"})</f>
        <v>Yes</v>
      </c>
      <c r="N1168" s="5">
        <v>46319</v>
      </c>
      <c r="O1168" s="1" t="s">
        <v>58</v>
      </c>
      <c r="P1168" t="s">
        <v>35</v>
      </c>
      <c r="Q1168" t="str">
        <f>IF(Excel_Advanced_Sales_Dataset_2000__3[[#This Row],[Delivery Status]]="Pending","Follow Up","Ok")</f>
        <v>Ok</v>
      </c>
      <c r="R1168" s="1" t="s">
        <v>36</v>
      </c>
      <c r="S1168">
        <f>Excel_Advanced_Sales_Dataset_2000__3[[#This Row],[Quantity]]*Excel_Advanced_Sales_Dataset_2000__3[[#This Row],[Unit Price]]*Excel_Advanced_Sales_Dataset_2000__3[[#This Row],[Discount %]]/100</f>
        <v>141770.07144999999</v>
      </c>
      <c r="T1168" s="4">
        <f>Excel_Advanced_Sales_Dataset_2000__3[[#This Row],[Quantity]]*Excel_Advanced_Sales_Dataset_2000__3[[#This Row],[Unit Price]]-Excel_Advanced_Sales_Dataset_2000__3[[#This Row],[Discount Amount]]</f>
        <v>2298334.4285499998</v>
      </c>
    </row>
    <row r="1169" spans="1:20" x14ac:dyDescent="0.25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>
        <v>29</v>
      </c>
      <c r="J1169" s="4">
        <v>1454.08</v>
      </c>
      <c r="K1169" s="6">
        <v>17.54</v>
      </c>
      <c r="L1169" s="4">
        <v>34772</v>
      </c>
      <c r="M1169" s="4" t="str" cm="1">
        <f t="array" ref="M1169">IF(Excel_Advanced_Sales_Dataset_2000__3[[#This Row],[Total Sales]]&gt;50000,{"Yes"},{"No"})</f>
        <v>No</v>
      </c>
      <c r="N1169" s="5">
        <v>46163</v>
      </c>
      <c r="O1169" s="1" t="s">
        <v>45</v>
      </c>
      <c r="P1169" t="s">
        <v>35</v>
      </c>
      <c r="Q1169" t="str">
        <f>IF(Excel_Advanced_Sales_Dataset_2000__3[[#This Row],[Delivery Status]]="Pending","Follow Up","Ok")</f>
        <v>Ok</v>
      </c>
      <c r="R1169" s="1" t="s">
        <v>53</v>
      </c>
      <c r="S1169">
        <f>Excel_Advanced_Sales_Dataset_2000__3[[#This Row],[Quantity]]*Excel_Advanced_Sales_Dataset_2000__3[[#This Row],[Unit Price]]*Excel_Advanced_Sales_Dataset_2000__3[[#This Row],[Discount %]]/100</f>
        <v>7396.3233279999995</v>
      </c>
      <c r="T1169" s="4">
        <f>Excel_Advanced_Sales_Dataset_2000__3[[#This Row],[Quantity]]*Excel_Advanced_Sales_Dataset_2000__3[[#This Row],[Unit Price]]-Excel_Advanced_Sales_Dataset_2000__3[[#This Row],[Discount Amount]]</f>
        <v>34771.996672000001</v>
      </c>
    </row>
    <row r="1170" spans="1:20" x14ac:dyDescent="0.25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>
        <v>5</v>
      </c>
      <c r="J1170" s="4">
        <v>5605.7</v>
      </c>
      <c r="K1170" s="6">
        <v>5.65</v>
      </c>
      <c r="L1170" s="4">
        <v>26444.89</v>
      </c>
      <c r="M1170" s="4" t="str" cm="1">
        <f t="array" ref="M1170">IF(Excel_Advanced_Sales_Dataset_2000__3[[#This Row],[Total Sales]]&gt;50000,{"Yes"},{"No"})</f>
        <v>No</v>
      </c>
      <c r="N1170" s="5">
        <v>46369</v>
      </c>
      <c r="O1170" s="1" t="s">
        <v>68</v>
      </c>
      <c r="P1170" t="s">
        <v>59</v>
      </c>
      <c r="Q1170" t="str">
        <f>IF(Excel_Advanced_Sales_Dataset_2000__3[[#This Row],[Delivery Status]]="Pending","Follow Up","Ok")</f>
        <v>Ok</v>
      </c>
      <c r="R1170" s="1" t="s">
        <v>36</v>
      </c>
      <c r="S1170">
        <f>Excel_Advanced_Sales_Dataset_2000__3[[#This Row],[Quantity]]*Excel_Advanced_Sales_Dataset_2000__3[[#This Row],[Unit Price]]*Excel_Advanced_Sales_Dataset_2000__3[[#This Row],[Discount %]]/100</f>
        <v>1583.6102500000002</v>
      </c>
      <c r="T1170" s="4">
        <f>Excel_Advanced_Sales_Dataset_2000__3[[#This Row],[Quantity]]*Excel_Advanced_Sales_Dataset_2000__3[[#This Row],[Unit Price]]-Excel_Advanced_Sales_Dataset_2000__3[[#This Row],[Discount Amount]]</f>
        <v>26444.889749999998</v>
      </c>
    </row>
    <row r="1171" spans="1:20" x14ac:dyDescent="0.25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>
        <v>4</v>
      </c>
      <c r="J1171" s="4">
        <v>10452.57</v>
      </c>
      <c r="K1171" s="6">
        <v>17.2</v>
      </c>
      <c r="L1171" s="4">
        <v>34618.910000000003</v>
      </c>
      <c r="M1171" s="4" t="str" cm="1">
        <f t="array" ref="M1171">IF(Excel_Advanced_Sales_Dataset_2000__3[[#This Row],[Total Sales]]&gt;50000,{"Yes"},{"No"})</f>
        <v>No</v>
      </c>
      <c r="N1171" s="5">
        <v>46161</v>
      </c>
      <c r="O1171" s="1" t="s">
        <v>45</v>
      </c>
      <c r="P1171" t="s">
        <v>25</v>
      </c>
      <c r="Q1171" t="str">
        <f>IF(Excel_Advanced_Sales_Dataset_2000__3[[#This Row],[Delivery Status]]="Pending","Follow Up","Ok")</f>
        <v>Follow Up</v>
      </c>
      <c r="R1171" s="1" t="s">
        <v>26</v>
      </c>
      <c r="S1171">
        <f>Excel_Advanced_Sales_Dataset_2000__3[[#This Row],[Quantity]]*Excel_Advanced_Sales_Dataset_2000__3[[#This Row],[Unit Price]]*Excel_Advanced_Sales_Dataset_2000__3[[#This Row],[Discount %]]/100</f>
        <v>7191.36816</v>
      </c>
      <c r="T1171" s="4">
        <f>Excel_Advanced_Sales_Dataset_2000__3[[#This Row],[Quantity]]*Excel_Advanced_Sales_Dataset_2000__3[[#This Row],[Unit Price]]-Excel_Advanced_Sales_Dataset_2000__3[[#This Row],[Discount Amount]]</f>
        <v>34618.911840000001</v>
      </c>
    </row>
    <row r="1172" spans="1:20" x14ac:dyDescent="0.25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>
        <v>32</v>
      </c>
      <c r="J1172" s="4">
        <v>30366.53</v>
      </c>
      <c r="K1172" s="6">
        <v>8.9499999999999993</v>
      </c>
      <c r="L1172" s="4">
        <v>884759.22</v>
      </c>
      <c r="M1172" s="4" t="str" cm="1">
        <f t="array" ref="M1172">IF(Excel_Advanced_Sales_Dataset_2000__3[[#This Row],[Total Sales]]&gt;50000,{"Yes"},{"No"})</f>
        <v>Yes</v>
      </c>
      <c r="N1172" s="5">
        <v>46274</v>
      </c>
      <c r="O1172" s="1" t="s">
        <v>68</v>
      </c>
      <c r="P1172" t="s">
        <v>35</v>
      </c>
      <c r="Q1172" t="str">
        <f>IF(Excel_Advanced_Sales_Dataset_2000__3[[#This Row],[Delivery Status]]="Pending","Follow Up","Ok")</f>
        <v>Ok</v>
      </c>
      <c r="R1172" s="1" t="s">
        <v>36</v>
      </c>
      <c r="S1172">
        <f>Excel_Advanced_Sales_Dataset_2000__3[[#This Row],[Quantity]]*Excel_Advanced_Sales_Dataset_2000__3[[#This Row],[Unit Price]]*Excel_Advanced_Sales_Dataset_2000__3[[#This Row],[Discount %]]/100</f>
        <v>86969.74192</v>
      </c>
      <c r="T1172" s="4">
        <f>Excel_Advanced_Sales_Dataset_2000__3[[#This Row],[Quantity]]*Excel_Advanced_Sales_Dataset_2000__3[[#This Row],[Unit Price]]-Excel_Advanced_Sales_Dataset_2000__3[[#This Row],[Discount Amount]]</f>
        <v>884759.21808000002</v>
      </c>
    </row>
    <row r="1173" spans="1:20" x14ac:dyDescent="0.25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>
        <v>29</v>
      </c>
      <c r="J1173" s="4">
        <v>7653.71</v>
      </c>
      <c r="K1173" s="6">
        <v>3.17</v>
      </c>
      <c r="L1173" s="4">
        <v>214921.53</v>
      </c>
      <c r="M1173" s="4" t="str" cm="1">
        <f t="array" ref="M1173">IF(Excel_Advanced_Sales_Dataset_2000__3[[#This Row],[Total Sales]]&gt;50000,{"Yes"},{"No"})</f>
        <v>Yes</v>
      </c>
      <c r="N1173" s="5">
        <v>46286</v>
      </c>
      <c r="O1173" s="1" t="s">
        <v>45</v>
      </c>
      <c r="P1173" t="s">
        <v>35</v>
      </c>
      <c r="Q1173" t="str">
        <f>IF(Excel_Advanced_Sales_Dataset_2000__3[[#This Row],[Delivery Status]]="Pending","Follow Up","Ok")</f>
        <v>Ok</v>
      </c>
      <c r="R1173" s="1" t="s">
        <v>36</v>
      </c>
      <c r="S1173">
        <f>Excel_Advanced_Sales_Dataset_2000__3[[#This Row],[Quantity]]*Excel_Advanced_Sales_Dataset_2000__3[[#This Row],[Unit Price]]*Excel_Advanced_Sales_Dataset_2000__3[[#This Row],[Discount %]]/100</f>
        <v>7036.0556029999998</v>
      </c>
      <c r="T1173" s="4">
        <f>Excel_Advanced_Sales_Dataset_2000__3[[#This Row],[Quantity]]*Excel_Advanced_Sales_Dataset_2000__3[[#This Row],[Unit Price]]-Excel_Advanced_Sales_Dataset_2000__3[[#This Row],[Discount Amount]]</f>
        <v>214921.53439700001</v>
      </c>
    </row>
    <row r="1174" spans="1:20" x14ac:dyDescent="0.25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>
        <v>15</v>
      </c>
      <c r="J1174" s="4">
        <v>39332.870000000003</v>
      </c>
      <c r="K1174" s="6">
        <v>18.41</v>
      </c>
      <c r="L1174" s="4">
        <v>481375.33</v>
      </c>
      <c r="M1174" s="4" t="str" cm="1">
        <f t="array" ref="M1174">IF(Excel_Advanced_Sales_Dataset_2000__3[[#This Row],[Total Sales]]&gt;50000,{"Yes"},{"No"})</f>
        <v>Yes</v>
      </c>
      <c r="N1174" s="5">
        <v>46371</v>
      </c>
      <c r="O1174" s="1" t="s">
        <v>113</v>
      </c>
      <c r="P1174" t="s">
        <v>35</v>
      </c>
      <c r="Q1174" t="str">
        <f>IF(Excel_Advanced_Sales_Dataset_2000__3[[#This Row],[Delivery Status]]="Pending","Follow Up","Ok")</f>
        <v>Ok</v>
      </c>
      <c r="R1174" s="1" t="s">
        <v>36</v>
      </c>
      <c r="S1174">
        <f>Excel_Advanced_Sales_Dataset_2000__3[[#This Row],[Quantity]]*Excel_Advanced_Sales_Dataset_2000__3[[#This Row],[Unit Price]]*Excel_Advanced_Sales_Dataset_2000__3[[#This Row],[Discount %]]/100</f>
        <v>108617.72050500002</v>
      </c>
      <c r="T1174" s="4">
        <f>Excel_Advanced_Sales_Dataset_2000__3[[#This Row],[Quantity]]*Excel_Advanced_Sales_Dataset_2000__3[[#This Row],[Unit Price]]-Excel_Advanced_Sales_Dataset_2000__3[[#This Row],[Discount Amount]]</f>
        <v>481375.32949500001</v>
      </c>
    </row>
    <row r="1175" spans="1:20" x14ac:dyDescent="0.25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>
        <v>24</v>
      </c>
      <c r="J1175" s="4">
        <v>4534.33</v>
      </c>
      <c r="K1175" s="6">
        <v>17.37</v>
      </c>
      <c r="L1175" s="4">
        <v>89921.21</v>
      </c>
      <c r="M1175" s="4" t="str" cm="1">
        <f t="array" ref="M1175">IF(Excel_Advanced_Sales_Dataset_2000__3[[#This Row],[Total Sales]]&gt;50000,{"Yes"},{"No"})</f>
        <v>Yes</v>
      </c>
      <c r="N1175" s="5">
        <v>46035</v>
      </c>
      <c r="O1175" s="1" t="s">
        <v>113</v>
      </c>
      <c r="P1175" t="s">
        <v>35</v>
      </c>
      <c r="Q1175" t="str">
        <f>IF(Excel_Advanced_Sales_Dataset_2000__3[[#This Row],[Delivery Status]]="Pending","Follow Up","Ok")</f>
        <v>Ok</v>
      </c>
      <c r="R1175" s="1" t="s">
        <v>53</v>
      </c>
      <c r="S1175">
        <f>Excel_Advanced_Sales_Dataset_2000__3[[#This Row],[Quantity]]*Excel_Advanced_Sales_Dataset_2000__3[[#This Row],[Unit Price]]*Excel_Advanced_Sales_Dataset_2000__3[[#This Row],[Discount %]]/100</f>
        <v>18902.714904</v>
      </c>
      <c r="T1175" s="4">
        <f>Excel_Advanced_Sales_Dataset_2000__3[[#This Row],[Quantity]]*Excel_Advanced_Sales_Dataset_2000__3[[#This Row],[Unit Price]]-Excel_Advanced_Sales_Dataset_2000__3[[#This Row],[Discount Amount]]</f>
        <v>89921.205095999991</v>
      </c>
    </row>
    <row r="1176" spans="1:20" x14ac:dyDescent="0.25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>
        <v>45</v>
      </c>
      <c r="J1176" s="4">
        <v>46609.64</v>
      </c>
      <c r="K1176" s="6">
        <v>15.87</v>
      </c>
      <c r="L1176" s="4">
        <v>1764571.06</v>
      </c>
      <c r="M1176" s="4" t="str" cm="1">
        <f t="array" ref="M1176">IF(Excel_Advanced_Sales_Dataset_2000__3[[#This Row],[Total Sales]]&gt;50000,{"Yes"},{"No"})</f>
        <v>Yes</v>
      </c>
      <c r="N1176" s="5">
        <v>46231</v>
      </c>
      <c r="O1176" s="1" t="s">
        <v>68</v>
      </c>
      <c r="P1176" t="s">
        <v>59</v>
      </c>
      <c r="Q1176" t="str">
        <f>IF(Excel_Advanced_Sales_Dataset_2000__3[[#This Row],[Delivery Status]]="Pending","Follow Up","Ok")</f>
        <v>Ok</v>
      </c>
      <c r="R1176" s="1" t="s">
        <v>36</v>
      </c>
      <c r="S1176">
        <f>Excel_Advanced_Sales_Dataset_2000__3[[#This Row],[Quantity]]*Excel_Advanced_Sales_Dataset_2000__3[[#This Row],[Unit Price]]*Excel_Advanced_Sales_Dataset_2000__3[[#This Row],[Discount %]]/100</f>
        <v>332862.74405999994</v>
      </c>
      <c r="T1176" s="4">
        <f>Excel_Advanced_Sales_Dataset_2000__3[[#This Row],[Quantity]]*Excel_Advanced_Sales_Dataset_2000__3[[#This Row],[Unit Price]]-Excel_Advanced_Sales_Dataset_2000__3[[#This Row],[Discount Amount]]</f>
        <v>1764571.0559399999</v>
      </c>
    </row>
    <row r="1177" spans="1:20" x14ac:dyDescent="0.25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>
        <v>16</v>
      </c>
      <c r="J1177" s="4">
        <v>10159.14</v>
      </c>
      <c r="K1177" s="6">
        <v>1.64</v>
      </c>
      <c r="L1177" s="4">
        <v>159880.48000000001</v>
      </c>
      <c r="M1177" s="4" t="str" cm="1">
        <f t="array" ref="M1177">IF(Excel_Advanced_Sales_Dataset_2000__3[[#This Row],[Total Sales]]&gt;50000,{"Yes"},{"No"})</f>
        <v>Yes</v>
      </c>
      <c r="N1177" s="5">
        <v>46114</v>
      </c>
      <c r="O1177" s="1" t="s">
        <v>113</v>
      </c>
      <c r="P1177" t="s">
        <v>25</v>
      </c>
      <c r="Q1177" t="str">
        <f>IF(Excel_Advanced_Sales_Dataset_2000__3[[#This Row],[Delivery Status]]="Pending","Follow Up","Ok")</f>
        <v>Follow Up</v>
      </c>
      <c r="R1177" s="1" t="s">
        <v>36</v>
      </c>
      <c r="S1177">
        <f>Excel_Advanced_Sales_Dataset_2000__3[[#This Row],[Quantity]]*Excel_Advanced_Sales_Dataset_2000__3[[#This Row],[Unit Price]]*Excel_Advanced_Sales_Dataset_2000__3[[#This Row],[Discount %]]/100</f>
        <v>2665.7583359999994</v>
      </c>
      <c r="T1177" s="4">
        <f>Excel_Advanced_Sales_Dataset_2000__3[[#This Row],[Quantity]]*Excel_Advanced_Sales_Dataset_2000__3[[#This Row],[Unit Price]]-Excel_Advanced_Sales_Dataset_2000__3[[#This Row],[Discount Amount]]</f>
        <v>159880.48166399999</v>
      </c>
    </row>
    <row r="1178" spans="1:20" x14ac:dyDescent="0.25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>
        <v>13</v>
      </c>
      <c r="J1178" s="4">
        <v>11982.88</v>
      </c>
      <c r="K1178" s="6">
        <v>14.24</v>
      </c>
      <c r="L1178" s="4">
        <v>133594.73000000001</v>
      </c>
      <c r="M1178" s="4" t="str" cm="1">
        <f t="array" ref="M1178">IF(Excel_Advanced_Sales_Dataset_2000__3[[#This Row],[Total Sales]]&gt;50000,{"Yes"},{"No"})</f>
        <v>Yes</v>
      </c>
      <c r="N1178" s="5">
        <v>46298</v>
      </c>
      <c r="O1178" s="1" t="s">
        <v>68</v>
      </c>
      <c r="P1178" t="s">
        <v>35</v>
      </c>
      <c r="Q1178" t="str">
        <f>IF(Excel_Advanced_Sales_Dataset_2000__3[[#This Row],[Delivery Status]]="Pending","Follow Up","Ok")</f>
        <v>Ok</v>
      </c>
      <c r="R1178" s="1" t="s">
        <v>36</v>
      </c>
      <c r="S1178">
        <f>Excel_Advanced_Sales_Dataset_2000__3[[#This Row],[Quantity]]*Excel_Advanced_Sales_Dataset_2000__3[[#This Row],[Unit Price]]*Excel_Advanced_Sales_Dataset_2000__3[[#This Row],[Discount %]]/100</f>
        <v>22182.707456</v>
      </c>
      <c r="T1178" s="4">
        <f>Excel_Advanced_Sales_Dataset_2000__3[[#This Row],[Quantity]]*Excel_Advanced_Sales_Dataset_2000__3[[#This Row],[Unit Price]]-Excel_Advanced_Sales_Dataset_2000__3[[#This Row],[Discount Amount]]</f>
        <v>133594.732544</v>
      </c>
    </row>
    <row r="1179" spans="1:20" x14ac:dyDescent="0.25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>
        <v>42</v>
      </c>
      <c r="J1179" s="4">
        <v>12987.99</v>
      </c>
      <c r="K1179" s="6">
        <v>4.7</v>
      </c>
      <c r="L1179" s="4">
        <v>519857.29</v>
      </c>
      <c r="M1179" s="4" t="str" cm="1">
        <f t="array" ref="M1179">IF(Excel_Advanced_Sales_Dataset_2000__3[[#This Row],[Total Sales]]&gt;50000,{"Yes"},{"No"})</f>
        <v>Yes</v>
      </c>
      <c r="N1179" s="5">
        <v>46160</v>
      </c>
      <c r="O1179" s="1" t="s">
        <v>58</v>
      </c>
      <c r="P1179" t="s">
        <v>35</v>
      </c>
      <c r="Q1179" t="str">
        <f>IF(Excel_Advanced_Sales_Dataset_2000__3[[#This Row],[Delivery Status]]="Pending","Follow Up","Ok")</f>
        <v>Ok</v>
      </c>
      <c r="R1179" s="1" t="s">
        <v>26</v>
      </c>
      <c r="S1179">
        <f>Excel_Advanced_Sales_Dataset_2000__3[[#This Row],[Quantity]]*Excel_Advanced_Sales_Dataset_2000__3[[#This Row],[Unit Price]]*Excel_Advanced_Sales_Dataset_2000__3[[#This Row],[Discount %]]/100</f>
        <v>25638.292259999998</v>
      </c>
      <c r="T1179" s="4">
        <f>Excel_Advanced_Sales_Dataset_2000__3[[#This Row],[Quantity]]*Excel_Advanced_Sales_Dataset_2000__3[[#This Row],[Unit Price]]-Excel_Advanced_Sales_Dataset_2000__3[[#This Row],[Discount Amount]]</f>
        <v>519857.28773999994</v>
      </c>
    </row>
    <row r="1180" spans="1:20" x14ac:dyDescent="0.25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>
        <v>44</v>
      </c>
      <c r="J1180" s="4">
        <v>40370.730000000003</v>
      </c>
      <c r="K1180" s="6">
        <v>18.989999999999998</v>
      </c>
      <c r="L1180" s="4">
        <v>1438990.45</v>
      </c>
      <c r="M1180" s="4" t="str" cm="1">
        <f t="array" ref="M1180">IF(Excel_Advanced_Sales_Dataset_2000__3[[#This Row],[Total Sales]]&gt;50000,{"Yes"},{"No"})</f>
        <v>Yes</v>
      </c>
      <c r="N1180" s="5">
        <v>46175</v>
      </c>
      <c r="O1180" s="1" t="s">
        <v>68</v>
      </c>
      <c r="P1180" t="s">
        <v>35</v>
      </c>
      <c r="Q1180" t="str">
        <f>IF(Excel_Advanced_Sales_Dataset_2000__3[[#This Row],[Delivery Status]]="Pending","Follow Up","Ok")</f>
        <v>Ok</v>
      </c>
      <c r="R1180" s="1" t="s">
        <v>36</v>
      </c>
      <c r="S1180">
        <f>Excel_Advanced_Sales_Dataset_2000__3[[#This Row],[Quantity]]*Excel_Advanced_Sales_Dataset_2000__3[[#This Row],[Unit Price]]*Excel_Advanced_Sales_Dataset_2000__3[[#This Row],[Discount %]]/100</f>
        <v>337321.67158799997</v>
      </c>
      <c r="T1180" s="4">
        <f>Excel_Advanced_Sales_Dataset_2000__3[[#This Row],[Quantity]]*Excel_Advanced_Sales_Dataset_2000__3[[#This Row],[Unit Price]]-Excel_Advanced_Sales_Dataset_2000__3[[#This Row],[Discount Amount]]</f>
        <v>1438990.4484120002</v>
      </c>
    </row>
    <row r="1181" spans="1:20" x14ac:dyDescent="0.25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>
        <v>6</v>
      </c>
      <c r="J1181" s="4">
        <v>5206.08</v>
      </c>
      <c r="K1181" s="6">
        <v>19.579999999999998</v>
      </c>
      <c r="L1181" s="4">
        <v>25120.38</v>
      </c>
      <c r="M1181" s="4" t="str" cm="1">
        <f t="array" ref="M1181">IF(Excel_Advanced_Sales_Dataset_2000__3[[#This Row],[Total Sales]]&gt;50000,{"Yes"},{"No"})</f>
        <v>No</v>
      </c>
      <c r="N1181" s="5">
        <v>46348</v>
      </c>
      <c r="O1181" s="1" t="s">
        <v>113</v>
      </c>
      <c r="P1181" t="s">
        <v>35</v>
      </c>
      <c r="Q1181" t="str">
        <f>IF(Excel_Advanced_Sales_Dataset_2000__3[[#This Row],[Delivery Status]]="Pending","Follow Up","Ok")</f>
        <v>Ok</v>
      </c>
      <c r="R1181" s="1" t="s">
        <v>26</v>
      </c>
      <c r="S1181">
        <f>Excel_Advanced_Sales_Dataset_2000__3[[#This Row],[Quantity]]*Excel_Advanced_Sales_Dataset_2000__3[[#This Row],[Unit Price]]*Excel_Advanced_Sales_Dataset_2000__3[[#This Row],[Discount %]]/100</f>
        <v>6116.1027839999997</v>
      </c>
      <c r="T1181" s="4">
        <f>Excel_Advanced_Sales_Dataset_2000__3[[#This Row],[Quantity]]*Excel_Advanced_Sales_Dataset_2000__3[[#This Row],[Unit Price]]-Excel_Advanced_Sales_Dataset_2000__3[[#This Row],[Discount Amount]]</f>
        <v>25120.377216000001</v>
      </c>
    </row>
    <row r="1182" spans="1:20" x14ac:dyDescent="0.25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>
        <v>49</v>
      </c>
      <c r="J1182" s="4">
        <v>23615.15</v>
      </c>
      <c r="K1182" s="6">
        <v>5.79</v>
      </c>
      <c r="L1182" s="4">
        <v>1090143.81</v>
      </c>
      <c r="M1182" s="4" t="str" cm="1">
        <f t="array" ref="M1182">IF(Excel_Advanced_Sales_Dataset_2000__3[[#This Row],[Total Sales]]&gt;50000,{"Yes"},{"No"})</f>
        <v>Yes</v>
      </c>
      <c r="N1182" s="5">
        <v>46252</v>
      </c>
      <c r="O1182" s="1" t="s">
        <v>45</v>
      </c>
      <c r="P1182" t="s">
        <v>35</v>
      </c>
      <c r="Q1182" t="str">
        <f>IF(Excel_Advanced_Sales_Dataset_2000__3[[#This Row],[Delivery Status]]="Pending","Follow Up","Ok")</f>
        <v>Ok</v>
      </c>
      <c r="R1182" s="1" t="s">
        <v>36</v>
      </c>
      <c r="S1182">
        <f>Excel_Advanced_Sales_Dataset_2000__3[[#This Row],[Quantity]]*Excel_Advanced_Sales_Dataset_2000__3[[#This Row],[Unit Price]]*Excel_Advanced_Sales_Dataset_2000__3[[#This Row],[Discount %]]/100</f>
        <v>66998.542065000001</v>
      </c>
      <c r="T1182" s="4">
        <f>Excel_Advanced_Sales_Dataset_2000__3[[#This Row],[Quantity]]*Excel_Advanced_Sales_Dataset_2000__3[[#This Row],[Unit Price]]-Excel_Advanced_Sales_Dataset_2000__3[[#This Row],[Discount Amount]]</f>
        <v>1090143.8079350002</v>
      </c>
    </row>
    <row r="1183" spans="1:20" x14ac:dyDescent="0.25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>
        <v>13</v>
      </c>
      <c r="J1183" s="4">
        <v>33670.61</v>
      </c>
      <c r="K1183" s="6">
        <v>14.63</v>
      </c>
      <c r="L1183" s="4">
        <v>373679.8</v>
      </c>
      <c r="M1183" s="4" t="str" cm="1">
        <f t="array" ref="M1183">IF(Excel_Advanced_Sales_Dataset_2000__3[[#This Row],[Total Sales]]&gt;50000,{"Yes"},{"No"})</f>
        <v>Yes</v>
      </c>
      <c r="N1183" s="5">
        <v>46116</v>
      </c>
      <c r="O1183" s="1" t="s">
        <v>58</v>
      </c>
      <c r="P1183" t="s">
        <v>35</v>
      </c>
      <c r="Q1183" t="str">
        <f>IF(Excel_Advanced_Sales_Dataset_2000__3[[#This Row],[Delivery Status]]="Pending","Follow Up","Ok")</f>
        <v>Ok</v>
      </c>
      <c r="R1183" s="1" t="s">
        <v>53</v>
      </c>
      <c r="S1183">
        <f>Excel_Advanced_Sales_Dataset_2000__3[[#This Row],[Quantity]]*Excel_Advanced_Sales_Dataset_2000__3[[#This Row],[Unit Price]]*Excel_Advanced_Sales_Dataset_2000__3[[#This Row],[Discount %]]/100</f>
        <v>64038.133158999997</v>
      </c>
      <c r="T1183" s="4">
        <f>Excel_Advanced_Sales_Dataset_2000__3[[#This Row],[Quantity]]*Excel_Advanced_Sales_Dataset_2000__3[[#This Row],[Unit Price]]-Excel_Advanced_Sales_Dataset_2000__3[[#This Row],[Discount Amount]]</f>
        <v>373679.79684099997</v>
      </c>
    </row>
    <row r="1184" spans="1:20" x14ac:dyDescent="0.25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>
        <v>45</v>
      </c>
      <c r="J1184" s="4">
        <v>30208.77</v>
      </c>
      <c r="K1184" s="6">
        <v>13.11</v>
      </c>
      <c r="L1184" s="4">
        <v>1181178.01</v>
      </c>
      <c r="M1184" s="4" t="str" cm="1">
        <f t="array" ref="M1184">IF(Excel_Advanced_Sales_Dataset_2000__3[[#This Row],[Total Sales]]&gt;50000,{"Yes"},{"No"})</f>
        <v>Yes</v>
      </c>
      <c r="N1184" s="5">
        <v>46078</v>
      </c>
      <c r="O1184" s="1" t="s">
        <v>68</v>
      </c>
      <c r="P1184" t="s">
        <v>35</v>
      </c>
      <c r="Q1184" t="str">
        <f>IF(Excel_Advanced_Sales_Dataset_2000__3[[#This Row],[Delivery Status]]="Pending","Follow Up","Ok")</f>
        <v>Ok</v>
      </c>
      <c r="R1184" s="1" t="s">
        <v>36</v>
      </c>
      <c r="S1184">
        <f>Excel_Advanced_Sales_Dataset_2000__3[[#This Row],[Quantity]]*Excel_Advanced_Sales_Dataset_2000__3[[#This Row],[Unit Price]]*Excel_Advanced_Sales_Dataset_2000__3[[#This Row],[Discount %]]/100</f>
        <v>178216.63861499997</v>
      </c>
      <c r="T1184" s="4">
        <f>Excel_Advanced_Sales_Dataset_2000__3[[#This Row],[Quantity]]*Excel_Advanced_Sales_Dataset_2000__3[[#This Row],[Unit Price]]-Excel_Advanced_Sales_Dataset_2000__3[[#This Row],[Discount Amount]]</f>
        <v>1181178.0113849998</v>
      </c>
    </row>
    <row r="1185" spans="1:20" x14ac:dyDescent="0.25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>
        <v>25</v>
      </c>
      <c r="J1185" s="4">
        <v>39324.69</v>
      </c>
      <c r="K1185" s="6">
        <v>8.99</v>
      </c>
      <c r="L1185" s="4">
        <v>894735.01</v>
      </c>
      <c r="M1185" s="4" t="str" cm="1">
        <f t="array" ref="M1185">IF(Excel_Advanced_Sales_Dataset_2000__3[[#This Row],[Total Sales]]&gt;50000,{"Yes"},{"No"})</f>
        <v>Yes</v>
      </c>
      <c r="N1185" s="5">
        <v>46307</v>
      </c>
      <c r="O1185" s="1" t="s">
        <v>113</v>
      </c>
      <c r="P1185" t="s">
        <v>35</v>
      </c>
      <c r="Q1185" t="str">
        <f>IF(Excel_Advanced_Sales_Dataset_2000__3[[#This Row],[Delivery Status]]="Pending","Follow Up","Ok")</f>
        <v>Ok</v>
      </c>
      <c r="R1185" s="1" t="s">
        <v>26</v>
      </c>
      <c r="S1185">
        <f>Excel_Advanced_Sales_Dataset_2000__3[[#This Row],[Quantity]]*Excel_Advanced_Sales_Dataset_2000__3[[#This Row],[Unit Price]]*Excel_Advanced_Sales_Dataset_2000__3[[#This Row],[Discount %]]/100</f>
        <v>88382.240775000013</v>
      </c>
      <c r="T1185" s="4">
        <f>Excel_Advanced_Sales_Dataset_2000__3[[#This Row],[Quantity]]*Excel_Advanced_Sales_Dataset_2000__3[[#This Row],[Unit Price]]-Excel_Advanced_Sales_Dataset_2000__3[[#This Row],[Discount Amount]]</f>
        <v>894735.00922499993</v>
      </c>
    </row>
    <row r="1186" spans="1:20" x14ac:dyDescent="0.25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>
        <v>10</v>
      </c>
      <c r="J1186" s="4">
        <v>1370.17</v>
      </c>
      <c r="K1186" s="6">
        <v>12.16</v>
      </c>
      <c r="L1186" s="4">
        <v>12035.57</v>
      </c>
      <c r="M1186" s="4" t="str" cm="1">
        <f t="array" ref="M1186">IF(Excel_Advanced_Sales_Dataset_2000__3[[#This Row],[Total Sales]]&gt;50000,{"Yes"},{"No"})</f>
        <v>No</v>
      </c>
      <c r="N1186" s="5">
        <v>46143</v>
      </c>
      <c r="O1186" s="1" t="s">
        <v>24</v>
      </c>
      <c r="P1186" t="s">
        <v>35</v>
      </c>
      <c r="Q1186" t="str">
        <f>IF(Excel_Advanced_Sales_Dataset_2000__3[[#This Row],[Delivery Status]]="Pending","Follow Up","Ok")</f>
        <v>Ok</v>
      </c>
      <c r="R1186" s="1" t="s">
        <v>36</v>
      </c>
      <c r="S1186">
        <f>Excel_Advanced_Sales_Dataset_2000__3[[#This Row],[Quantity]]*Excel_Advanced_Sales_Dataset_2000__3[[#This Row],[Unit Price]]*Excel_Advanced_Sales_Dataset_2000__3[[#This Row],[Discount %]]/100</f>
        <v>1666.1267200000002</v>
      </c>
      <c r="T1186" s="4">
        <f>Excel_Advanced_Sales_Dataset_2000__3[[#This Row],[Quantity]]*Excel_Advanced_Sales_Dataset_2000__3[[#This Row],[Unit Price]]-Excel_Advanced_Sales_Dataset_2000__3[[#This Row],[Discount Amount]]</f>
        <v>12035.573280000001</v>
      </c>
    </row>
    <row r="1187" spans="1:20" x14ac:dyDescent="0.25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>
        <v>21</v>
      </c>
      <c r="J1187" s="4">
        <v>2236.64</v>
      </c>
      <c r="K1187" s="6">
        <v>18.670000000000002</v>
      </c>
      <c r="L1187" s="4">
        <v>38200.25</v>
      </c>
      <c r="M1187" s="4" t="str" cm="1">
        <f t="array" ref="M1187">IF(Excel_Advanced_Sales_Dataset_2000__3[[#This Row],[Total Sales]]&gt;50000,{"Yes"},{"No"})</f>
        <v>No</v>
      </c>
      <c r="N1187" s="5">
        <v>46164</v>
      </c>
      <c r="O1187" s="1" t="s">
        <v>68</v>
      </c>
      <c r="P1187" t="s">
        <v>35</v>
      </c>
      <c r="Q1187" t="str">
        <f>IF(Excel_Advanced_Sales_Dataset_2000__3[[#This Row],[Delivery Status]]="Pending","Follow Up","Ok")</f>
        <v>Ok</v>
      </c>
      <c r="R1187" s="1" t="s">
        <v>53</v>
      </c>
      <c r="S1187">
        <f>Excel_Advanced_Sales_Dataset_2000__3[[#This Row],[Quantity]]*Excel_Advanced_Sales_Dataset_2000__3[[#This Row],[Unit Price]]*Excel_Advanced_Sales_Dataset_2000__3[[#This Row],[Discount %]]/100</f>
        <v>8769.1944480000002</v>
      </c>
      <c r="T1187" s="4">
        <f>Excel_Advanced_Sales_Dataset_2000__3[[#This Row],[Quantity]]*Excel_Advanced_Sales_Dataset_2000__3[[#This Row],[Unit Price]]-Excel_Advanced_Sales_Dataset_2000__3[[#This Row],[Discount Amount]]</f>
        <v>38200.245551999993</v>
      </c>
    </row>
    <row r="1188" spans="1:20" x14ac:dyDescent="0.25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>
        <v>6</v>
      </c>
      <c r="J1188" s="4">
        <v>49917.13</v>
      </c>
      <c r="K1188" s="6">
        <v>3.5</v>
      </c>
      <c r="L1188" s="4">
        <v>289020.18</v>
      </c>
      <c r="M1188" s="4" t="str" cm="1">
        <f t="array" ref="M1188">IF(Excel_Advanced_Sales_Dataset_2000__3[[#This Row],[Total Sales]]&gt;50000,{"Yes"},{"No"})</f>
        <v>Yes</v>
      </c>
      <c r="N1188" s="5">
        <v>46203</v>
      </c>
      <c r="O1188" s="1" t="s">
        <v>58</v>
      </c>
      <c r="P1188" t="s">
        <v>35</v>
      </c>
      <c r="Q1188" t="str">
        <f>IF(Excel_Advanced_Sales_Dataset_2000__3[[#This Row],[Delivery Status]]="Pending","Follow Up","Ok")</f>
        <v>Ok</v>
      </c>
      <c r="R1188" s="1" t="s">
        <v>36</v>
      </c>
      <c r="S1188">
        <f>Excel_Advanced_Sales_Dataset_2000__3[[#This Row],[Quantity]]*Excel_Advanced_Sales_Dataset_2000__3[[#This Row],[Unit Price]]*Excel_Advanced_Sales_Dataset_2000__3[[#This Row],[Discount %]]/100</f>
        <v>10482.597299999999</v>
      </c>
      <c r="T1188" s="4">
        <f>Excel_Advanced_Sales_Dataset_2000__3[[#This Row],[Quantity]]*Excel_Advanced_Sales_Dataset_2000__3[[#This Row],[Unit Price]]-Excel_Advanced_Sales_Dataset_2000__3[[#This Row],[Discount Amount]]</f>
        <v>289020.18269999995</v>
      </c>
    </row>
    <row r="1189" spans="1:20" x14ac:dyDescent="0.25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>
        <v>16</v>
      </c>
      <c r="J1189" s="4">
        <v>10315.69</v>
      </c>
      <c r="K1189" s="6">
        <v>12.77</v>
      </c>
      <c r="L1189" s="4">
        <v>143974.01999999999</v>
      </c>
      <c r="M1189" s="4" t="str" cm="1">
        <f t="array" ref="M1189">IF(Excel_Advanced_Sales_Dataset_2000__3[[#This Row],[Total Sales]]&gt;50000,{"Yes"},{"No"})</f>
        <v>Yes</v>
      </c>
      <c r="N1189" s="5">
        <v>46361</v>
      </c>
      <c r="O1189" s="1" t="s">
        <v>113</v>
      </c>
      <c r="P1189" t="s">
        <v>35</v>
      </c>
      <c r="Q1189" t="str">
        <f>IF(Excel_Advanced_Sales_Dataset_2000__3[[#This Row],[Delivery Status]]="Pending","Follow Up","Ok")</f>
        <v>Ok</v>
      </c>
      <c r="R1189" s="1" t="s">
        <v>36</v>
      </c>
      <c r="S1189">
        <f>Excel_Advanced_Sales_Dataset_2000__3[[#This Row],[Quantity]]*Excel_Advanced_Sales_Dataset_2000__3[[#This Row],[Unit Price]]*Excel_Advanced_Sales_Dataset_2000__3[[#This Row],[Discount %]]/100</f>
        <v>21077.017807999997</v>
      </c>
      <c r="T1189" s="4">
        <f>Excel_Advanced_Sales_Dataset_2000__3[[#This Row],[Quantity]]*Excel_Advanced_Sales_Dataset_2000__3[[#This Row],[Unit Price]]-Excel_Advanced_Sales_Dataset_2000__3[[#This Row],[Discount Amount]]</f>
        <v>143974.022192</v>
      </c>
    </row>
    <row r="1190" spans="1:20" x14ac:dyDescent="0.25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>
        <v>25</v>
      </c>
      <c r="J1190" s="4">
        <v>33811.86</v>
      </c>
      <c r="K1190" s="6">
        <v>13.15</v>
      </c>
      <c r="L1190" s="4">
        <v>734140.01</v>
      </c>
      <c r="M1190" s="4" t="str" cm="1">
        <f t="array" ref="M1190">IF(Excel_Advanced_Sales_Dataset_2000__3[[#This Row],[Total Sales]]&gt;50000,{"Yes"},{"No"})</f>
        <v>Yes</v>
      </c>
      <c r="N1190" s="5">
        <v>46141</v>
      </c>
      <c r="O1190" s="1" t="s">
        <v>45</v>
      </c>
      <c r="P1190" t="s">
        <v>35</v>
      </c>
      <c r="Q1190" t="str">
        <f>IF(Excel_Advanced_Sales_Dataset_2000__3[[#This Row],[Delivery Status]]="Pending","Follow Up","Ok")</f>
        <v>Ok</v>
      </c>
      <c r="R1190" s="1" t="s">
        <v>26</v>
      </c>
      <c r="S1190">
        <f>Excel_Advanced_Sales_Dataset_2000__3[[#This Row],[Quantity]]*Excel_Advanced_Sales_Dataset_2000__3[[#This Row],[Unit Price]]*Excel_Advanced_Sales_Dataset_2000__3[[#This Row],[Discount %]]/100</f>
        <v>111156.48974999999</v>
      </c>
      <c r="T1190" s="4">
        <f>Excel_Advanced_Sales_Dataset_2000__3[[#This Row],[Quantity]]*Excel_Advanced_Sales_Dataset_2000__3[[#This Row],[Unit Price]]-Excel_Advanced_Sales_Dataset_2000__3[[#This Row],[Discount Amount]]</f>
        <v>734140.01025000005</v>
      </c>
    </row>
    <row r="1191" spans="1:20" x14ac:dyDescent="0.25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>
        <v>16</v>
      </c>
      <c r="J1191" s="4">
        <v>13611.49</v>
      </c>
      <c r="K1191" s="6">
        <v>0.87</v>
      </c>
      <c r="L1191" s="4">
        <v>215889.12</v>
      </c>
      <c r="M1191" s="4" t="str" cm="1">
        <f t="array" ref="M1191">IF(Excel_Advanced_Sales_Dataset_2000__3[[#This Row],[Total Sales]]&gt;50000,{"Yes"},{"No"})</f>
        <v>Yes</v>
      </c>
      <c r="N1191" s="5">
        <v>46239</v>
      </c>
      <c r="O1191" s="1" t="s">
        <v>58</v>
      </c>
      <c r="P1191" t="s">
        <v>35</v>
      </c>
      <c r="Q1191" t="str">
        <f>IF(Excel_Advanced_Sales_Dataset_2000__3[[#This Row],[Delivery Status]]="Pending","Follow Up","Ok")</f>
        <v>Ok</v>
      </c>
      <c r="R1191" s="1" t="s">
        <v>26</v>
      </c>
      <c r="S1191">
        <f>Excel_Advanced_Sales_Dataset_2000__3[[#This Row],[Quantity]]*Excel_Advanced_Sales_Dataset_2000__3[[#This Row],[Unit Price]]*Excel_Advanced_Sales_Dataset_2000__3[[#This Row],[Discount %]]/100</f>
        <v>1894.7194079999999</v>
      </c>
      <c r="T1191" s="4">
        <f>Excel_Advanced_Sales_Dataset_2000__3[[#This Row],[Quantity]]*Excel_Advanced_Sales_Dataset_2000__3[[#This Row],[Unit Price]]-Excel_Advanced_Sales_Dataset_2000__3[[#This Row],[Discount Amount]]</f>
        <v>215889.12059199999</v>
      </c>
    </row>
    <row r="1192" spans="1:20" x14ac:dyDescent="0.25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>
        <v>15</v>
      </c>
      <c r="J1192" s="4">
        <v>43728.46</v>
      </c>
      <c r="K1192" s="6">
        <v>14.51</v>
      </c>
      <c r="L1192" s="4">
        <v>560751.91</v>
      </c>
      <c r="M1192" s="4" t="str" cm="1">
        <f t="array" ref="M1192">IF(Excel_Advanced_Sales_Dataset_2000__3[[#This Row],[Total Sales]]&gt;50000,{"Yes"},{"No"})</f>
        <v>Yes</v>
      </c>
      <c r="N1192" s="5">
        <v>46341</v>
      </c>
      <c r="O1192" s="1" t="s">
        <v>45</v>
      </c>
      <c r="P1192" t="s">
        <v>35</v>
      </c>
      <c r="Q1192" t="str">
        <f>IF(Excel_Advanced_Sales_Dataset_2000__3[[#This Row],[Delivery Status]]="Pending","Follow Up","Ok")</f>
        <v>Ok</v>
      </c>
      <c r="R1192" s="1" t="s">
        <v>36</v>
      </c>
      <c r="S1192">
        <f>Excel_Advanced_Sales_Dataset_2000__3[[#This Row],[Quantity]]*Excel_Advanced_Sales_Dataset_2000__3[[#This Row],[Unit Price]]*Excel_Advanced_Sales_Dataset_2000__3[[#This Row],[Discount %]]/100</f>
        <v>95174.993190000008</v>
      </c>
      <c r="T1192" s="4">
        <f>Excel_Advanced_Sales_Dataset_2000__3[[#This Row],[Quantity]]*Excel_Advanced_Sales_Dataset_2000__3[[#This Row],[Unit Price]]-Excel_Advanced_Sales_Dataset_2000__3[[#This Row],[Discount Amount]]</f>
        <v>560751.90681000007</v>
      </c>
    </row>
    <row r="1193" spans="1:20" x14ac:dyDescent="0.25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>
        <v>22</v>
      </c>
      <c r="J1193" s="4">
        <v>20414.7</v>
      </c>
      <c r="K1193" s="6">
        <v>15.6</v>
      </c>
      <c r="L1193" s="4">
        <v>379060.15</v>
      </c>
      <c r="M1193" s="4" t="str" cm="1">
        <f t="array" ref="M1193">IF(Excel_Advanced_Sales_Dataset_2000__3[[#This Row],[Total Sales]]&gt;50000,{"Yes"},{"No"})</f>
        <v>Yes</v>
      </c>
      <c r="N1193" s="5">
        <v>46369</v>
      </c>
      <c r="O1193" s="1" t="s">
        <v>68</v>
      </c>
      <c r="P1193" t="s">
        <v>35</v>
      </c>
      <c r="Q1193" t="str">
        <f>IF(Excel_Advanced_Sales_Dataset_2000__3[[#This Row],[Delivery Status]]="Pending","Follow Up","Ok")</f>
        <v>Ok</v>
      </c>
      <c r="R1193" s="1" t="s">
        <v>26</v>
      </c>
      <c r="S1193">
        <f>Excel_Advanced_Sales_Dataset_2000__3[[#This Row],[Quantity]]*Excel_Advanced_Sales_Dataset_2000__3[[#This Row],[Unit Price]]*Excel_Advanced_Sales_Dataset_2000__3[[#This Row],[Discount %]]/100</f>
        <v>70063.250400000004</v>
      </c>
      <c r="T1193" s="4">
        <f>Excel_Advanced_Sales_Dataset_2000__3[[#This Row],[Quantity]]*Excel_Advanced_Sales_Dataset_2000__3[[#This Row],[Unit Price]]-Excel_Advanced_Sales_Dataset_2000__3[[#This Row],[Discount Amount]]</f>
        <v>379060.1496</v>
      </c>
    </row>
    <row r="1194" spans="1:20" x14ac:dyDescent="0.25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>
        <v>3</v>
      </c>
      <c r="J1194" s="4">
        <v>9259.69</v>
      </c>
      <c r="K1194" s="6">
        <v>4.8899999999999997</v>
      </c>
      <c r="L1194" s="4">
        <v>26420.67</v>
      </c>
      <c r="M1194" s="4" t="str" cm="1">
        <f t="array" ref="M1194">IF(Excel_Advanced_Sales_Dataset_2000__3[[#This Row],[Total Sales]]&gt;50000,{"Yes"},{"No"})</f>
        <v>No</v>
      </c>
      <c r="N1194" s="5">
        <v>46156</v>
      </c>
      <c r="O1194" s="1" t="s">
        <v>68</v>
      </c>
      <c r="P1194" t="s">
        <v>25</v>
      </c>
      <c r="Q1194" t="str">
        <f>IF(Excel_Advanced_Sales_Dataset_2000__3[[#This Row],[Delivery Status]]="Pending","Follow Up","Ok")</f>
        <v>Follow Up</v>
      </c>
      <c r="R1194" s="1" t="s">
        <v>36</v>
      </c>
      <c r="S1194">
        <f>Excel_Advanced_Sales_Dataset_2000__3[[#This Row],[Quantity]]*Excel_Advanced_Sales_Dataset_2000__3[[#This Row],[Unit Price]]*Excel_Advanced_Sales_Dataset_2000__3[[#This Row],[Discount %]]/100</f>
        <v>1358.3965229999999</v>
      </c>
      <c r="T1194" s="4">
        <f>Excel_Advanced_Sales_Dataset_2000__3[[#This Row],[Quantity]]*Excel_Advanced_Sales_Dataset_2000__3[[#This Row],[Unit Price]]-Excel_Advanced_Sales_Dataset_2000__3[[#This Row],[Discount Amount]]</f>
        <v>26420.673477</v>
      </c>
    </row>
    <row r="1195" spans="1:20" x14ac:dyDescent="0.25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>
        <v>44</v>
      </c>
      <c r="J1195" s="4">
        <v>5251.12</v>
      </c>
      <c r="K1195" s="6">
        <v>13.09</v>
      </c>
      <c r="L1195" s="4">
        <v>200804.93</v>
      </c>
      <c r="M1195" s="4" t="str" cm="1">
        <f t="array" ref="M1195">IF(Excel_Advanced_Sales_Dataset_2000__3[[#This Row],[Total Sales]]&gt;50000,{"Yes"},{"No"})</f>
        <v>Yes</v>
      </c>
      <c r="N1195" s="5">
        <v>46372</v>
      </c>
      <c r="O1195" s="1" t="s">
        <v>68</v>
      </c>
      <c r="P1195" t="s">
        <v>35</v>
      </c>
      <c r="Q1195" t="str">
        <f>IF(Excel_Advanced_Sales_Dataset_2000__3[[#This Row],[Delivery Status]]="Pending","Follow Up","Ok")</f>
        <v>Ok</v>
      </c>
      <c r="R1195" s="1" t="s">
        <v>26</v>
      </c>
      <c r="S1195">
        <f>Excel_Advanced_Sales_Dataset_2000__3[[#This Row],[Quantity]]*Excel_Advanced_Sales_Dataset_2000__3[[#This Row],[Unit Price]]*Excel_Advanced_Sales_Dataset_2000__3[[#This Row],[Discount %]]/100</f>
        <v>30244.350751999998</v>
      </c>
      <c r="T1195" s="4">
        <f>Excel_Advanced_Sales_Dataset_2000__3[[#This Row],[Quantity]]*Excel_Advanced_Sales_Dataset_2000__3[[#This Row],[Unit Price]]-Excel_Advanced_Sales_Dataset_2000__3[[#This Row],[Discount Amount]]</f>
        <v>200804.929248</v>
      </c>
    </row>
    <row r="1196" spans="1:20" x14ac:dyDescent="0.25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>
        <v>30</v>
      </c>
      <c r="J1196" s="4">
        <v>29914.87</v>
      </c>
      <c r="K1196" s="6">
        <v>3.01</v>
      </c>
      <c r="L1196" s="4">
        <v>870432.97</v>
      </c>
      <c r="M1196" s="4" t="str" cm="1">
        <f t="array" ref="M1196">IF(Excel_Advanced_Sales_Dataset_2000__3[[#This Row],[Total Sales]]&gt;50000,{"Yes"},{"No"})</f>
        <v>Yes</v>
      </c>
      <c r="N1196" s="5">
        <v>46125</v>
      </c>
      <c r="O1196" s="1" t="s">
        <v>113</v>
      </c>
      <c r="P1196" t="s">
        <v>35</v>
      </c>
      <c r="Q1196" t="str">
        <f>IF(Excel_Advanced_Sales_Dataset_2000__3[[#This Row],[Delivery Status]]="Pending","Follow Up","Ok")</f>
        <v>Ok</v>
      </c>
      <c r="R1196" s="1" t="s">
        <v>53</v>
      </c>
      <c r="S1196">
        <f>Excel_Advanced_Sales_Dataset_2000__3[[#This Row],[Quantity]]*Excel_Advanced_Sales_Dataset_2000__3[[#This Row],[Unit Price]]*Excel_Advanced_Sales_Dataset_2000__3[[#This Row],[Discount %]]/100</f>
        <v>27013.12761</v>
      </c>
      <c r="T1196" s="4">
        <f>Excel_Advanced_Sales_Dataset_2000__3[[#This Row],[Quantity]]*Excel_Advanced_Sales_Dataset_2000__3[[#This Row],[Unit Price]]-Excel_Advanced_Sales_Dataset_2000__3[[#This Row],[Discount Amount]]</f>
        <v>870432.97239000001</v>
      </c>
    </row>
    <row r="1197" spans="1:20" x14ac:dyDescent="0.25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>
        <v>40</v>
      </c>
      <c r="J1197" s="4">
        <v>45166.57</v>
      </c>
      <c r="K1197" s="6">
        <v>7.87</v>
      </c>
      <c r="L1197" s="4">
        <v>1664478.44</v>
      </c>
      <c r="M1197" s="4" t="str" cm="1">
        <f t="array" ref="M1197">IF(Excel_Advanced_Sales_Dataset_2000__3[[#This Row],[Total Sales]]&gt;50000,{"Yes"},{"No"})</f>
        <v>Yes</v>
      </c>
      <c r="N1197" s="5">
        <v>46038</v>
      </c>
      <c r="O1197" s="1" t="s">
        <v>58</v>
      </c>
      <c r="P1197" t="s">
        <v>35</v>
      </c>
      <c r="Q1197" t="str">
        <f>IF(Excel_Advanced_Sales_Dataset_2000__3[[#This Row],[Delivery Status]]="Pending","Follow Up","Ok")</f>
        <v>Ok</v>
      </c>
      <c r="R1197" s="1" t="s">
        <v>26</v>
      </c>
      <c r="S1197">
        <f>Excel_Advanced_Sales_Dataset_2000__3[[#This Row],[Quantity]]*Excel_Advanced_Sales_Dataset_2000__3[[#This Row],[Unit Price]]*Excel_Advanced_Sales_Dataset_2000__3[[#This Row],[Discount %]]/100</f>
        <v>142184.36236000003</v>
      </c>
      <c r="T1197" s="4">
        <f>Excel_Advanced_Sales_Dataset_2000__3[[#This Row],[Quantity]]*Excel_Advanced_Sales_Dataset_2000__3[[#This Row],[Unit Price]]-Excel_Advanced_Sales_Dataset_2000__3[[#This Row],[Discount Amount]]</f>
        <v>1664478.4376400001</v>
      </c>
    </row>
    <row r="1198" spans="1:20" x14ac:dyDescent="0.25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>
        <v>49</v>
      </c>
      <c r="J1198" s="4">
        <v>46612.71</v>
      </c>
      <c r="K1198" s="6">
        <v>0.7</v>
      </c>
      <c r="L1198" s="4">
        <v>2268034.63</v>
      </c>
      <c r="M1198" s="4" t="str" cm="1">
        <f t="array" ref="M1198">IF(Excel_Advanced_Sales_Dataset_2000__3[[#This Row],[Total Sales]]&gt;50000,{"Yes"},{"No"})</f>
        <v>Yes</v>
      </c>
      <c r="N1198" s="5">
        <v>46190</v>
      </c>
      <c r="O1198" s="1" t="s">
        <v>58</v>
      </c>
      <c r="P1198" t="s">
        <v>35</v>
      </c>
      <c r="Q1198" t="str">
        <f>IF(Excel_Advanced_Sales_Dataset_2000__3[[#This Row],[Delivery Status]]="Pending","Follow Up","Ok")</f>
        <v>Ok</v>
      </c>
      <c r="R1198" s="1" t="s">
        <v>36</v>
      </c>
      <c r="S1198">
        <f>Excel_Advanced_Sales_Dataset_2000__3[[#This Row],[Quantity]]*Excel_Advanced_Sales_Dataset_2000__3[[#This Row],[Unit Price]]*Excel_Advanced_Sales_Dataset_2000__3[[#This Row],[Discount %]]/100</f>
        <v>15988.159529999999</v>
      </c>
      <c r="T1198" s="4">
        <f>Excel_Advanced_Sales_Dataset_2000__3[[#This Row],[Quantity]]*Excel_Advanced_Sales_Dataset_2000__3[[#This Row],[Unit Price]]-Excel_Advanced_Sales_Dataset_2000__3[[#This Row],[Discount Amount]]</f>
        <v>2268034.6304700002</v>
      </c>
    </row>
    <row r="1199" spans="1:20" x14ac:dyDescent="0.25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>
        <v>39</v>
      </c>
      <c r="J1199" s="4">
        <v>36288.83</v>
      </c>
      <c r="K1199" s="6">
        <v>13.34</v>
      </c>
      <c r="L1199" s="4">
        <v>1226468.1000000001</v>
      </c>
      <c r="M1199" s="4" t="str" cm="1">
        <f t="array" ref="M1199">IF(Excel_Advanced_Sales_Dataset_2000__3[[#This Row],[Total Sales]]&gt;50000,{"Yes"},{"No"})</f>
        <v>Yes</v>
      </c>
      <c r="N1199" s="5">
        <v>46114</v>
      </c>
      <c r="O1199" s="1" t="s">
        <v>113</v>
      </c>
      <c r="P1199" t="s">
        <v>35</v>
      </c>
      <c r="Q1199" t="str">
        <f>IF(Excel_Advanced_Sales_Dataset_2000__3[[#This Row],[Delivery Status]]="Pending","Follow Up","Ok")</f>
        <v>Ok</v>
      </c>
      <c r="R1199" s="1" t="s">
        <v>26</v>
      </c>
      <c r="S1199">
        <f>Excel_Advanced_Sales_Dataset_2000__3[[#This Row],[Quantity]]*Excel_Advanced_Sales_Dataset_2000__3[[#This Row],[Unit Price]]*Excel_Advanced_Sales_Dataset_2000__3[[#This Row],[Discount %]]/100</f>
        <v>188796.26695800002</v>
      </c>
      <c r="T1199" s="4">
        <f>Excel_Advanced_Sales_Dataset_2000__3[[#This Row],[Quantity]]*Excel_Advanced_Sales_Dataset_2000__3[[#This Row],[Unit Price]]-Excel_Advanced_Sales_Dataset_2000__3[[#This Row],[Discount Amount]]</f>
        <v>1226468.103042</v>
      </c>
    </row>
    <row r="1200" spans="1:20" x14ac:dyDescent="0.25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>
        <v>32</v>
      </c>
      <c r="J1200" s="4">
        <v>1177.8699999999999</v>
      </c>
      <c r="K1200" s="6">
        <v>17.45</v>
      </c>
      <c r="L1200" s="4">
        <v>31114.61</v>
      </c>
      <c r="M1200" s="4" t="str" cm="1">
        <f t="array" ref="M1200">IF(Excel_Advanced_Sales_Dataset_2000__3[[#This Row],[Total Sales]]&gt;50000,{"Yes"},{"No"})</f>
        <v>No</v>
      </c>
      <c r="N1200" s="5">
        <v>46105</v>
      </c>
      <c r="O1200" s="1" t="s">
        <v>24</v>
      </c>
      <c r="P1200" t="s">
        <v>35</v>
      </c>
      <c r="Q1200" t="str">
        <f>IF(Excel_Advanced_Sales_Dataset_2000__3[[#This Row],[Delivery Status]]="Pending","Follow Up","Ok")</f>
        <v>Ok</v>
      </c>
      <c r="R1200" s="1" t="s">
        <v>26</v>
      </c>
      <c r="S1200">
        <f>Excel_Advanced_Sales_Dataset_2000__3[[#This Row],[Quantity]]*Excel_Advanced_Sales_Dataset_2000__3[[#This Row],[Unit Price]]*Excel_Advanced_Sales_Dataset_2000__3[[#This Row],[Discount %]]/100</f>
        <v>6577.2260799999985</v>
      </c>
      <c r="T1200" s="4">
        <f>Excel_Advanced_Sales_Dataset_2000__3[[#This Row],[Quantity]]*Excel_Advanced_Sales_Dataset_2000__3[[#This Row],[Unit Price]]-Excel_Advanced_Sales_Dataset_2000__3[[#This Row],[Discount Amount]]</f>
        <v>31114.613919999996</v>
      </c>
    </row>
    <row r="1201" spans="1:20" x14ac:dyDescent="0.25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>
        <v>47</v>
      </c>
      <c r="J1201" s="4">
        <v>35700.53</v>
      </c>
      <c r="K1201" s="6">
        <v>19.8</v>
      </c>
      <c r="L1201" s="4">
        <v>1345695.78</v>
      </c>
      <c r="M1201" s="4" t="str" cm="1">
        <f t="array" ref="M1201">IF(Excel_Advanced_Sales_Dataset_2000__3[[#This Row],[Total Sales]]&gt;50000,{"Yes"},{"No"})</f>
        <v>Yes</v>
      </c>
      <c r="N1201" s="5">
        <v>46364</v>
      </c>
      <c r="O1201" s="1" t="s">
        <v>113</v>
      </c>
      <c r="P1201" t="s">
        <v>59</v>
      </c>
      <c r="Q1201" t="str">
        <f>IF(Excel_Advanced_Sales_Dataset_2000__3[[#This Row],[Delivery Status]]="Pending","Follow Up","Ok")</f>
        <v>Ok</v>
      </c>
      <c r="R1201" s="1" t="s">
        <v>36</v>
      </c>
      <c r="S1201">
        <f>Excel_Advanced_Sales_Dataset_2000__3[[#This Row],[Quantity]]*Excel_Advanced_Sales_Dataset_2000__3[[#This Row],[Unit Price]]*Excel_Advanced_Sales_Dataset_2000__3[[#This Row],[Discount %]]/100</f>
        <v>332229.13217999996</v>
      </c>
      <c r="T1201" s="4">
        <f>Excel_Advanced_Sales_Dataset_2000__3[[#This Row],[Quantity]]*Excel_Advanced_Sales_Dataset_2000__3[[#This Row],[Unit Price]]-Excel_Advanced_Sales_Dataset_2000__3[[#This Row],[Discount Amount]]</f>
        <v>1345695.77782</v>
      </c>
    </row>
    <row r="1202" spans="1:20" x14ac:dyDescent="0.25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>
        <v>28</v>
      </c>
      <c r="J1202" s="4">
        <v>38636.620000000003</v>
      </c>
      <c r="K1202" s="6">
        <v>4.17</v>
      </c>
      <c r="L1202" s="4">
        <v>1036713.24</v>
      </c>
      <c r="M1202" s="4" t="str" cm="1">
        <f t="array" ref="M1202">IF(Excel_Advanced_Sales_Dataset_2000__3[[#This Row],[Total Sales]]&gt;50000,{"Yes"},{"No"})</f>
        <v>Yes</v>
      </c>
      <c r="N1202" s="5">
        <v>46147</v>
      </c>
      <c r="O1202" s="1" t="s">
        <v>24</v>
      </c>
      <c r="P1202" t="s">
        <v>35</v>
      </c>
      <c r="Q1202" t="str">
        <f>IF(Excel_Advanced_Sales_Dataset_2000__3[[#This Row],[Delivery Status]]="Pending","Follow Up","Ok")</f>
        <v>Ok</v>
      </c>
      <c r="R1202" s="1" t="s">
        <v>36</v>
      </c>
      <c r="S1202">
        <f>Excel_Advanced_Sales_Dataset_2000__3[[#This Row],[Quantity]]*Excel_Advanced_Sales_Dataset_2000__3[[#This Row],[Unit Price]]*Excel_Advanced_Sales_Dataset_2000__3[[#This Row],[Discount %]]/100</f>
        <v>45112.117512000004</v>
      </c>
      <c r="T1202" s="4">
        <f>Excel_Advanced_Sales_Dataset_2000__3[[#This Row],[Quantity]]*Excel_Advanced_Sales_Dataset_2000__3[[#This Row],[Unit Price]]-Excel_Advanced_Sales_Dataset_2000__3[[#This Row],[Discount Amount]]</f>
        <v>1036713.2424880001</v>
      </c>
    </row>
    <row r="1203" spans="1:20" x14ac:dyDescent="0.25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>
        <v>8</v>
      </c>
      <c r="J1203" s="4">
        <v>26558.38</v>
      </c>
      <c r="K1203" s="6">
        <v>0.21</v>
      </c>
      <c r="L1203" s="4">
        <v>212020.86</v>
      </c>
      <c r="M1203" s="4" t="str" cm="1">
        <f t="array" ref="M1203">IF(Excel_Advanced_Sales_Dataset_2000__3[[#This Row],[Total Sales]]&gt;50000,{"Yes"},{"No"})</f>
        <v>Yes</v>
      </c>
      <c r="N1203" s="5">
        <v>46321</v>
      </c>
      <c r="O1203" s="1" t="s">
        <v>24</v>
      </c>
      <c r="P1203" t="s">
        <v>59</v>
      </c>
      <c r="Q1203" t="str">
        <f>IF(Excel_Advanced_Sales_Dataset_2000__3[[#This Row],[Delivery Status]]="Pending","Follow Up","Ok")</f>
        <v>Ok</v>
      </c>
      <c r="R1203" s="1" t="s">
        <v>36</v>
      </c>
      <c r="S1203">
        <f>Excel_Advanced_Sales_Dataset_2000__3[[#This Row],[Quantity]]*Excel_Advanced_Sales_Dataset_2000__3[[#This Row],[Unit Price]]*Excel_Advanced_Sales_Dataset_2000__3[[#This Row],[Discount %]]/100</f>
        <v>446.18078399999996</v>
      </c>
      <c r="T1203" s="4">
        <f>Excel_Advanced_Sales_Dataset_2000__3[[#This Row],[Quantity]]*Excel_Advanced_Sales_Dataset_2000__3[[#This Row],[Unit Price]]-Excel_Advanced_Sales_Dataset_2000__3[[#This Row],[Discount Amount]]</f>
        <v>212020.85921600001</v>
      </c>
    </row>
    <row r="1204" spans="1:20" x14ac:dyDescent="0.25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>
        <v>30</v>
      </c>
      <c r="J1204" s="4">
        <v>7811.83</v>
      </c>
      <c r="K1204" s="6">
        <v>3.89</v>
      </c>
      <c r="L1204" s="4">
        <v>225238.49</v>
      </c>
      <c r="M1204" s="4" t="str" cm="1">
        <f t="array" ref="M1204">IF(Excel_Advanced_Sales_Dataset_2000__3[[#This Row],[Total Sales]]&gt;50000,{"Yes"},{"No"})</f>
        <v>Yes</v>
      </c>
      <c r="N1204" s="5">
        <v>46065</v>
      </c>
      <c r="O1204" s="1" t="s">
        <v>24</v>
      </c>
      <c r="P1204" t="s">
        <v>35</v>
      </c>
      <c r="Q1204" t="str">
        <f>IF(Excel_Advanced_Sales_Dataset_2000__3[[#This Row],[Delivery Status]]="Pending","Follow Up","Ok")</f>
        <v>Ok</v>
      </c>
      <c r="R1204" s="1" t="s">
        <v>36</v>
      </c>
      <c r="S1204">
        <f>Excel_Advanced_Sales_Dataset_2000__3[[#This Row],[Quantity]]*Excel_Advanced_Sales_Dataset_2000__3[[#This Row],[Unit Price]]*Excel_Advanced_Sales_Dataset_2000__3[[#This Row],[Discount %]]/100</f>
        <v>9116.4056099999998</v>
      </c>
      <c r="T1204" s="4">
        <f>Excel_Advanced_Sales_Dataset_2000__3[[#This Row],[Quantity]]*Excel_Advanced_Sales_Dataset_2000__3[[#This Row],[Unit Price]]-Excel_Advanced_Sales_Dataset_2000__3[[#This Row],[Discount Amount]]</f>
        <v>225238.49439000001</v>
      </c>
    </row>
    <row r="1205" spans="1:20" x14ac:dyDescent="0.25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>
        <v>30</v>
      </c>
      <c r="J1205" s="4">
        <v>11169.64</v>
      </c>
      <c r="K1205" s="6">
        <v>13.15</v>
      </c>
      <c r="L1205" s="4">
        <v>291024.96999999997</v>
      </c>
      <c r="M1205" s="4" t="str" cm="1">
        <f t="array" ref="M1205">IF(Excel_Advanced_Sales_Dataset_2000__3[[#This Row],[Total Sales]]&gt;50000,{"Yes"},{"No"})</f>
        <v>Yes</v>
      </c>
      <c r="N1205" s="5">
        <v>46198</v>
      </c>
      <c r="O1205" s="1" t="s">
        <v>113</v>
      </c>
      <c r="P1205" t="s">
        <v>35</v>
      </c>
      <c r="Q1205" t="str">
        <f>IF(Excel_Advanced_Sales_Dataset_2000__3[[#This Row],[Delivery Status]]="Pending","Follow Up","Ok")</f>
        <v>Ok</v>
      </c>
      <c r="R1205" s="1" t="s">
        <v>53</v>
      </c>
      <c r="S1205">
        <f>Excel_Advanced_Sales_Dataset_2000__3[[#This Row],[Quantity]]*Excel_Advanced_Sales_Dataset_2000__3[[#This Row],[Unit Price]]*Excel_Advanced_Sales_Dataset_2000__3[[#This Row],[Discount %]]/100</f>
        <v>44064.229799999994</v>
      </c>
      <c r="T1205" s="4">
        <f>Excel_Advanced_Sales_Dataset_2000__3[[#This Row],[Quantity]]*Excel_Advanced_Sales_Dataset_2000__3[[#This Row],[Unit Price]]-Excel_Advanced_Sales_Dataset_2000__3[[#This Row],[Discount Amount]]</f>
        <v>291024.97019999998</v>
      </c>
    </row>
    <row r="1206" spans="1:20" x14ac:dyDescent="0.25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>
        <v>30</v>
      </c>
      <c r="J1206" s="4">
        <v>16671.810000000001</v>
      </c>
      <c r="K1206" s="6">
        <v>3.71</v>
      </c>
      <c r="L1206" s="4">
        <v>481598.58</v>
      </c>
      <c r="M1206" s="4" t="str" cm="1">
        <f t="array" ref="M1206">IF(Excel_Advanced_Sales_Dataset_2000__3[[#This Row],[Total Sales]]&gt;50000,{"Yes"},{"No"})</f>
        <v>Yes</v>
      </c>
      <c r="N1206" s="5">
        <v>46215</v>
      </c>
      <c r="O1206" s="1" t="s">
        <v>24</v>
      </c>
      <c r="P1206" t="s">
        <v>35</v>
      </c>
      <c r="Q1206" t="str">
        <f>IF(Excel_Advanced_Sales_Dataset_2000__3[[#This Row],[Delivery Status]]="Pending","Follow Up","Ok")</f>
        <v>Ok</v>
      </c>
      <c r="R1206" s="1" t="s">
        <v>26</v>
      </c>
      <c r="S1206">
        <f>Excel_Advanced_Sales_Dataset_2000__3[[#This Row],[Quantity]]*Excel_Advanced_Sales_Dataset_2000__3[[#This Row],[Unit Price]]*Excel_Advanced_Sales_Dataset_2000__3[[#This Row],[Discount %]]/100</f>
        <v>18555.724530000003</v>
      </c>
      <c r="T1206" s="4">
        <f>Excel_Advanced_Sales_Dataset_2000__3[[#This Row],[Quantity]]*Excel_Advanced_Sales_Dataset_2000__3[[#This Row],[Unit Price]]-Excel_Advanced_Sales_Dataset_2000__3[[#This Row],[Discount Amount]]</f>
        <v>481598.57547000004</v>
      </c>
    </row>
    <row r="1207" spans="1:20" x14ac:dyDescent="0.25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>
        <v>25</v>
      </c>
      <c r="J1207" s="4">
        <v>37338.15</v>
      </c>
      <c r="K1207" s="6">
        <v>17.350000000000001</v>
      </c>
      <c r="L1207" s="4">
        <v>771499.52000000002</v>
      </c>
      <c r="M1207" s="4" t="str" cm="1">
        <f t="array" ref="M1207">IF(Excel_Advanced_Sales_Dataset_2000__3[[#This Row],[Total Sales]]&gt;50000,{"Yes"},{"No"})</f>
        <v>Yes</v>
      </c>
      <c r="N1207" s="5">
        <v>46104</v>
      </c>
      <c r="O1207" s="1" t="s">
        <v>68</v>
      </c>
      <c r="P1207" t="s">
        <v>35</v>
      </c>
      <c r="Q1207" t="str">
        <f>IF(Excel_Advanced_Sales_Dataset_2000__3[[#This Row],[Delivery Status]]="Pending","Follow Up","Ok")</f>
        <v>Ok</v>
      </c>
      <c r="R1207" s="1" t="s">
        <v>53</v>
      </c>
      <c r="S1207">
        <f>Excel_Advanced_Sales_Dataset_2000__3[[#This Row],[Quantity]]*Excel_Advanced_Sales_Dataset_2000__3[[#This Row],[Unit Price]]*Excel_Advanced_Sales_Dataset_2000__3[[#This Row],[Discount %]]/100</f>
        <v>161954.22562500002</v>
      </c>
      <c r="T1207" s="4">
        <f>Excel_Advanced_Sales_Dataset_2000__3[[#This Row],[Quantity]]*Excel_Advanced_Sales_Dataset_2000__3[[#This Row],[Unit Price]]-Excel_Advanced_Sales_Dataset_2000__3[[#This Row],[Discount Amount]]</f>
        <v>771499.52437500004</v>
      </c>
    </row>
    <row r="1208" spans="1:20" x14ac:dyDescent="0.25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>
        <v>19</v>
      </c>
      <c r="J1208" s="4">
        <v>20626.919999999998</v>
      </c>
      <c r="K1208" s="6">
        <v>8.48</v>
      </c>
      <c r="L1208" s="4">
        <v>358677.39</v>
      </c>
      <c r="M1208" s="4" t="str" cm="1">
        <f t="array" ref="M1208">IF(Excel_Advanced_Sales_Dataset_2000__3[[#This Row],[Total Sales]]&gt;50000,{"Yes"},{"No"})</f>
        <v>Yes</v>
      </c>
      <c r="N1208" s="5">
        <v>46207</v>
      </c>
      <c r="O1208" s="1" t="s">
        <v>68</v>
      </c>
      <c r="P1208" t="s">
        <v>35</v>
      </c>
      <c r="Q1208" t="str">
        <f>IF(Excel_Advanced_Sales_Dataset_2000__3[[#This Row],[Delivery Status]]="Pending","Follow Up","Ok")</f>
        <v>Ok</v>
      </c>
      <c r="R1208" s="1" t="s">
        <v>26</v>
      </c>
      <c r="S1208">
        <f>Excel_Advanced_Sales_Dataset_2000__3[[#This Row],[Quantity]]*Excel_Advanced_Sales_Dataset_2000__3[[#This Row],[Unit Price]]*Excel_Advanced_Sales_Dataset_2000__3[[#This Row],[Discount %]]/100</f>
        <v>33234.093503999997</v>
      </c>
      <c r="T1208" s="4">
        <f>Excel_Advanced_Sales_Dataset_2000__3[[#This Row],[Quantity]]*Excel_Advanced_Sales_Dataset_2000__3[[#This Row],[Unit Price]]-Excel_Advanced_Sales_Dataset_2000__3[[#This Row],[Discount Amount]]</f>
        <v>358677.38649599999</v>
      </c>
    </row>
    <row r="1209" spans="1:20" x14ac:dyDescent="0.25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>
        <v>15</v>
      </c>
      <c r="J1209" s="4">
        <v>1171.17</v>
      </c>
      <c r="K1209" s="6">
        <v>10.14</v>
      </c>
      <c r="L1209" s="4">
        <v>15786.2</v>
      </c>
      <c r="M1209" s="4" t="str" cm="1">
        <f t="array" ref="M1209">IF(Excel_Advanced_Sales_Dataset_2000__3[[#This Row],[Total Sales]]&gt;50000,{"Yes"},{"No"})</f>
        <v>No</v>
      </c>
      <c r="N1209" s="5">
        <v>46045</v>
      </c>
      <c r="O1209" s="1" t="s">
        <v>68</v>
      </c>
      <c r="P1209" t="s">
        <v>35</v>
      </c>
      <c r="Q1209" t="str">
        <f>IF(Excel_Advanced_Sales_Dataset_2000__3[[#This Row],[Delivery Status]]="Pending","Follow Up","Ok")</f>
        <v>Ok</v>
      </c>
      <c r="R1209" s="1" t="s">
        <v>53</v>
      </c>
      <c r="S1209">
        <f>Excel_Advanced_Sales_Dataset_2000__3[[#This Row],[Quantity]]*Excel_Advanced_Sales_Dataset_2000__3[[#This Row],[Unit Price]]*Excel_Advanced_Sales_Dataset_2000__3[[#This Row],[Discount %]]/100</f>
        <v>1781.3495700000005</v>
      </c>
      <c r="T1209" s="4">
        <f>Excel_Advanced_Sales_Dataset_2000__3[[#This Row],[Quantity]]*Excel_Advanced_Sales_Dataset_2000__3[[#This Row],[Unit Price]]-Excel_Advanced_Sales_Dataset_2000__3[[#This Row],[Discount Amount]]</f>
        <v>15786.200430000003</v>
      </c>
    </row>
    <row r="1210" spans="1:20" x14ac:dyDescent="0.25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>
        <v>45</v>
      </c>
      <c r="J1210" s="4">
        <v>32250.23</v>
      </c>
      <c r="K1210" s="6">
        <v>2.5</v>
      </c>
      <c r="L1210" s="4">
        <v>1414978.84</v>
      </c>
      <c r="M1210" s="4" t="str" cm="1">
        <f t="array" ref="M1210">IF(Excel_Advanced_Sales_Dataset_2000__3[[#This Row],[Total Sales]]&gt;50000,{"Yes"},{"No"})</f>
        <v>Yes</v>
      </c>
      <c r="N1210" s="5">
        <v>46025</v>
      </c>
      <c r="O1210" s="1" t="s">
        <v>68</v>
      </c>
      <c r="P1210" t="s">
        <v>35</v>
      </c>
      <c r="Q1210" t="str">
        <f>IF(Excel_Advanced_Sales_Dataset_2000__3[[#This Row],[Delivery Status]]="Pending","Follow Up","Ok")</f>
        <v>Ok</v>
      </c>
      <c r="R1210" s="1" t="s">
        <v>36</v>
      </c>
      <c r="S1210">
        <f>Excel_Advanced_Sales_Dataset_2000__3[[#This Row],[Quantity]]*Excel_Advanced_Sales_Dataset_2000__3[[#This Row],[Unit Price]]*Excel_Advanced_Sales_Dataset_2000__3[[#This Row],[Discount %]]/100</f>
        <v>36281.508750000001</v>
      </c>
      <c r="T1210" s="4">
        <f>Excel_Advanced_Sales_Dataset_2000__3[[#This Row],[Quantity]]*Excel_Advanced_Sales_Dataset_2000__3[[#This Row],[Unit Price]]-Excel_Advanced_Sales_Dataset_2000__3[[#This Row],[Discount Amount]]</f>
        <v>1414978.8412500001</v>
      </c>
    </row>
    <row r="1211" spans="1:20" x14ac:dyDescent="0.25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>
        <v>16</v>
      </c>
      <c r="J1211" s="4">
        <v>48434.1</v>
      </c>
      <c r="K1211" s="6">
        <v>1.47</v>
      </c>
      <c r="L1211" s="4">
        <v>763553.9</v>
      </c>
      <c r="M1211" s="4" t="str" cm="1">
        <f t="array" ref="M1211">IF(Excel_Advanced_Sales_Dataset_2000__3[[#This Row],[Total Sales]]&gt;50000,{"Yes"},{"No"})</f>
        <v>Yes</v>
      </c>
      <c r="N1211" s="5">
        <v>46272</v>
      </c>
      <c r="O1211" s="1" t="s">
        <v>68</v>
      </c>
      <c r="P1211" t="s">
        <v>35</v>
      </c>
      <c r="Q1211" t="str">
        <f>IF(Excel_Advanced_Sales_Dataset_2000__3[[#This Row],[Delivery Status]]="Pending","Follow Up","Ok")</f>
        <v>Ok</v>
      </c>
      <c r="R1211" s="1" t="s">
        <v>53</v>
      </c>
      <c r="S1211">
        <f>Excel_Advanced_Sales_Dataset_2000__3[[#This Row],[Quantity]]*Excel_Advanced_Sales_Dataset_2000__3[[#This Row],[Unit Price]]*Excel_Advanced_Sales_Dataset_2000__3[[#This Row],[Discount %]]/100</f>
        <v>11391.700319999998</v>
      </c>
      <c r="T1211" s="4">
        <f>Excel_Advanced_Sales_Dataset_2000__3[[#This Row],[Quantity]]*Excel_Advanced_Sales_Dataset_2000__3[[#This Row],[Unit Price]]-Excel_Advanced_Sales_Dataset_2000__3[[#This Row],[Discount Amount]]</f>
        <v>763553.89968000003</v>
      </c>
    </row>
    <row r="1212" spans="1:20" x14ac:dyDescent="0.25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>
        <v>16</v>
      </c>
      <c r="J1212" s="4">
        <v>29269.33</v>
      </c>
      <c r="K1212" s="6">
        <v>10.54</v>
      </c>
      <c r="L1212" s="4">
        <v>418949.48</v>
      </c>
      <c r="M1212" s="4" t="str" cm="1">
        <f t="array" ref="M1212">IF(Excel_Advanced_Sales_Dataset_2000__3[[#This Row],[Total Sales]]&gt;50000,{"Yes"},{"No"})</f>
        <v>Yes</v>
      </c>
      <c r="N1212" s="5">
        <v>46302</v>
      </c>
      <c r="O1212" s="1" t="s">
        <v>24</v>
      </c>
      <c r="P1212" t="s">
        <v>35</v>
      </c>
      <c r="Q1212" t="str">
        <f>IF(Excel_Advanced_Sales_Dataset_2000__3[[#This Row],[Delivery Status]]="Pending","Follow Up","Ok")</f>
        <v>Ok</v>
      </c>
      <c r="R1212" s="1" t="s">
        <v>26</v>
      </c>
      <c r="S1212">
        <f>Excel_Advanced_Sales_Dataset_2000__3[[#This Row],[Quantity]]*Excel_Advanced_Sales_Dataset_2000__3[[#This Row],[Unit Price]]*Excel_Advanced_Sales_Dataset_2000__3[[#This Row],[Discount %]]/100</f>
        <v>49359.798112000004</v>
      </c>
      <c r="T1212" s="4">
        <f>Excel_Advanced_Sales_Dataset_2000__3[[#This Row],[Quantity]]*Excel_Advanced_Sales_Dataset_2000__3[[#This Row],[Unit Price]]-Excel_Advanced_Sales_Dataset_2000__3[[#This Row],[Discount Amount]]</f>
        <v>418949.48188800004</v>
      </c>
    </row>
    <row r="1213" spans="1:20" x14ac:dyDescent="0.25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>
        <v>28</v>
      </c>
      <c r="J1213" s="4">
        <v>14551.19</v>
      </c>
      <c r="K1213" s="6">
        <v>7.37</v>
      </c>
      <c r="L1213" s="4">
        <v>377405.48</v>
      </c>
      <c r="M1213" s="4" t="str" cm="1">
        <f t="array" ref="M1213">IF(Excel_Advanced_Sales_Dataset_2000__3[[#This Row],[Total Sales]]&gt;50000,{"Yes"},{"No"})</f>
        <v>Yes</v>
      </c>
      <c r="N1213" s="5">
        <v>46069</v>
      </c>
      <c r="O1213" s="1" t="s">
        <v>45</v>
      </c>
      <c r="P1213" t="s">
        <v>35</v>
      </c>
      <c r="Q1213" t="str">
        <f>IF(Excel_Advanced_Sales_Dataset_2000__3[[#This Row],[Delivery Status]]="Pending","Follow Up","Ok")</f>
        <v>Ok</v>
      </c>
      <c r="R1213" s="1" t="s">
        <v>36</v>
      </c>
      <c r="S1213">
        <f>Excel_Advanced_Sales_Dataset_2000__3[[#This Row],[Quantity]]*Excel_Advanced_Sales_Dataset_2000__3[[#This Row],[Unit Price]]*Excel_Advanced_Sales_Dataset_2000__3[[#This Row],[Discount %]]/100</f>
        <v>30027.835684000001</v>
      </c>
      <c r="T1213" s="4">
        <f>Excel_Advanced_Sales_Dataset_2000__3[[#This Row],[Quantity]]*Excel_Advanced_Sales_Dataset_2000__3[[#This Row],[Unit Price]]-Excel_Advanced_Sales_Dataset_2000__3[[#This Row],[Discount Amount]]</f>
        <v>377405.48431600002</v>
      </c>
    </row>
    <row r="1214" spans="1:20" x14ac:dyDescent="0.25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>
        <v>47</v>
      </c>
      <c r="J1214" s="4">
        <v>40327.03</v>
      </c>
      <c r="K1214" s="6">
        <v>10.91</v>
      </c>
      <c r="L1214" s="4">
        <v>1688585.5</v>
      </c>
      <c r="M1214" s="4" t="str" cm="1">
        <f t="array" ref="M1214">IF(Excel_Advanced_Sales_Dataset_2000__3[[#This Row],[Total Sales]]&gt;50000,{"Yes"},{"No"})</f>
        <v>Yes</v>
      </c>
      <c r="N1214" s="5">
        <v>46333</v>
      </c>
      <c r="O1214" s="1" t="s">
        <v>24</v>
      </c>
      <c r="P1214" t="s">
        <v>35</v>
      </c>
      <c r="Q1214" t="str">
        <f>IF(Excel_Advanced_Sales_Dataset_2000__3[[#This Row],[Delivery Status]]="Pending","Follow Up","Ok")</f>
        <v>Ok</v>
      </c>
      <c r="R1214" s="1" t="s">
        <v>53</v>
      </c>
      <c r="S1214">
        <f>Excel_Advanced_Sales_Dataset_2000__3[[#This Row],[Quantity]]*Excel_Advanced_Sales_Dataset_2000__3[[#This Row],[Unit Price]]*Excel_Advanced_Sales_Dataset_2000__3[[#This Row],[Discount %]]/100</f>
        <v>206784.91173099997</v>
      </c>
      <c r="T1214" s="4">
        <f>Excel_Advanced_Sales_Dataset_2000__3[[#This Row],[Quantity]]*Excel_Advanced_Sales_Dataset_2000__3[[#This Row],[Unit Price]]-Excel_Advanced_Sales_Dataset_2000__3[[#This Row],[Discount Amount]]</f>
        <v>1688585.4982689999</v>
      </c>
    </row>
    <row r="1215" spans="1:20" x14ac:dyDescent="0.25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>
        <v>24</v>
      </c>
      <c r="J1215" s="4">
        <v>6386.8</v>
      </c>
      <c r="K1215" s="6">
        <v>12.11</v>
      </c>
      <c r="L1215" s="4">
        <v>134720.6</v>
      </c>
      <c r="M1215" s="4" t="str" cm="1">
        <f t="array" ref="M1215">IF(Excel_Advanced_Sales_Dataset_2000__3[[#This Row],[Total Sales]]&gt;50000,{"Yes"},{"No"})</f>
        <v>Yes</v>
      </c>
      <c r="N1215" s="5">
        <v>46048</v>
      </c>
      <c r="O1215" s="1" t="s">
        <v>58</v>
      </c>
      <c r="P1215" t="s">
        <v>35</v>
      </c>
      <c r="Q1215" t="str">
        <f>IF(Excel_Advanced_Sales_Dataset_2000__3[[#This Row],[Delivery Status]]="Pending","Follow Up","Ok")</f>
        <v>Ok</v>
      </c>
      <c r="R1215" s="1" t="s">
        <v>36</v>
      </c>
      <c r="S1215">
        <f>Excel_Advanced_Sales_Dataset_2000__3[[#This Row],[Quantity]]*Excel_Advanced_Sales_Dataset_2000__3[[#This Row],[Unit Price]]*Excel_Advanced_Sales_Dataset_2000__3[[#This Row],[Discount %]]/100</f>
        <v>18562.595520000003</v>
      </c>
      <c r="T1215" s="4">
        <f>Excel_Advanced_Sales_Dataset_2000__3[[#This Row],[Quantity]]*Excel_Advanced_Sales_Dataset_2000__3[[#This Row],[Unit Price]]-Excel_Advanced_Sales_Dataset_2000__3[[#This Row],[Discount Amount]]</f>
        <v>134720.60448000001</v>
      </c>
    </row>
    <row r="1216" spans="1:20" x14ac:dyDescent="0.25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>
        <v>50</v>
      </c>
      <c r="J1216" s="4">
        <v>3279.11</v>
      </c>
      <c r="K1216" s="6">
        <v>7.91</v>
      </c>
      <c r="L1216" s="4">
        <v>150986.62</v>
      </c>
      <c r="M1216" s="4" t="str" cm="1">
        <f t="array" ref="M1216">IF(Excel_Advanced_Sales_Dataset_2000__3[[#This Row],[Total Sales]]&gt;50000,{"Yes"},{"No"})</f>
        <v>Yes</v>
      </c>
      <c r="N1216" s="5">
        <v>46191</v>
      </c>
      <c r="O1216" s="1" t="s">
        <v>45</v>
      </c>
      <c r="P1216" t="s">
        <v>35</v>
      </c>
      <c r="Q1216" t="str">
        <f>IF(Excel_Advanced_Sales_Dataset_2000__3[[#This Row],[Delivery Status]]="Pending","Follow Up","Ok")</f>
        <v>Ok</v>
      </c>
      <c r="R1216" s="1" t="s">
        <v>26</v>
      </c>
      <c r="S1216">
        <f>Excel_Advanced_Sales_Dataset_2000__3[[#This Row],[Quantity]]*Excel_Advanced_Sales_Dataset_2000__3[[#This Row],[Unit Price]]*Excel_Advanced_Sales_Dataset_2000__3[[#This Row],[Discount %]]/100</f>
        <v>12968.880050000002</v>
      </c>
      <c r="T1216" s="4">
        <f>Excel_Advanced_Sales_Dataset_2000__3[[#This Row],[Quantity]]*Excel_Advanced_Sales_Dataset_2000__3[[#This Row],[Unit Price]]-Excel_Advanced_Sales_Dataset_2000__3[[#This Row],[Discount Amount]]</f>
        <v>150986.61994999999</v>
      </c>
    </row>
    <row r="1217" spans="1:20" x14ac:dyDescent="0.25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>
        <v>18</v>
      </c>
      <c r="J1217" s="4">
        <v>9719.5400000000009</v>
      </c>
      <c r="K1217" s="6">
        <v>17.66</v>
      </c>
      <c r="L1217" s="4">
        <v>144055.25</v>
      </c>
      <c r="M1217" s="4" t="str" cm="1">
        <f t="array" ref="M1217">IF(Excel_Advanced_Sales_Dataset_2000__3[[#This Row],[Total Sales]]&gt;50000,{"Yes"},{"No"})</f>
        <v>Yes</v>
      </c>
      <c r="N1217" s="5">
        <v>46103</v>
      </c>
      <c r="O1217" s="1" t="s">
        <v>24</v>
      </c>
      <c r="P1217" t="s">
        <v>35</v>
      </c>
      <c r="Q1217" t="str">
        <f>IF(Excel_Advanced_Sales_Dataset_2000__3[[#This Row],[Delivery Status]]="Pending","Follow Up","Ok")</f>
        <v>Ok</v>
      </c>
      <c r="R1217" s="1" t="s">
        <v>36</v>
      </c>
      <c r="S1217">
        <f>Excel_Advanced_Sales_Dataset_2000__3[[#This Row],[Quantity]]*Excel_Advanced_Sales_Dataset_2000__3[[#This Row],[Unit Price]]*Excel_Advanced_Sales_Dataset_2000__3[[#This Row],[Discount %]]/100</f>
        <v>30896.473752000005</v>
      </c>
      <c r="T1217" s="4">
        <f>Excel_Advanced_Sales_Dataset_2000__3[[#This Row],[Quantity]]*Excel_Advanced_Sales_Dataset_2000__3[[#This Row],[Unit Price]]-Excel_Advanced_Sales_Dataset_2000__3[[#This Row],[Discount Amount]]</f>
        <v>144055.24624800001</v>
      </c>
    </row>
    <row r="1218" spans="1:20" x14ac:dyDescent="0.25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>
        <v>10</v>
      </c>
      <c r="J1218" s="4">
        <v>41777.440000000002</v>
      </c>
      <c r="K1218" s="6">
        <v>18.78</v>
      </c>
      <c r="L1218" s="4">
        <v>339316.37</v>
      </c>
      <c r="M1218" s="4" t="str" cm="1">
        <f t="array" ref="M1218">IF(Excel_Advanced_Sales_Dataset_2000__3[[#This Row],[Total Sales]]&gt;50000,{"Yes"},{"No"})</f>
        <v>Yes</v>
      </c>
      <c r="N1218" s="5">
        <v>46275</v>
      </c>
      <c r="O1218" s="1" t="s">
        <v>113</v>
      </c>
      <c r="P1218" t="s">
        <v>35</v>
      </c>
      <c r="Q1218" t="str">
        <f>IF(Excel_Advanced_Sales_Dataset_2000__3[[#This Row],[Delivery Status]]="Pending","Follow Up","Ok")</f>
        <v>Ok</v>
      </c>
      <c r="R1218" s="1" t="s">
        <v>36</v>
      </c>
      <c r="S1218">
        <f>Excel_Advanced_Sales_Dataset_2000__3[[#This Row],[Quantity]]*Excel_Advanced_Sales_Dataset_2000__3[[#This Row],[Unit Price]]*Excel_Advanced_Sales_Dataset_2000__3[[#This Row],[Discount %]]/100</f>
        <v>78458.032320000013</v>
      </c>
      <c r="T1218" s="4">
        <f>Excel_Advanced_Sales_Dataset_2000__3[[#This Row],[Quantity]]*Excel_Advanced_Sales_Dataset_2000__3[[#This Row],[Unit Price]]-Excel_Advanced_Sales_Dataset_2000__3[[#This Row],[Discount Amount]]</f>
        <v>339316.36768000002</v>
      </c>
    </row>
    <row r="1219" spans="1:20" x14ac:dyDescent="0.25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>
        <v>15</v>
      </c>
      <c r="J1219" s="4">
        <v>2737.09</v>
      </c>
      <c r="K1219" s="6">
        <v>17.72</v>
      </c>
      <c r="L1219" s="4">
        <v>33781.160000000003</v>
      </c>
      <c r="M1219" s="4" t="str" cm="1">
        <f t="array" ref="M1219">IF(Excel_Advanced_Sales_Dataset_2000__3[[#This Row],[Total Sales]]&gt;50000,{"Yes"},{"No"})</f>
        <v>No</v>
      </c>
      <c r="N1219" s="5">
        <v>46329</v>
      </c>
      <c r="O1219" s="1" t="s">
        <v>58</v>
      </c>
      <c r="P1219" t="s">
        <v>35</v>
      </c>
      <c r="Q1219" t="str">
        <f>IF(Excel_Advanced_Sales_Dataset_2000__3[[#This Row],[Delivery Status]]="Pending","Follow Up","Ok")</f>
        <v>Ok</v>
      </c>
      <c r="R1219" s="1" t="s">
        <v>26</v>
      </c>
      <c r="S1219">
        <f>Excel_Advanced_Sales_Dataset_2000__3[[#This Row],[Quantity]]*Excel_Advanced_Sales_Dataset_2000__3[[#This Row],[Unit Price]]*Excel_Advanced_Sales_Dataset_2000__3[[#This Row],[Discount %]]/100</f>
        <v>7275.1852200000012</v>
      </c>
      <c r="T1219" s="4">
        <f>Excel_Advanced_Sales_Dataset_2000__3[[#This Row],[Quantity]]*Excel_Advanced_Sales_Dataset_2000__3[[#This Row],[Unit Price]]-Excel_Advanced_Sales_Dataset_2000__3[[#This Row],[Discount Amount]]</f>
        <v>33781.164780000006</v>
      </c>
    </row>
    <row r="1220" spans="1:20" x14ac:dyDescent="0.25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>
        <v>28</v>
      </c>
      <c r="J1220" s="4">
        <v>49214.3</v>
      </c>
      <c r="K1220" s="6">
        <v>9.42</v>
      </c>
      <c r="L1220" s="4">
        <v>1248192.76</v>
      </c>
      <c r="M1220" s="4" t="str" cm="1">
        <f t="array" ref="M1220">IF(Excel_Advanced_Sales_Dataset_2000__3[[#This Row],[Total Sales]]&gt;50000,{"Yes"},{"No"})</f>
        <v>Yes</v>
      </c>
      <c r="N1220" s="5">
        <v>46128</v>
      </c>
      <c r="O1220" s="1" t="s">
        <v>58</v>
      </c>
      <c r="P1220" t="s">
        <v>35</v>
      </c>
      <c r="Q1220" t="str">
        <f>IF(Excel_Advanced_Sales_Dataset_2000__3[[#This Row],[Delivery Status]]="Pending","Follow Up","Ok")</f>
        <v>Ok</v>
      </c>
      <c r="R1220" s="1" t="s">
        <v>26</v>
      </c>
      <c r="S1220">
        <f>Excel_Advanced_Sales_Dataset_2000__3[[#This Row],[Quantity]]*Excel_Advanced_Sales_Dataset_2000__3[[#This Row],[Unit Price]]*Excel_Advanced_Sales_Dataset_2000__3[[#This Row],[Discount %]]/100</f>
        <v>129807.63768000001</v>
      </c>
      <c r="T1220" s="4">
        <f>Excel_Advanced_Sales_Dataset_2000__3[[#This Row],[Quantity]]*Excel_Advanced_Sales_Dataset_2000__3[[#This Row],[Unit Price]]-Excel_Advanced_Sales_Dataset_2000__3[[#This Row],[Discount Amount]]</f>
        <v>1248192.7623200002</v>
      </c>
    </row>
    <row r="1221" spans="1:20" x14ac:dyDescent="0.25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>
        <v>36</v>
      </c>
      <c r="J1221" s="4">
        <v>2438.6999999999998</v>
      </c>
      <c r="K1221" s="6">
        <v>17.07</v>
      </c>
      <c r="L1221" s="4">
        <v>72806.899999999994</v>
      </c>
      <c r="M1221" s="4" t="str" cm="1">
        <f t="array" ref="M1221">IF(Excel_Advanced_Sales_Dataset_2000__3[[#This Row],[Total Sales]]&gt;50000,{"Yes"},{"No"})</f>
        <v>Yes</v>
      </c>
      <c r="N1221" s="5">
        <v>46331</v>
      </c>
      <c r="O1221" s="1" t="s">
        <v>45</v>
      </c>
      <c r="P1221" t="s">
        <v>35</v>
      </c>
      <c r="Q1221" t="str">
        <f>IF(Excel_Advanced_Sales_Dataset_2000__3[[#This Row],[Delivery Status]]="Pending","Follow Up","Ok")</f>
        <v>Ok</v>
      </c>
      <c r="R1221" s="1" t="s">
        <v>53</v>
      </c>
      <c r="S1221">
        <f>Excel_Advanced_Sales_Dataset_2000__3[[#This Row],[Quantity]]*Excel_Advanced_Sales_Dataset_2000__3[[#This Row],[Unit Price]]*Excel_Advanced_Sales_Dataset_2000__3[[#This Row],[Discount %]]/100</f>
        <v>14986.299239999998</v>
      </c>
      <c r="T1221" s="4">
        <f>Excel_Advanced_Sales_Dataset_2000__3[[#This Row],[Quantity]]*Excel_Advanced_Sales_Dataset_2000__3[[#This Row],[Unit Price]]-Excel_Advanced_Sales_Dataset_2000__3[[#This Row],[Discount Amount]]</f>
        <v>72806.900760000004</v>
      </c>
    </row>
    <row r="1222" spans="1:20" x14ac:dyDescent="0.25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>
        <v>28</v>
      </c>
      <c r="J1222" s="4">
        <v>42379.68</v>
      </c>
      <c r="K1222" s="6">
        <v>11.76</v>
      </c>
      <c r="L1222" s="4">
        <v>1047083.23</v>
      </c>
      <c r="M1222" s="4" t="str" cm="1">
        <f t="array" ref="M1222">IF(Excel_Advanced_Sales_Dataset_2000__3[[#This Row],[Total Sales]]&gt;50000,{"Yes"},{"No"})</f>
        <v>Yes</v>
      </c>
      <c r="N1222" s="5">
        <v>46097</v>
      </c>
      <c r="O1222" s="1" t="s">
        <v>113</v>
      </c>
      <c r="P1222" t="s">
        <v>35</v>
      </c>
      <c r="Q1222" t="str">
        <f>IF(Excel_Advanced_Sales_Dataset_2000__3[[#This Row],[Delivery Status]]="Pending","Follow Up","Ok")</f>
        <v>Ok</v>
      </c>
      <c r="R1222" s="1" t="s">
        <v>53</v>
      </c>
      <c r="S1222">
        <f>Excel_Advanced_Sales_Dataset_2000__3[[#This Row],[Quantity]]*Excel_Advanced_Sales_Dataset_2000__3[[#This Row],[Unit Price]]*Excel_Advanced_Sales_Dataset_2000__3[[#This Row],[Discount %]]/100</f>
        <v>139547.81030400001</v>
      </c>
      <c r="T1222" s="4">
        <f>Excel_Advanced_Sales_Dataset_2000__3[[#This Row],[Quantity]]*Excel_Advanced_Sales_Dataset_2000__3[[#This Row],[Unit Price]]-Excel_Advanced_Sales_Dataset_2000__3[[#This Row],[Discount Amount]]</f>
        <v>1047083.229696</v>
      </c>
    </row>
    <row r="1223" spans="1:20" x14ac:dyDescent="0.25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>
        <v>35</v>
      </c>
      <c r="J1223" s="4">
        <v>40894.61</v>
      </c>
      <c r="K1223" s="6">
        <v>8.06</v>
      </c>
      <c r="L1223" s="4">
        <v>1315947.6599999999</v>
      </c>
      <c r="M1223" s="4" t="str" cm="1">
        <f t="array" ref="M1223">IF(Excel_Advanced_Sales_Dataset_2000__3[[#This Row],[Total Sales]]&gt;50000,{"Yes"},{"No"})</f>
        <v>Yes</v>
      </c>
      <c r="N1223" s="5">
        <v>46319</v>
      </c>
      <c r="O1223" s="1" t="s">
        <v>58</v>
      </c>
      <c r="P1223" t="s">
        <v>35</v>
      </c>
      <c r="Q1223" t="str">
        <f>IF(Excel_Advanced_Sales_Dataset_2000__3[[#This Row],[Delivery Status]]="Pending","Follow Up","Ok")</f>
        <v>Ok</v>
      </c>
      <c r="R1223" s="1" t="s">
        <v>53</v>
      </c>
      <c r="S1223">
        <f>Excel_Advanced_Sales_Dataset_2000__3[[#This Row],[Quantity]]*Excel_Advanced_Sales_Dataset_2000__3[[#This Row],[Unit Price]]*Excel_Advanced_Sales_Dataset_2000__3[[#This Row],[Discount %]]/100</f>
        <v>115363.69481</v>
      </c>
      <c r="T1223" s="4">
        <f>Excel_Advanced_Sales_Dataset_2000__3[[#This Row],[Quantity]]*Excel_Advanced_Sales_Dataset_2000__3[[#This Row],[Unit Price]]-Excel_Advanced_Sales_Dataset_2000__3[[#This Row],[Discount Amount]]</f>
        <v>1315947.6551900001</v>
      </c>
    </row>
    <row r="1224" spans="1:20" x14ac:dyDescent="0.25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>
        <v>24</v>
      </c>
      <c r="J1224" s="4">
        <v>10517.37</v>
      </c>
      <c r="K1224" s="6">
        <v>15.12</v>
      </c>
      <c r="L1224" s="4">
        <v>214251.45</v>
      </c>
      <c r="M1224" s="4" t="str" cm="1">
        <f t="array" ref="M1224">IF(Excel_Advanced_Sales_Dataset_2000__3[[#This Row],[Total Sales]]&gt;50000,{"Yes"},{"No"})</f>
        <v>Yes</v>
      </c>
      <c r="N1224" s="5">
        <v>46234</v>
      </c>
      <c r="O1224" s="1" t="s">
        <v>113</v>
      </c>
      <c r="P1224" t="s">
        <v>35</v>
      </c>
      <c r="Q1224" t="str">
        <f>IF(Excel_Advanced_Sales_Dataset_2000__3[[#This Row],[Delivery Status]]="Pending","Follow Up","Ok")</f>
        <v>Ok</v>
      </c>
      <c r="R1224" s="1" t="s">
        <v>53</v>
      </c>
      <c r="S1224">
        <f>Excel_Advanced_Sales_Dataset_2000__3[[#This Row],[Quantity]]*Excel_Advanced_Sales_Dataset_2000__3[[#This Row],[Unit Price]]*Excel_Advanced_Sales_Dataset_2000__3[[#This Row],[Discount %]]/100</f>
        <v>38165.432256</v>
      </c>
      <c r="T1224" s="4">
        <f>Excel_Advanced_Sales_Dataset_2000__3[[#This Row],[Quantity]]*Excel_Advanced_Sales_Dataset_2000__3[[#This Row],[Unit Price]]-Excel_Advanced_Sales_Dataset_2000__3[[#This Row],[Discount Amount]]</f>
        <v>214251.447744</v>
      </c>
    </row>
    <row r="1225" spans="1:20" x14ac:dyDescent="0.25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>
        <v>39</v>
      </c>
      <c r="J1225" s="4">
        <v>49929.760000000002</v>
      </c>
      <c r="K1225" s="6">
        <v>12.55</v>
      </c>
      <c r="L1225" s="4">
        <v>1702879.43</v>
      </c>
      <c r="M1225" s="4" t="str" cm="1">
        <f t="array" ref="M1225">IF(Excel_Advanced_Sales_Dataset_2000__3[[#This Row],[Total Sales]]&gt;50000,{"Yes"},{"No"})</f>
        <v>Yes</v>
      </c>
      <c r="N1225" s="5">
        <v>46115</v>
      </c>
      <c r="O1225" s="1" t="s">
        <v>24</v>
      </c>
      <c r="P1225" t="s">
        <v>35</v>
      </c>
      <c r="Q1225" t="str">
        <f>IF(Excel_Advanced_Sales_Dataset_2000__3[[#This Row],[Delivery Status]]="Pending","Follow Up","Ok")</f>
        <v>Ok</v>
      </c>
      <c r="R1225" s="1" t="s">
        <v>53</v>
      </c>
      <c r="S1225">
        <f>Excel_Advanced_Sales_Dataset_2000__3[[#This Row],[Quantity]]*Excel_Advanced_Sales_Dataset_2000__3[[#This Row],[Unit Price]]*Excel_Advanced_Sales_Dataset_2000__3[[#This Row],[Discount %]]/100</f>
        <v>244381.21032000001</v>
      </c>
      <c r="T1225" s="4">
        <f>Excel_Advanced_Sales_Dataset_2000__3[[#This Row],[Quantity]]*Excel_Advanced_Sales_Dataset_2000__3[[#This Row],[Unit Price]]-Excel_Advanced_Sales_Dataset_2000__3[[#This Row],[Discount Amount]]</f>
        <v>1702879.4296800001</v>
      </c>
    </row>
    <row r="1226" spans="1:20" x14ac:dyDescent="0.25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>
        <v>48</v>
      </c>
      <c r="J1226" s="4">
        <v>43414.55</v>
      </c>
      <c r="K1226" s="6">
        <v>12.18</v>
      </c>
      <c r="L1226" s="4">
        <v>1830079.57</v>
      </c>
      <c r="M1226" s="4" t="str" cm="1">
        <f t="array" ref="M1226">IF(Excel_Advanced_Sales_Dataset_2000__3[[#This Row],[Total Sales]]&gt;50000,{"Yes"},{"No"})</f>
        <v>Yes</v>
      </c>
      <c r="N1226" s="5">
        <v>46162</v>
      </c>
      <c r="O1226" s="1" t="s">
        <v>45</v>
      </c>
      <c r="P1226" t="s">
        <v>35</v>
      </c>
      <c r="Q1226" t="str">
        <f>IF(Excel_Advanced_Sales_Dataset_2000__3[[#This Row],[Delivery Status]]="Pending","Follow Up","Ok")</f>
        <v>Ok</v>
      </c>
      <c r="R1226" s="1" t="s">
        <v>36</v>
      </c>
      <c r="S1226">
        <f>Excel_Advanced_Sales_Dataset_2000__3[[#This Row],[Quantity]]*Excel_Advanced_Sales_Dataset_2000__3[[#This Row],[Unit Price]]*Excel_Advanced_Sales_Dataset_2000__3[[#This Row],[Discount %]]/100</f>
        <v>253818.82512000002</v>
      </c>
      <c r="T1226" s="4">
        <f>Excel_Advanced_Sales_Dataset_2000__3[[#This Row],[Quantity]]*Excel_Advanced_Sales_Dataset_2000__3[[#This Row],[Unit Price]]-Excel_Advanced_Sales_Dataset_2000__3[[#This Row],[Discount Amount]]</f>
        <v>1830079.5748800002</v>
      </c>
    </row>
    <row r="1227" spans="1:20" x14ac:dyDescent="0.25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>
        <v>20</v>
      </c>
      <c r="J1227" s="4">
        <v>8081.28</v>
      </c>
      <c r="K1227" s="6">
        <v>5.04</v>
      </c>
      <c r="L1227" s="4">
        <v>153479.67000000001</v>
      </c>
      <c r="M1227" s="4" t="str" cm="1">
        <f t="array" ref="M1227">IF(Excel_Advanced_Sales_Dataset_2000__3[[#This Row],[Total Sales]]&gt;50000,{"Yes"},{"No"})</f>
        <v>Yes</v>
      </c>
      <c r="N1227" s="5">
        <v>46334</v>
      </c>
      <c r="O1227" s="1" t="s">
        <v>113</v>
      </c>
      <c r="P1227" t="s">
        <v>25</v>
      </c>
      <c r="Q1227" t="str">
        <f>IF(Excel_Advanced_Sales_Dataset_2000__3[[#This Row],[Delivery Status]]="Pending","Follow Up","Ok")</f>
        <v>Follow Up</v>
      </c>
      <c r="R1227" s="1" t="s">
        <v>36</v>
      </c>
      <c r="S1227">
        <f>Excel_Advanced_Sales_Dataset_2000__3[[#This Row],[Quantity]]*Excel_Advanced_Sales_Dataset_2000__3[[#This Row],[Unit Price]]*Excel_Advanced_Sales_Dataset_2000__3[[#This Row],[Discount %]]/100</f>
        <v>8145.9302400000006</v>
      </c>
      <c r="T1227" s="4">
        <f>Excel_Advanced_Sales_Dataset_2000__3[[#This Row],[Quantity]]*Excel_Advanced_Sales_Dataset_2000__3[[#This Row],[Unit Price]]-Excel_Advanced_Sales_Dataset_2000__3[[#This Row],[Discount Amount]]</f>
        <v>153479.66976000002</v>
      </c>
    </row>
    <row r="1228" spans="1:20" x14ac:dyDescent="0.25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>
        <v>5</v>
      </c>
      <c r="J1228" s="4">
        <v>13841.17</v>
      </c>
      <c r="K1228" s="6">
        <v>2.66</v>
      </c>
      <c r="L1228" s="4">
        <v>67364.97</v>
      </c>
      <c r="M1228" s="4" t="str" cm="1">
        <f t="array" ref="M1228">IF(Excel_Advanced_Sales_Dataset_2000__3[[#This Row],[Total Sales]]&gt;50000,{"Yes"},{"No"})</f>
        <v>Yes</v>
      </c>
      <c r="N1228" s="5">
        <v>46116</v>
      </c>
      <c r="O1228" s="1" t="s">
        <v>68</v>
      </c>
      <c r="P1228" t="s">
        <v>35</v>
      </c>
      <c r="Q1228" t="str">
        <f>IF(Excel_Advanced_Sales_Dataset_2000__3[[#This Row],[Delivery Status]]="Pending","Follow Up","Ok")</f>
        <v>Ok</v>
      </c>
      <c r="R1228" s="1" t="s">
        <v>53</v>
      </c>
      <c r="S1228">
        <f>Excel_Advanced_Sales_Dataset_2000__3[[#This Row],[Quantity]]*Excel_Advanced_Sales_Dataset_2000__3[[#This Row],[Unit Price]]*Excel_Advanced_Sales_Dataset_2000__3[[#This Row],[Discount %]]/100</f>
        <v>1840.8756100000001</v>
      </c>
      <c r="T1228" s="4">
        <f>Excel_Advanced_Sales_Dataset_2000__3[[#This Row],[Quantity]]*Excel_Advanced_Sales_Dataset_2000__3[[#This Row],[Unit Price]]-Excel_Advanced_Sales_Dataset_2000__3[[#This Row],[Discount Amount]]</f>
        <v>67364.974390000003</v>
      </c>
    </row>
    <row r="1229" spans="1:20" x14ac:dyDescent="0.25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>
        <v>26</v>
      </c>
      <c r="J1229" s="4">
        <v>47005.62</v>
      </c>
      <c r="K1229" s="6">
        <v>17.440000000000001</v>
      </c>
      <c r="L1229" s="4">
        <v>1009003.84</v>
      </c>
      <c r="M1229" s="4" t="str" cm="1">
        <f t="array" ref="M1229">IF(Excel_Advanced_Sales_Dataset_2000__3[[#This Row],[Total Sales]]&gt;50000,{"Yes"},{"No"})</f>
        <v>Yes</v>
      </c>
      <c r="N1229" s="5">
        <v>46160</v>
      </c>
      <c r="O1229" s="1" t="s">
        <v>68</v>
      </c>
      <c r="P1229" t="s">
        <v>35</v>
      </c>
      <c r="Q1229" t="str">
        <f>IF(Excel_Advanced_Sales_Dataset_2000__3[[#This Row],[Delivery Status]]="Pending","Follow Up","Ok")</f>
        <v>Ok</v>
      </c>
      <c r="R1229" s="1" t="s">
        <v>53</v>
      </c>
      <c r="S1229">
        <f>Excel_Advanced_Sales_Dataset_2000__3[[#This Row],[Quantity]]*Excel_Advanced_Sales_Dataset_2000__3[[#This Row],[Unit Price]]*Excel_Advanced_Sales_Dataset_2000__3[[#This Row],[Discount %]]/100</f>
        <v>213142.28332800005</v>
      </c>
      <c r="T1229" s="4">
        <f>Excel_Advanced_Sales_Dataset_2000__3[[#This Row],[Quantity]]*Excel_Advanced_Sales_Dataset_2000__3[[#This Row],[Unit Price]]-Excel_Advanced_Sales_Dataset_2000__3[[#This Row],[Discount Amount]]</f>
        <v>1009003.8366720001</v>
      </c>
    </row>
    <row r="1230" spans="1:20" x14ac:dyDescent="0.25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>
        <v>14</v>
      </c>
      <c r="J1230" s="4">
        <v>15175.5</v>
      </c>
      <c r="K1230" s="6">
        <v>11.11</v>
      </c>
      <c r="L1230" s="4">
        <v>188853.03</v>
      </c>
      <c r="M1230" s="4" t="str" cm="1">
        <f t="array" ref="M1230">IF(Excel_Advanced_Sales_Dataset_2000__3[[#This Row],[Total Sales]]&gt;50000,{"Yes"},{"No"})</f>
        <v>Yes</v>
      </c>
      <c r="N1230" s="5">
        <v>46375</v>
      </c>
      <c r="O1230" s="1" t="s">
        <v>45</v>
      </c>
      <c r="P1230" t="s">
        <v>35</v>
      </c>
      <c r="Q1230" t="str">
        <f>IF(Excel_Advanced_Sales_Dataset_2000__3[[#This Row],[Delivery Status]]="Pending","Follow Up","Ok")</f>
        <v>Ok</v>
      </c>
      <c r="R1230" s="1" t="s">
        <v>53</v>
      </c>
      <c r="S1230">
        <f>Excel_Advanced_Sales_Dataset_2000__3[[#This Row],[Quantity]]*Excel_Advanced_Sales_Dataset_2000__3[[#This Row],[Unit Price]]*Excel_Advanced_Sales_Dataset_2000__3[[#This Row],[Discount %]]/100</f>
        <v>23603.972699999998</v>
      </c>
      <c r="T1230" s="4">
        <f>Excel_Advanced_Sales_Dataset_2000__3[[#This Row],[Quantity]]*Excel_Advanced_Sales_Dataset_2000__3[[#This Row],[Unit Price]]-Excel_Advanced_Sales_Dataset_2000__3[[#This Row],[Discount Amount]]</f>
        <v>188853.02730000002</v>
      </c>
    </row>
    <row r="1231" spans="1:20" x14ac:dyDescent="0.25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>
        <v>22</v>
      </c>
      <c r="J1231" s="4">
        <v>19482.439999999999</v>
      </c>
      <c r="K1231" s="6">
        <v>12.33</v>
      </c>
      <c r="L1231" s="4">
        <v>375765.61</v>
      </c>
      <c r="M1231" s="4" t="str" cm="1">
        <f t="array" ref="M1231">IF(Excel_Advanced_Sales_Dataset_2000__3[[#This Row],[Total Sales]]&gt;50000,{"Yes"},{"No"})</f>
        <v>Yes</v>
      </c>
      <c r="N1231" s="5">
        <v>46243</v>
      </c>
      <c r="O1231" s="1" t="s">
        <v>45</v>
      </c>
      <c r="P1231" t="s">
        <v>25</v>
      </c>
      <c r="Q1231" t="str">
        <f>IF(Excel_Advanced_Sales_Dataset_2000__3[[#This Row],[Delivery Status]]="Pending","Follow Up","Ok")</f>
        <v>Follow Up</v>
      </c>
      <c r="R1231" s="1" t="s">
        <v>26</v>
      </c>
      <c r="S1231">
        <f>Excel_Advanced_Sales_Dataset_2000__3[[#This Row],[Quantity]]*Excel_Advanced_Sales_Dataset_2000__3[[#This Row],[Unit Price]]*Excel_Advanced_Sales_Dataset_2000__3[[#This Row],[Discount %]]/100</f>
        <v>52848.066743999996</v>
      </c>
      <c r="T1231" s="4">
        <f>Excel_Advanced_Sales_Dataset_2000__3[[#This Row],[Quantity]]*Excel_Advanced_Sales_Dataset_2000__3[[#This Row],[Unit Price]]-Excel_Advanced_Sales_Dataset_2000__3[[#This Row],[Discount Amount]]</f>
        <v>375765.61325599998</v>
      </c>
    </row>
    <row r="1232" spans="1:20" x14ac:dyDescent="0.25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>
        <v>4</v>
      </c>
      <c r="J1232" s="4">
        <v>18568.78</v>
      </c>
      <c r="K1232" s="6">
        <v>6.97</v>
      </c>
      <c r="L1232" s="4">
        <v>69098.14</v>
      </c>
      <c r="M1232" s="4" t="str" cm="1">
        <f t="array" ref="M1232">IF(Excel_Advanced_Sales_Dataset_2000__3[[#This Row],[Total Sales]]&gt;50000,{"Yes"},{"No"})</f>
        <v>Yes</v>
      </c>
      <c r="N1232" s="5">
        <v>46358</v>
      </c>
      <c r="O1232" s="1" t="s">
        <v>24</v>
      </c>
      <c r="P1232" t="s">
        <v>35</v>
      </c>
      <c r="Q1232" t="str">
        <f>IF(Excel_Advanced_Sales_Dataset_2000__3[[#This Row],[Delivery Status]]="Pending","Follow Up","Ok")</f>
        <v>Ok</v>
      </c>
      <c r="R1232" s="1" t="s">
        <v>26</v>
      </c>
      <c r="S1232">
        <f>Excel_Advanced_Sales_Dataset_2000__3[[#This Row],[Quantity]]*Excel_Advanced_Sales_Dataset_2000__3[[#This Row],[Unit Price]]*Excel_Advanced_Sales_Dataset_2000__3[[#This Row],[Discount %]]/100</f>
        <v>5176.975864</v>
      </c>
      <c r="T1232" s="4">
        <f>Excel_Advanced_Sales_Dataset_2000__3[[#This Row],[Quantity]]*Excel_Advanced_Sales_Dataset_2000__3[[#This Row],[Unit Price]]-Excel_Advanced_Sales_Dataset_2000__3[[#This Row],[Discount Amount]]</f>
        <v>69098.144135999988</v>
      </c>
    </row>
    <row r="1233" spans="1:20" x14ac:dyDescent="0.25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>
        <v>29</v>
      </c>
      <c r="J1233" s="4">
        <v>15831.11</v>
      </c>
      <c r="K1233" s="6">
        <v>3.72</v>
      </c>
      <c r="L1233" s="4">
        <v>442023.59</v>
      </c>
      <c r="M1233" s="4" t="str" cm="1">
        <f t="array" ref="M1233">IF(Excel_Advanced_Sales_Dataset_2000__3[[#This Row],[Total Sales]]&gt;50000,{"Yes"},{"No"})</f>
        <v>Yes</v>
      </c>
      <c r="N1233" s="5">
        <v>46153</v>
      </c>
      <c r="O1233" s="1" t="s">
        <v>68</v>
      </c>
      <c r="P1233" t="s">
        <v>35</v>
      </c>
      <c r="Q1233" t="str">
        <f>IF(Excel_Advanced_Sales_Dataset_2000__3[[#This Row],[Delivery Status]]="Pending","Follow Up","Ok")</f>
        <v>Ok</v>
      </c>
      <c r="R1233" s="1" t="s">
        <v>26</v>
      </c>
      <c r="S1233">
        <f>Excel_Advanced_Sales_Dataset_2000__3[[#This Row],[Quantity]]*Excel_Advanced_Sales_Dataset_2000__3[[#This Row],[Unit Price]]*Excel_Advanced_Sales_Dataset_2000__3[[#This Row],[Discount %]]/100</f>
        <v>17078.601468000001</v>
      </c>
      <c r="T1233" s="4">
        <f>Excel_Advanced_Sales_Dataset_2000__3[[#This Row],[Quantity]]*Excel_Advanced_Sales_Dataset_2000__3[[#This Row],[Unit Price]]-Excel_Advanced_Sales_Dataset_2000__3[[#This Row],[Discount Amount]]</f>
        <v>442023.58853200002</v>
      </c>
    </row>
    <row r="1234" spans="1:20" x14ac:dyDescent="0.25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>
        <v>25</v>
      </c>
      <c r="J1234" s="4">
        <v>4045.02</v>
      </c>
      <c r="K1234" s="6">
        <v>13.31</v>
      </c>
      <c r="L1234" s="4">
        <v>87665.7</v>
      </c>
      <c r="M1234" s="4" t="str" cm="1">
        <f t="array" ref="M1234">IF(Excel_Advanced_Sales_Dataset_2000__3[[#This Row],[Total Sales]]&gt;50000,{"Yes"},{"No"})</f>
        <v>Yes</v>
      </c>
      <c r="N1234" s="5">
        <v>46060</v>
      </c>
      <c r="O1234" s="1" t="s">
        <v>45</v>
      </c>
      <c r="P1234" t="s">
        <v>35</v>
      </c>
      <c r="Q1234" t="str">
        <f>IF(Excel_Advanced_Sales_Dataset_2000__3[[#This Row],[Delivery Status]]="Pending","Follow Up","Ok")</f>
        <v>Ok</v>
      </c>
      <c r="R1234" s="1" t="s">
        <v>53</v>
      </c>
      <c r="S1234">
        <f>Excel_Advanced_Sales_Dataset_2000__3[[#This Row],[Quantity]]*Excel_Advanced_Sales_Dataset_2000__3[[#This Row],[Unit Price]]*Excel_Advanced_Sales_Dataset_2000__3[[#This Row],[Discount %]]/100</f>
        <v>13459.804050000001</v>
      </c>
      <c r="T1234" s="4">
        <f>Excel_Advanced_Sales_Dataset_2000__3[[#This Row],[Quantity]]*Excel_Advanced_Sales_Dataset_2000__3[[#This Row],[Unit Price]]-Excel_Advanced_Sales_Dataset_2000__3[[#This Row],[Discount Amount]]</f>
        <v>87665.695949999994</v>
      </c>
    </row>
    <row r="1235" spans="1:20" x14ac:dyDescent="0.25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>
        <v>47</v>
      </c>
      <c r="J1235" s="4">
        <v>30648.15</v>
      </c>
      <c r="K1235" s="6">
        <v>19.57</v>
      </c>
      <c r="L1235" s="4">
        <v>1158564.43</v>
      </c>
      <c r="M1235" s="4" t="str" cm="1">
        <f t="array" ref="M1235">IF(Excel_Advanced_Sales_Dataset_2000__3[[#This Row],[Total Sales]]&gt;50000,{"Yes"},{"No"})</f>
        <v>Yes</v>
      </c>
      <c r="N1235" s="5">
        <v>46079</v>
      </c>
      <c r="O1235" s="1" t="s">
        <v>68</v>
      </c>
      <c r="P1235" t="s">
        <v>25</v>
      </c>
      <c r="Q1235" t="str">
        <f>IF(Excel_Advanced_Sales_Dataset_2000__3[[#This Row],[Delivery Status]]="Pending","Follow Up","Ok")</f>
        <v>Follow Up</v>
      </c>
      <c r="R1235" s="1" t="s">
        <v>26</v>
      </c>
      <c r="S1235">
        <f>Excel_Advanced_Sales_Dataset_2000__3[[#This Row],[Quantity]]*Excel_Advanced_Sales_Dataset_2000__3[[#This Row],[Unit Price]]*Excel_Advanced_Sales_Dataset_2000__3[[#This Row],[Discount %]]/100</f>
        <v>281898.618885</v>
      </c>
      <c r="T1235" s="4">
        <f>Excel_Advanced_Sales_Dataset_2000__3[[#This Row],[Quantity]]*Excel_Advanced_Sales_Dataset_2000__3[[#This Row],[Unit Price]]-Excel_Advanced_Sales_Dataset_2000__3[[#This Row],[Discount Amount]]</f>
        <v>1158564.431115</v>
      </c>
    </row>
    <row r="1236" spans="1:20" x14ac:dyDescent="0.25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>
        <v>43</v>
      </c>
      <c r="J1236" s="4">
        <v>2682.83</v>
      </c>
      <c r="K1236" s="6">
        <v>10.8</v>
      </c>
      <c r="L1236" s="4">
        <v>102902.63</v>
      </c>
      <c r="M1236" s="4" t="str" cm="1">
        <f t="array" ref="M1236">IF(Excel_Advanced_Sales_Dataset_2000__3[[#This Row],[Total Sales]]&gt;50000,{"Yes"},{"No"})</f>
        <v>Yes</v>
      </c>
      <c r="N1236" s="5">
        <v>46263</v>
      </c>
      <c r="O1236" s="1" t="s">
        <v>24</v>
      </c>
      <c r="P1236" t="s">
        <v>35</v>
      </c>
      <c r="Q1236" t="str">
        <f>IF(Excel_Advanced_Sales_Dataset_2000__3[[#This Row],[Delivery Status]]="Pending","Follow Up","Ok")</f>
        <v>Ok</v>
      </c>
      <c r="R1236" s="1" t="s">
        <v>36</v>
      </c>
      <c r="S1236">
        <f>Excel_Advanced_Sales_Dataset_2000__3[[#This Row],[Quantity]]*Excel_Advanced_Sales_Dataset_2000__3[[#This Row],[Unit Price]]*Excel_Advanced_Sales_Dataset_2000__3[[#This Row],[Discount %]]/100</f>
        <v>12459.062520000001</v>
      </c>
      <c r="T1236" s="4">
        <f>Excel_Advanced_Sales_Dataset_2000__3[[#This Row],[Quantity]]*Excel_Advanced_Sales_Dataset_2000__3[[#This Row],[Unit Price]]-Excel_Advanced_Sales_Dataset_2000__3[[#This Row],[Discount Amount]]</f>
        <v>102902.62748</v>
      </c>
    </row>
    <row r="1237" spans="1:20" x14ac:dyDescent="0.25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>
        <v>11</v>
      </c>
      <c r="J1237" s="4">
        <v>12115.82</v>
      </c>
      <c r="K1237" s="6">
        <v>1.95</v>
      </c>
      <c r="L1237" s="4">
        <v>130675.18</v>
      </c>
      <c r="M1237" s="4" t="str" cm="1">
        <f t="array" ref="M1237">IF(Excel_Advanced_Sales_Dataset_2000__3[[#This Row],[Total Sales]]&gt;50000,{"Yes"},{"No"})</f>
        <v>Yes</v>
      </c>
      <c r="N1237" s="5">
        <v>46328</v>
      </c>
      <c r="O1237" s="1" t="s">
        <v>58</v>
      </c>
      <c r="P1237" t="s">
        <v>35</v>
      </c>
      <c r="Q1237" t="str">
        <f>IF(Excel_Advanced_Sales_Dataset_2000__3[[#This Row],[Delivery Status]]="Pending","Follow Up","Ok")</f>
        <v>Ok</v>
      </c>
      <c r="R1237" s="1" t="s">
        <v>26</v>
      </c>
      <c r="S1237">
        <f>Excel_Advanced_Sales_Dataset_2000__3[[#This Row],[Quantity]]*Excel_Advanced_Sales_Dataset_2000__3[[#This Row],[Unit Price]]*Excel_Advanced_Sales_Dataset_2000__3[[#This Row],[Discount %]]/100</f>
        <v>2598.84339</v>
      </c>
      <c r="T1237" s="4">
        <f>Excel_Advanced_Sales_Dataset_2000__3[[#This Row],[Quantity]]*Excel_Advanced_Sales_Dataset_2000__3[[#This Row],[Unit Price]]-Excel_Advanced_Sales_Dataset_2000__3[[#This Row],[Discount Amount]]</f>
        <v>130675.17660999999</v>
      </c>
    </row>
    <row r="1238" spans="1:20" x14ac:dyDescent="0.25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>
        <v>27</v>
      </c>
      <c r="J1238" s="4">
        <v>4649.07</v>
      </c>
      <c r="K1238" s="6">
        <v>5.6</v>
      </c>
      <c r="L1238" s="4">
        <v>118495.5</v>
      </c>
      <c r="M1238" s="4" t="str" cm="1">
        <f t="array" ref="M1238">IF(Excel_Advanced_Sales_Dataset_2000__3[[#This Row],[Total Sales]]&gt;50000,{"Yes"},{"No"})</f>
        <v>Yes</v>
      </c>
      <c r="N1238" s="5">
        <v>46165</v>
      </c>
      <c r="O1238" s="1" t="s">
        <v>113</v>
      </c>
      <c r="P1238" t="s">
        <v>35</v>
      </c>
      <c r="Q1238" t="str">
        <f>IF(Excel_Advanced_Sales_Dataset_2000__3[[#This Row],[Delivery Status]]="Pending","Follow Up","Ok")</f>
        <v>Ok</v>
      </c>
      <c r="R1238" s="1" t="s">
        <v>53</v>
      </c>
      <c r="S1238">
        <f>Excel_Advanced_Sales_Dataset_2000__3[[#This Row],[Quantity]]*Excel_Advanced_Sales_Dataset_2000__3[[#This Row],[Unit Price]]*Excel_Advanced_Sales_Dataset_2000__3[[#This Row],[Discount %]]/100</f>
        <v>7029.3938399999988</v>
      </c>
      <c r="T1238" s="4">
        <f>Excel_Advanced_Sales_Dataset_2000__3[[#This Row],[Quantity]]*Excel_Advanced_Sales_Dataset_2000__3[[#This Row],[Unit Price]]-Excel_Advanced_Sales_Dataset_2000__3[[#This Row],[Discount Amount]]</f>
        <v>118495.49615999998</v>
      </c>
    </row>
    <row r="1239" spans="1:20" x14ac:dyDescent="0.25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>
        <v>1</v>
      </c>
      <c r="J1239" s="4">
        <v>4349.53</v>
      </c>
      <c r="K1239" s="6">
        <v>6.94</v>
      </c>
      <c r="L1239" s="4">
        <v>4047.67</v>
      </c>
      <c r="M1239" s="4" t="str" cm="1">
        <f t="array" ref="M1239">IF(Excel_Advanced_Sales_Dataset_2000__3[[#This Row],[Total Sales]]&gt;50000,{"Yes"},{"No"})</f>
        <v>No</v>
      </c>
      <c r="N1239" s="5">
        <v>46062</v>
      </c>
      <c r="O1239" s="1" t="s">
        <v>24</v>
      </c>
      <c r="P1239" t="s">
        <v>35</v>
      </c>
      <c r="Q1239" t="str">
        <f>IF(Excel_Advanced_Sales_Dataset_2000__3[[#This Row],[Delivery Status]]="Pending","Follow Up","Ok")</f>
        <v>Ok</v>
      </c>
      <c r="R1239" s="1" t="s">
        <v>26</v>
      </c>
      <c r="S1239">
        <f>Excel_Advanced_Sales_Dataset_2000__3[[#This Row],[Quantity]]*Excel_Advanced_Sales_Dataset_2000__3[[#This Row],[Unit Price]]*Excel_Advanced_Sales_Dataset_2000__3[[#This Row],[Discount %]]/100</f>
        <v>301.85738199999997</v>
      </c>
      <c r="T1239" s="4">
        <f>Excel_Advanced_Sales_Dataset_2000__3[[#This Row],[Quantity]]*Excel_Advanced_Sales_Dataset_2000__3[[#This Row],[Unit Price]]-Excel_Advanced_Sales_Dataset_2000__3[[#This Row],[Discount Amount]]</f>
        <v>4047.6726179999996</v>
      </c>
    </row>
    <row r="1240" spans="1:20" x14ac:dyDescent="0.25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>
        <v>25</v>
      </c>
      <c r="J1240" s="4">
        <v>4061.61</v>
      </c>
      <c r="K1240" s="6">
        <v>14.95</v>
      </c>
      <c r="L1240" s="4">
        <v>86359.98</v>
      </c>
      <c r="M1240" s="4" t="str" cm="1">
        <f t="array" ref="M1240">IF(Excel_Advanced_Sales_Dataset_2000__3[[#This Row],[Total Sales]]&gt;50000,{"Yes"},{"No"})</f>
        <v>Yes</v>
      </c>
      <c r="N1240" s="5">
        <v>46023</v>
      </c>
      <c r="O1240" s="1" t="s">
        <v>45</v>
      </c>
      <c r="P1240" t="s">
        <v>59</v>
      </c>
      <c r="Q1240" t="str">
        <f>IF(Excel_Advanced_Sales_Dataset_2000__3[[#This Row],[Delivery Status]]="Pending","Follow Up","Ok")</f>
        <v>Ok</v>
      </c>
      <c r="R1240" s="1" t="s">
        <v>26</v>
      </c>
      <c r="S1240">
        <f>Excel_Advanced_Sales_Dataset_2000__3[[#This Row],[Quantity]]*Excel_Advanced_Sales_Dataset_2000__3[[#This Row],[Unit Price]]*Excel_Advanced_Sales_Dataset_2000__3[[#This Row],[Discount %]]/100</f>
        <v>15180.267374999998</v>
      </c>
      <c r="T1240" s="4">
        <f>Excel_Advanced_Sales_Dataset_2000__3[[#This Row],[Quantity]]*Excel_Advanced_Sales_Dataset_2000__3[[#This Row],[Unit Price]]-Excel_Advanced_Sales_Dataset_2000__3[[#This Row],[Discount Amount]]</f>
        <v>86359.982625000004</v>
      </c>
    </row>
    <row r="1241" spans="1:20" x14ac:dyDescent="0.25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>
        <v>35</v>
      </c>
      <c r="J1241" s="4">
        <v>12576.69</v>
      </c>
      <c r="K1241" s="6">
        <v>13.56</v>
      </c>
      <c r="L1241" s="4">
        <v>380495.18</v>
      </c>
      <c r="M1241" s="4" t="str" cm="1">
        <f t="array" ref="M1241">IF(Excel_Advanced_Sales_Dataset_2000__3[[#This Row],[Total Sales]]&gt;50000,{"Yes"},{"No"})</f>
        <v>Yes</v>
      </c>
      <c r="N1241" s="5">
        <v>46032</v>
      </c>
      <c r="O1241" s="1" t="s">
        <v>68</v>
      </c>
      <c r="P1241" t="s">
        <v>35</v>
      </c>
      <c r="Q1241" t="str">
        <f>IF(Excel_Advanced_Sales_Dataset_2000__3[[#This Row],[Delivery Status]]="Pending","Follow Up","Ok")</f>
        <v>Ok</v>
      </c>
      <c r="R1241" s="1" t="s">
        <v>36</v>
      </c>
      <c r="S1241">
        <f>Excel_Advanced_Sales_Dataset_2000__3[[#This Row],[Quantity]]*Excel_Advanced_Sales_Dataset_2000__3[[#This Row],[Unit Price]]*Excel_Advanced_Sales_Dataset_2000__3[[#This Row],[Discount %]]/100</f>
        <v>59688.970740000012</v>
      </c>
      <c r="T1241" s="4">
        <f>Excel_Advanced_Sales_Dataset_2000__3[[#This Row],[Quantity]]*Excel_Advanced_Sales_Dataset_2000__3[[#This Row],[Unit Price]]-Excel_Advanced_Sales_Dataset_2000__3[[#This Row],[Discount Amount]]</f>
        <v>380495.17926</v>
      </c>
    </row>
    <row r="1242" spans="1:20" x14ac:dyDescent="0.25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>
        <v>8</v>
      </c>
      <c r="J1242" s="4">
        <v>16123.02</v>
      </c>
      <c r="K1242" s="6">
        <v>12.93</v>
      </c>
      <c r="L1242" s="4">
        <v>112306.51</v>
      </c>
      <c r="M1242" s="4" t="str" cm="1">
        <f t="array" ref="M1242">IF(Excel_Advanced_Sales_Dataset_2000__3[[#This Row],[Total Sales]]&gt;50000,{"Yes"},{"No"})</f>
        <v>Yes</v>
      </c>
      <c r="N1242" s="5">
        <v>46346</v>
      </c>
      <c r="O1242" s="1" t="s">
        <v>58</v>
      </c>
      <c r="P1242" t="s">
        <v>35</v>
      </c>
      <c r="Q1242" t="str">
        <f>IF(Excel_Advanced_Sales_Dataset_2000__3[[#This Row],[Delivery Status]]="Pending","Follow Up","Ok")</f>
        <v>Ok</v>
      </c>
      <c r="R1242" s="1" t="s">
        <v>36</v>
      </c>
      <c r="S1242">
        <f>Excel_Advanced_Sales_Dataset_2000__3[[#This Row],[Quantity]]*Excel_Advanced_Sales_Dataset_2000__3[[#This Row],[Unit Price]]*Excel_Advanced_Sales_Dataset_2000__3[[#This Row],[Discount %]]/100</f>
        <v>16677.651888</v>
      </c>
      <c r="T1242" s="4">
        <f>Excel_Advanced_Sales_Dataset_2000__3[[#This Row],[Quantity]]*Excel_Advanced_Sales_Dataset_2000__3[[#This Row],[Unit Price]]-Excel_Advanced_Sales_Dataset_2000__3[[#This Row],[Discount Amount]]</f>
        <v>112306.50811200001</v>
      </c>
    </row>
    <row r="1243" spans="1:20" x14ac:dyDescent="0.25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>
        <v>29</v>
      </c>
      <c r="J1243" s="4">
        <v>23032.84</v>
      </c>
      <c r="K1243" s="6">
        <v>4.99</v>
      </c>
      <c r="L1243" s="4">
        <v>634621.54</v>
      </c>
      <c r="M1243" s="4" t="str" cm="1">
        <f t="array" ref="M1243">IF(Excel_Advanced_Sales_Dataset_2000__3[[#This Row],[Total Sales]]&gt;50000,{"Yes"},{"No"})</f>
        <v>Yes</v>
      </c>
      <c r="N1243" s="5">
        <v>46293</v>
      </c>
      <c r="O1243" s="1" t="s">
        <v>45</v>
      </c>
      <c r="P1243" t="s">
        <v>35</v>
      </c>
      <c r="Q1243" t="str">
        <f>IF(Excel_Advanced_Sales_Dataset_2000__3[[#This Row],[Delivery Status]]="Pending","Follow Up","Ok")</f>
        <v>Ok</v>
      </c>
      <c r="R1243" s="1" t="s">
        <v>26</v>
      </c>
      <c r="S1243">
        <f>Excel_Advanced_Sales_Dataset_2000__3[[#This Row],[Quantity]]*Excel_Advanced_Sales_Dataset_2000__3[[#This Row],[Unit Price]]*Excel_Advanced_Sales_Dataset_2000__3[[#This Row],[Discount %]]/100</f>
        <v>33330.822763999997</v>
      </c>
      <c r="T1243" s="4">
        <f>Excel_Advanced_Sales_Dataset_2000__3[[#This Row],[Quantity]]*Excel_Advanced_Sales_Dataset_2000__3[[#This Row],[Unit Price]]-Excel_Advanced_Sales_Dataset_2000__3[[#This Row],[Discount Amount]]</f>
        <v>634621.53723599995</v>
      </c>
    </row>
    <row r="1244" spans="1:20" x14ac:dyDescent="0.25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>
        <v>29</v>
      </c>
      <c r="J1244" s="4">
        <v>36138.870000000003</v>
      </c>
      <c r="K1244" s="6">
        <v>5.55</v>
      </c>
      <c r="L1244" s="4">
        <v>989861.72</v>
      </c>
      <c r="M1244" s="4" t="str" cm="1">
        <f t="array" ref="M1244">IF(Excel_Advanced_Sales_Dataset_2000__3[[#This Row],[Total Sales]]&gt;50000,{"Yes"},{"No"})</f>
        <v>Yes</v>
      </c>
      <c r="N1244" s="5">
        <v>46129</v>
      </c>
      <c r="O1244" s="1" t="s">
        <v>113</v>
      </c>
      <c r="P1244" t="s">
        <v>59</v>
      </c>
      <c r="Q1244" t="str">
        <f>IF(Excel_Advanced_Sales_Dataset_2000__3[[#This Row],[Delivery Status]]="Pending","Follow Up","Ok")</f>
        <v>Ok</v>
      </c>
      <c r="R1244" s="1" t="s">
        <v>26</v>
      </c>
      <c r="S1244">
        <f>Excel_Advanced_Sales_Dataset_2000__3[[#This Row],[Quantity]]*Excel_Advanced_Sales_Dataset_2000__3[[#This Row],[Unit Price]]*Excel_Advanced_Sales_Dataset_2000__3[[#This Row],[Discount %]]/100</f>
        <v>58165.511265000001</v>
      </c>
      <c r="T1244" s="4">
        <f>Excel_Advanced_Sales_Dataset_2000__3[[#This Row],[Quantity]]*Excel_Advanced_Sales_Dataset_2000__3[[#This Row],[Unit Price]]-Excel_Advanced_Sales_Dataset_2000__3[[#This Row],[Discount Amount]]</f>
        <v>989861.71873500012</v>
      </c>
    </row>
    <row r="1245" spans="1:20" x14ac:dyDescent="0.25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>
        <v>28</v>
      </c>
      <c r="J1245" s="4">
        <v>31353.39</v>
      </c>
      <c r="K1245" s="6">
        <v>16.13</v>
      </c>
      <c r="L1245" s="4">
        <v>736290.47</v>
      </c>
      <c r="M1245" s="4" t="str" cm="1">
        <f t="array" ref="M1245">IF(Excel_Advanced_Sales_Dataset_2000__3[[#This Row],[Total Sales]]&gt;50000,{"Yes"},{"No"})</f>
        <v>Yes</v>
      </c>
      <c r="N1245" s="5">
        <v>46376</v>
      </c>
      <c r="O1245" s="1" t="s">
        <v>113</v>
      </c>
      <c r="P1245" t="s">
        <v>35</v>
      </c>
      <c r="Q1245" t="str">
        <f>IF(Excel_Advanced_Sales_Dataset_2000__3[[#This Row],[Delivery Status]]="Pending","Follow Up","Ok")</f>
        <v>Ok</v>
      </c>
      <c r="R1245" s="1" t="s">
        <v>53</v>
      </c>
      <c r="S1245">
        <f>Excel_Advanced_Sales_Dataset_2000__3[[#This Row],[Quantity]]*Excel_Advanced_Sales_Dataset_2000__3[[#This Row],[Unit Price]]*Excel_Advanced_Sales_Dataset_2000__3[[#This Row],[Discount %]]/100</f>
        <v>141604.45059599998</v>
      </c>
      <c r="T1245" s="4">
        <f>Excel_Advanced_Sales_Dataset_2000__3[[#This Row],[Quantity]]*Excel_Advanced_Sales_Dataset_2000__3[[#This Row],[Unit Price]]-Excel_Advanced_Sales_Dataset_2000__3[[#This Row],[Discount Amount]]</f>
        <v>736290.46940399997</v>
      </c>
    </row>
    <row r="1246" spans="1:20" x14ac:dyDescent="0.25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>
        <v>48</v>
      </c>
      <c r="J1246" s="4">
        <v>32697.32</v>
      </c>
      <c r="K1246" s="6">
        <v>15.02</v>
      </c>
      <c r="L1246" s="4">
        <v>1333736.76</v>
      </c>
      <c r="M1246" s="4" t="str" cm="1">
        <f t="array" ref="M1246">IF(Excel_Advanced_Sales_Dataset_2000__3[[#This Row],[Total Sales]]&gt;50000,{"Yes"},{"No"})</f>
        <v>Yes</v>
      </c>
      <c r="N1246" s="5">
        <v>46101</v>
      </c>
      <c r="O1246" s="1" t="s">
        <v>24</v>
      </c>
      <c r="P1246" t="s">
        <v>25</v>
      </c>
      <c r="Q1246" t="str">
        <f>IF(Excel_Advanced_Sales_Dataset_2000__3[[#This Row],[Delivery Status]]="Pending","Follow Up","Ok")</f>
        <v>Follow Up</v>
      </c>
      <c r="R1246" s="1" t="s">
        <v>26</v>
      </c>
      <c r="S1246">
        <f>Excel_Advanced_Sales_Dataset_2000__3[[#This Row],[Quantity]]*Excel_Advanced_Sales_Dataset_2000__3[[#This Row],[Unit Price]]*Excel_Advanced_Sales_Dataset_2000__3[[#This Row],[Discount %]]/100</f>
        <v>235734.59827199994</v>
      </c>
      <c r="T1246" s="4">
        <f>Excel_Advanced_Sales_Dataset_2000__3[[#This Row],[Quantity]]*Excel_Advanced_Sales_Dataset_2000__3[[#This Row],[Unit Price]]-Excel_Advanced_Sales_Dataset_2000__3[[#This Row],[Discount Amount]]</f>
        <v>1333736.7617279999</v>
      </c>
    </row>
    <row r="1247" spans="1:20" x14ac:dyDescent="0.25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>
        <v>22</v>
      </c>
      <c r="J1247" s="4">
        <v>25091.46</v>
      </c>
      <c r="K1247" s="6">
        <v>9.35</v>
      </c>
      <c r="L1247" s="4">
        <v>500398.99</v>
      </c>
      <c r="M1247" s="4" t="str" cm="1">
        <f t="array" ref="M1247">IF(Excel_Advanced_Sales_Dataset_2000__3[[#This Row],[Total Sales]]&gt;50000,{"Yes"},{"No"})</f>
        <v>Yes</v>
      </c>
      <c r="N1247" s="5">
        <v>46229</v>
      </c>
      <c r="O1247" s="1" t="s">
        <v>58</v>
      </c>
      <c r="P1247" t="s">
        <v>35</v>
      </c>
      <c r="Q1247" t="str">
        <f>IF(Excel_Advanced_Sales_Dataset_2000__3[[#This Row],[Delivery Status]]="Pending","Follow Up","Ok")</f>
        <v>Ok</v>
      </c>
      <c r="R1247" s="1" t="s">
        <v>53</v>
      </c>
      <c r="S1247">
        <f>Excel_Advanced_Sales_Dataset_2000__3[[#This Row],[Quantity]]*Excel_Advanced_Sales_Dataset_2000__3[[#This Row],[Unit Price]]*Excel_Advanced_Sales_Dataset_2000__3[[#This Row],[Discount %]]/100</f>
        <v>51613.133219999996</v>
      </c>
      <c r="T1247" s="4">
        <f>Excel_Advanced_Sales_Dataset_2000__3[[#This Row],[Quantity]]*Excel_Advanced_Sales_Dataset_2000__3[[#This Row],[Unit Price]]-Excel_Advanced_Sales_Dataset_2000__3[[#This Row],[Discount Amount]]</f>
        <v>500398.98677999998</v>
      </c>
    </row>
    <row r="1248" spans="1:20" x14ac:dyDescent="0.25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>
        <v>5</v>
      </c>
      <c r="J1248" s="4">
        <v>43840.32</v>
      </c>
      <c r="K1248" s="6">
        <v>15.9</v>
      </c>
      <c r="L1248" s="4">
        <v>184348.55</v>
      </c>
      <c r="M1248" s="4" t="str" cm="1">
        <f t="array" ref="M1248">IF(Excel_Advanced_Sales_Dataset_2000__3[[#This Row],[Total Sales]]&gt;50000,{"Yes"},{"No"})</f>
        <v>Yes</v>
      </c>
      <c r="N1248" s="5">
        <v>46327</v>
      </c>
      <c r="O1248" s="1" t="s">
        <v>58</v>
      </c>
      <c r="P1248" t="s">
        <v>35</v>
      </c>
      <c r="Q1248" t="str">
        <f>IF(Excel_Advanced_Sales_Dataset_2000__3[[#This Row],[Delivery Status]]="Pending","Follow Up","Ok")</f>
        <v>Ok</v>
      </c>
      <c r="R1248" s="1" t="s">
        <v>36</v>
      </c>
      <c r="S1248">
        <f>Excel_Advanced_Sales_Dataset_2000__3[[#This Row],[Quantity]]*Excel_Advanced_Sales_Dataset_2000__3[[#This Row],[Unit Price]]*Excel_Advanced_Sales_Dataset_2000__3[[#This Row],[Discount %]]/100</f>
        <v>34853.054400000001</v>
      </c>
      <c r="T1248" s="4">
        <f>Excel_Advanced_Sales_Dataset_2000__3[[#This Row],[Quantity]]*Excel_Advanced_Sales_Dataset_2000__3[[#This Row],[Unit Price]]-Excel_Advanced_Sales_Dataset_2000__3[[#This Row],[Discount Amount]]</f>
        <v>184348.54560000001</v>
      </c>
    </row>
    <row r="1249" spans="1:20" x14ac:dyDescent="0.25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>
        <v>33</v>
      </c>
      <c r="J1249" s="4">
        <v>31478.46</v>
      </c>
      <c r="K1249" s="6">
        <v>4.13</v>
      </c>
      <c r="L1249" s="4">
        <v>995887.19</v>
      </c>
      <c r="M1249" s="4" t="str" cm="1">
        <f t="array" ref="M1249">IF(Excel_Advanced_Sales_Dataset_2000__3[[#This Row],[Total Sales]]&gt;50000,{"Yes"},{"No"})</f>
        <v>Yes</v>
      </c>
      <c r="N1249" s="5">
        <v>46202</v>
      </c>
      <c r="O1249" s="1" t="s">
        <v>58</v>
      </c>
      <c r="P1249" t="s">
        <v>35</v>
      </c>
      <c r="Q1249" t="str">
        <f>IF(Excel_Advanced_Sales_Dataset_2000__3[[#This Row],[Delivery Status]]="Pending","Follow Up","Ok")</f>
        <v>Ok</v>
      </c>
      <c r="R1249" s="1" t="s">
        <v>36</v>
      </c>
      <c r="S1249">
        <f>Excel_Advanced_Sales_Dataset_2000__3[[#This Row],[Quantity]]*Excel_Advanced_Sales_Dataset_2000__3[[#This Row],[Unit Price]]*Excel_Advanced_Sales_Dataset_2000__3[[#This Row],[Discount %]]/100</f>
        <v>42901.993133999997</v>
      </c>
      <c r="T1249" s="4">
        <f>Excel_Advanced_Sales_Dataset_2000__3[[#This Row],[Quantity]]*Excel_Advanced_Sales_Dataset_2000__3[[#This Row],[Unit Price]]-Excel_Advanced_Sales_Dataset_2000__3[[#This Row],[Discount Amount]]</f>
        <v>995887.18686599995</v>
      </c>
    </row>
    <row r="1250" spans="1:20" x14ac:dyDescent="0.25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>
        <v>12</v>
      </c>
      <c r="J1250" s="4">
        <v>7983.76</v>
      </c>
      <c r="K1250" s="6">
        <v>12.65</v>
      </c>
      <c r="L1250" s="4">
        <v>83685.77</v>
      </c>
      <c r="M1250" s="4" t="str" cm="1">
        <f t="array" ref="M1250">IF(Excel_Advanced_Sales_Dataset_2000__3[[#This Row],[Total Sales]]&gt;50000,{"Yes"},{"No"})</f>
        <v>Yes</v>
      </c>
      <c r="N1250" s="5">
        <v>46155</v>
      </c>
      <c r="O1250" s="1" t="s">
        <v>45</v>
      </c>
      <c r="P1250" t="s">
        <v>35</v>
      </c>
      <c r="Q1250" t="str">
        <f>IF(Excel_Advanced_Sales_Dataset_2000__3[[#This Row],[Delivery Status]]="Pending","Follow Up","Ok")</f>
        <v>Ok</v>
      </c>
      <c r="R1250" s="1" t="s">
        <v>36</v>
      </c>
      <c r="S1250">
        <f>Excel_Advanced_Sales_Dataset_2000__3[[#This Row],[Quantity]]*Excel_Advanced_Sales_Dataset_2000__3[[#This Row],[Unit Price]]*Excel_Advanced_Sales_Dataset_2000__3[[#This Row],[Discount %]]/100</f>
        <v>12119.347679999999</v>
      </c>
      <c r="T1250" s="4">
        <f>Excel_Advanced_Sales_Dataset_2000__3[[#This Row],[Quantity]]*Excel_Advanced_Sales_Dataset_2000__3[[#This Row],[Unit Price]]-Excel_Advanced_Sales_Dataset_2000__3[[#This Row],[Discount Amount]]</f>
        <v>83685.772319999989</v>
      </c>
    </row>
    <row r="1251" spans="1:20" x14ac:dyDescent="0.25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>
        <v>7</v>
      </c>
      <c r="J1251" s="4">
        <v>4918.46</v>
      </c>
      <c r="K1251" s="6">
        <v>7.32</v>
      </c>
      <c r="L1251" s="4">
        <v>31909</v>
      </c>
      <c r="M1251" s="4" t="str" cm="1">
        <f t="array" ref="M1251">IF(Excel_Advanced_Sales_Dataset_2000__3[[#This Row],[Total Sales]]&gt;50000,{"Yes"},{"No"})</f>
        <v>No</v>
      </c>
      <c r="N1251" s="5">
        <v>46152</v>
      </c>
      <c r="O1251" s="1" t="s">
        <v>24</v>
      </c>
      <c r="P1251" t="s">
        <v>25</v>
      </c>
      <c r="Q1251" t="str">
        <f>IF(Excel_Advanced_Sales_Dataset_2000__3[[#This Row],[Delivery Status]]="Pending","Follow Up","Ok")</f>
        <v>Follow Up</v>
      </c>
      <c r="R1251" s="1" t="s">
        <v>53</v>
      </c>
      <c r="S1251">
        <f>Excel_Advanced_Sales_Dataset_2000__3[[#This Row],[Quantity]]*Excel_Advanced_Sales_Dataset_2000__3[[#This Row],[Unit Price]]*Excel_Advanced_Sales_Dataset_2000__3[[#This Row],[Discount %]]/100</f>
        <v>2520.2189039999998</v>
      </c>
      <c r="T1251" s="4">
        <f>Excel_Advanced_Sales_Dataset_2000__3[[#This Row],[Quantity]]*Excel_Advanced_Sales_Dataset_2000__3[[#This Row],[Unit Price]]-Excel_Advanced_Sales_Dataset_2000__3[[#This Row],[Discount Amount]]</f>
        <v>31909.001096</v>
      </c>
    </row>
    <row r="1252" spans="1:20" x14ac:dyDescent="0.25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>
        <v>10</v>
      </c>
      <c r="J1252" s="4">
        <v>35271.99</v>
      </c>
      <c r="K1252" s="6">
        <v>6.41</v>
      </c>
      <c r="L1252" s="4">
        <v>330110.55</v>
      </c>
      <c r="M1252" s="4" t="str" cm="1">
        <f t="array" ref="M1252">IF(Excel_Advanced_Sales_Dataset_2000__3[[#This Row],[Total Sales]]&gt;50000,{"Yes"},{"No"})</f>
        <v>Yes</v>
      </c>
      <c r="N1252" s="5">
        <v>46116</v>
      </c>
      <c r="O1252" s="1" t="s">
        <v>68</v>
      </c>
      <c r="P1252" t="s">
        <v>35</v>
      </c>
      <c r="Q1252" t="str">
        <f>IF(Excel_Advanced_Sales_Dataset_2000__3[[#This Row],[Delivery Status]]="Pending","Follow Up","Ok")</f>
        <v>Ok</v>
      </c>
      <c r="R1252" s="1" t="s">
        <v>36</v>
      </c>
      <c r="S1252">
        <f>Excel_Advanced_Sales_Dataset_2000__3[[#This Row],[Quantity]]*Excel_Advanced_Sales_Dataset_2000__3[[#This Row],[Unit Price]]*Excel_Advanced_Sales_Dataset_2000__3[[#This Row],[Discount %]]/100</f>
        <v>22609.345589999997</v>
      </c>
      <c r="T1252" s="4">
        <f>Excel_Advanced_Sales_Dataset_2000__3[[#This Row],[Quantity]]*Excel_Advanced_Sales_Dataset_2000__3[[#This Row],[Unit Price]]-Excel_Advanced_Sales_Dataset_2000__3[[#This Row],[Discount Amount]]</f>
        <v>330110.55440999998</v>
      </c>
    </row>
    <row r="1253" spans="1:20" x14ac:dyDescent="0.25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>
        <v>12</v>
      </c>
      <c r="J1253" s="4">
        <v>27132.53</v>
      </c>
      <c r="K1253" s="6">
        <v>13.96</v>
      </c>
      <c r="L1253" s="4">
        <v>280137.95</v>
      </c>
      <c r="M1253" s="4" t="str" cm="1">
        <f t="array" ref="M1253">IF(Excel_Advanced_Sales_Dataset_2000__3[[#This Row],[Total Sales]]&gt;50000,{"Yes"},{"No"})</f>
        <v>Yes</v>
      </c>
      <c r="N1253" s="5">
        <v>46244</v>
      </c>
      <c r="O1253" s="1" t="s">
        <v>24</v>
      </c>
      <c r="P1253" t="s">
        <v>35</v>
      </c>
      <c r="Q1253" t="str">
        <f>IF(Excel_Advanced_Sales_Dataset_2000__3[[#This Row],[Delivery Status]]="Pending","Follow Up","Ok")</f>
        <v>Ok</v>
      </c>
      <c r="R1253" s="1" t="s">
        <v>26</v>
      </c>
      <c r="S1253">
        <f>Excel_Advanced_Sales_Dataset_2000__3[[#This Row],[Quantity]]*Excel_Advanced_Sales_Dataset_2000__3[[#This Row],[Unit Price]]*Excel_Advanced_Sales_Dataset_2000__3[[#This Row],[Discount %]]/100</f>
        <v>45452.414255999996</v>
      </c>
      <c r="T1253" s="4">
        <f>Excel_Advanced_Sales_Dataset_2000__3[[#This Row],[Quantity]]*Excel_Advanced_Sales_Dataset_2000__3[[#This Row],[Unit Price]]-Excel_Advanced_Sales_Dataset_2000__3[[#This Row],[Discount Amount]]</f>
        <v>280137.94574399997</v>
      </c>
    </row>
    <row r="1254" spans="1:20" x14ac:dyDescent="0.25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>
        <v>11</v>
      </c>
      <c r="J1254" s="4">
        <v>44209.26</v>
      </c>
      <c r="K1254" s="6">
        <v>0.27</v>
      </c>
      <c r="L1254" s="4">
        <v>484988.84</v>
      </c>
      <c r="M1254" s="4" t="str" cm="1">
        <f t="array" ref="M1254">IF(Excel_Advanced_Sales_Dataset_2000__3[[#This Row],[Total Sales]]&gt;50000,{"Yes"},{"No"})</f>
        <v>Yes</v>
      </c>
      <c r="N1254" s="5">
        <v>46300</v>
      </c>
      <c r="O1254" s="1" t="s">
        <v>45</v>
      </c>
      <c r="P1254" t="s">
        <v>35</v>
      </c>
      <c r="Q1254" t="str">
        <f>IF(Excel_Advanced_Sales_Dataset_2000__3[[#This Row],[Delivery Status]]="Pending","Follow Up","Ok")</f>
        <v>Ok</v>
      </c>
      <c r="R1254" s="1" t="s">
        <v>36</v>
      </c>
      <c r="S1254">
        <f>Excel_Advanced_Sales_Dataset_2000__3[[#This Row],[Quantity]]*Excel_Advanced_Sales_Dataset_2000__3[[#This Row],[Unit Price]]*Excel_Advanced_Sales_Dataset_2000__3[[#This Row],[Discount %]]/100</f>
        <v>1313.0150220000003</v>
      </c>
      <c r="T1254" s="4">
        <f>Excel_Advanced_Sales_Dataset_2000__3[[#This Row],[Quantity]]*Excel_Advanced_Sales_Dataset_2000__3[[#This Row],[Unit Price]]-Excel_Advanced_Sales_Dataset_2000__3[[#This Row],[Discount Amount]]</f>
        <v>484988.84497800004</v>
      </c>
    </row>
    <row r="1255" spans="1:20" x14ac:dyDescent="0.25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>
        <v>20</v>
      </c>
      <c r="J1255" s="4">
        <v>19840.86</v>
      </c>
      <c r="K1255" s="6">
        <v>4.0199999999999996</v>
      </c>
      <c r="L1255" s="4">
        <v>380865.15</v>
      </c>
      <c r="M1255" s="4" t="str" cm="1">
        <f t="array" ref="M1255">IF(Excel_Advanced_Sales_Dataset_2000__3[[#This Row],[Total Sales]]&gt;50000,{"Yes"},{"No"})</f>
        <v>Yes</v>
      </c>
      <c r="N1255" s="5">
        <v>46173</v>
      </c>
      <c r="O1255" s="1" t="s">
        <v>68</v>
      </c>
      <c r="P1255" t="s">
        <v>35</v>
      </c>
      <c r="Q1255" t="str">
        <f>IF(Excel_Advanced_Sales_Dataset_2000__3[[#This Row],[Delivery Status]]="Pending","Follow Up","Ok")</f>
        <v>Ok</v>
      </c>
      <c r="R1255" s="1" t="s">
        <v>26</v>
      </c>
      <c r="S1255">
        <f>Excel_Advanced_Sales_Dataset_2000__3[[#This Row],[Quantity]]*Excel_Advanced_Sales_Dataset_2000__3[[#This Row],[Unit Price]]*Excel_Advanced_Sales_Dataset_2000__3[[#This Row],[Discount %]]/100</f>
        <v>15952.051439999999</v>
      </c>
      <c r="T1255" s="4">
        <f>Excel_Advanced_Sales_Dataset_2000__3[[#This Row],[Quantity]]*Excel_Advanced_Sales_Dataset_2000__3[[#This Row],[Unit Price]]-Excel_Advanced_Sales_Dataset_2000__3[[#This Row],[Discount Amount]]</f>
        <v>380865.14856</v>
      </c>
    </row>
    <row r="1256" spans="1:20" x14ac:dyDescent="0.25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>
        <v>39</v>
      </c>
      <c r="J1256" s="4">
        <v>17638.02</v>
      </c>
      <c r="K1256" s="6">
        <v>5.45</v>
      </c>
      <c r="L1256" s="4">
        <v>650393.17000000004</v>
      </c>
      <c r="M1256" s="4" t="str" cm="1">
        <f t="array" ref="M1256">IF(Excel_Advanced_Sales_Dataset_2000__3[[#This Row],[Total Sales]]&gt;50000,{"Yes"},{"No"})</f>
        <v>Yes</v>
      </c>
      <c r="N1256" s="5">
        <v>46290</v>
      </c>
      <c r="O1256" s="1" t="s">
        <v>113</v>
      </c>
      <c r="P1256" t="s">
        <v>59</v>
      </c>
      <c r="Q1256" t="str">
        <f>IF(Excel_Advanced_Sales_Dataset_2000__3[[#This Row],[Delivery Status]]="Pending","Follow Up","Ok")</f>
        <v>Ok</v>
      </c>
      <c r="R1256" s="1" t="s">
        <v>26</v>
      </c>
      <c r="S1256">
        <f>Excel_Advanced_Sales_Dataset_2000__3[[#This Row],[Quantity]]*Excel_Advanced_Sales_Dataset_2000__3[[#This Row],[Unit Price]]*Excel_Advanced_Sales_Dataset_2000__3[[#This Row],[Discount %]]/100</f>
        <v>37489.611510000002</v>
      </c>
      <c r="T1256" s="4">
        <f>Excel_Advanced_Sales_Dataset_2000__3[[#This Row],[Quantity]]*Excel_Advanced_Sales_Dataset_2000__3[[#This Row],[Unit Price]]-Excel_Advanced_Sales_Dataset_2000__3[[#This Row],[Discount Amount]]</f>
        <v>650393.16849000007</v>
      </c>
    </row>
    <row r="1257" spans="1:20" x14ac:dyDescent="0.25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>
        <v>15</v>
      </c>
      <c r="J1257" s="4">
        <v>38856.269999999997</v>
      </c>
      <c r="K1257" s="6">
        <v>8.31</v>
      </c>
      <c r="L1257" s="4">
        <v>534409.71</v>
      </c>
      <c r="M1257" s="4" t="str" cm="1">
        <f t="array" ref="M1257">IF(Excel_Advanced_Sales_Dataset_2000__3[[#This Row],[Total Sales]]&gt;50000,{"Yes"},{"No"})</f>
        <v>Yes</v>
      </c>
      <c r="N1257" s="5">
        <v>46209</v>
      </c>
      <c r="O1257" s="1" t="s">
        <v>113</v>
      </c>
      <c r="P1257" t="s">
        <v>35</v>
      </c>
      <c r="Q1257" t="str">
        <f>IF(Excel_Advanced_Sales_Dataset_2000__3[[#This Row],[Delivery Status]]="Pending","Follow Up","Ok")</f>
        <v>Ok</v>
      </c>
      <c r="R1257" s="1" t="s">
        <v>26</v>
      </c>
      <c r="S1257">
        <f>Excel_Advanced_Sales_Dataset_2000__3[[#This Row],[Quantity]]*Excel_Advanced_Sales_Dataset_2000__3[[#This Row],[Unit Price]]*Excel_Advanced_Sales_Dataset_2000__3[[#This Row],[Discount %]]/100</f>
        <v>48434.340554999995</v>
      </c>
      <c r="T1257" s="4">
        <f>Excel_Advanced_Sales_Dataset_2000__3[[#This Row],[Quantity]]*Excel_Advanced_Sales_Dataset_2000__3[[#This Row],[Unit Price]]-Excel_Advanced_Sales_Dataset_2000__3[[#This Row],[Discount Amount]]</f>
        <v>534409.70944499993</v>
      </c>
    </row>
    <row r="1258" spans="1:20" x14ac:dyDescent="0.25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>
        <v>24</v>
      </c>
      <c r="J1258" s="4">
        <v>25299.360000000001</v>
      </c>
      <c r="K1258" s="6">
        <v>4.78</v>
      </c>
      <c r="L1258" s="4">
        <v>578161.21</v>
      </c>
      <c r="M1258" s="4" t="str" cm="1">
        <f t="array" ref="M1258">IF(Excel_Advanced_Sales_Dataset_2000__3[[#This Row],[Total Sales]]&gt;50000,{"Yes"},{"No"})</f>
        <v>Yes</v>
      </c>
      <c r="N1258" s="5">
        <v>46206</v>
      </c>
      <c r="O1258" s="1" t="s">
        <v>45</v>
      </c>
      <c r="P1258" t="s">
        <v>35</v>
      </c>
      <c r="Q1258" t="str">
        <f>IF(Excel_Advanced_Sales_Dataset_2000__3[[#This Row],[Delivery Status]]="Pending","Follow Up","Ok")</f>
        <v>Ok</v>
      </c>
      <c r="R1258" s="1" t="s">
        <v>26</v>
      </c>
      <c r="S1258">
        <f>Excel_Advanced_Sales_Dataset_2000__3[[#This Row],[Quantity]]*Excel_Advanced_Sales_Dataset_2000__3[[#This Row],[Unit Price]]*Excel_Advanced_Sales_Dataset_2000__3[[#This Row],[Discount %]]/100</f>
        <v>29023.425792000002</v>
      </c>
      <c r="T1258" s="4">
        <f>Excel_Advanced_Sales_Dataset_2000__3[[#This Row],[Quantity]]*Excel_Advanced_Sales_Dataset_2000__3[[#This Row],[Unit Price]]-Excel_Advanced_Sales_Dataset_2000__3[[#This Row],[Discount Amount]]</f>
        <v>578161.21420799999</v>
      </c>
    </row>
    <row r="1259" spans="1:20" x14ac:dyDescent="0.25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>
        <v>6</v>
      </c>
      <c r="J1259" s="4">
        <v>8113.7</v>
      </c>
      <c r="K1259" s="6">
        <v>19.78</v>
      </c>
      <c r="L1259" s="4">
        <v>39052.86</v>
      </c>
      <c r="M1259" s="4" t="str" cm="1">
        <f t="array" ref="M1259">IF(Excel_Advanced_Sales_Dataset_2000__3[[#This Row],[Total Sales]]&gt;50000,{"Yes"},{"No"})</f>
        <v>No</v>
      </c>
      <c r="N1259" s="5">
        <v>46175</v>
      </c>
      <c r="O1259" s="1" t="s">
        <v>113</v>
      </c>
      <c r="P1259" t="s">
        <v>35</v>
      </c>
      <c r="Q1259" t="str">
        <f>IF(Excel_Advanced_Sales_Dataset_2000__3[[#This Row],[Delivery Status]]="Pending","Follow Up","Ok")</f>
        <v>Ok</v>
      </c>
      <c r="R1259" s="1" t="s">
        <v>53</v>
      </c>
      <c r="S1259">
        <f>Excel_Advanced_Sales_Dataset_2000__3[[#This Row],[Quantity]]*Excel_Advanced_Sales_Dataset_2000__3[[#This Row],[Unit Price]]*Excel_Advanced_Sales_Dataset_2000__3[[#This Row],[Discount %]]/100</f>
        <v>9629.3391599999995</v>
      </c>
      <c r="T1259" s="4">
        <f>Excel_Advanced_Sales_Dataset_2000__3[[#This Row],[Quantity]]*Excel_Advanced_Sales_Dataset_2000__3[[#This Row],[Unit Price]]-Excel_Advanced_Sales_Dataset_2000__3[[#This Row],[Discount Amount]]</f>
        <v>39052.860839999994</v>
      </c>
    </row>
    <row r="1260" spans="1:20" x14ac:dyDescent="0.25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>
        <v>23</v>
      </c>
      <c r="J1260" s="4">
        <v>41084.6</v>
      </c>
      <c r="K1260" s="6">
        <v>11.92</v>
      </c>
      <c r="L1260" s="4">
        <v>832308.26</v>
      </c>
      <c r="M1260" s="4" t="str" cm="1">
        <f t="array" ref="M1260">IF(Excel_Advanced_Sales_Dataset_2000__3[[#This Row],[Total Sales]]&gt;50000,{"Yes"},{"No"})</f>
        <v>Yes</v>
      </c>
      <c r="N1260" s="5">
        <v>46264</v>
      </c>
      <c r="O1260" s="1" t="s">
        <v>45</v>
      </c>
      <c r="P1260" t="s">
        <v>35</v>
      </c>
      <c r="Q1260" t="str">
        <f>IF(Excel_Advanced_Sales_Dataset_2000__3[[#This Row],[Delivery Status]]="Pending","Follow Up","Ok")</f>
        <v>Ok</v>
      </c>
      <c r="R1260" s="1" t="s">
        <v>53</v>
      </c>
      <c r="S1260">
        <f>Excel_Advanced_Sales_Dataset_2000__3[[#This Row],[Quantity]]*Excel_Advanced_Sales_Dataset_2000__3[[#This Row],[Unit Price]]*Excel_Advanced_Sales_Dataset_2000__3[[#This Row],[Discount %]]/100</f>
        <v>112637.53936</v>
      </c>
      <c r="T1260" s="4">
        <f>Excel_Advanced_Sales_Dataset_2000__3[[#This Row],[Quantity]]*Excel_Advanced_Sales_Dataset_2000__3[[#This Row],[Unit Price]]-Excel_Advanced_Sales_Dataset_2000__3[[#This Row],[Discount Amount]]</f>
        <v>832308.26063999999</v>
      </c>
    </row>
    <row r="1261" spans="1:20" x14ac:dyDescent="0.25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>
        <v>17</v>
      </c>
      <c r="J1261" s="4">
        <v>6779.3</v>
      </c>
      <c r="K1261" s="6">
        <v>17.02</v>
      </c>
      <c r="L1261" s="4">
        <v>95632.87</v>
      </c>
      <c r="M1261" s="4" t="str" cm="1">
        <f t="array" ref="M1261">IF(Excel_Advanced_Sales_Dataset_2000__3[[#This Row],[Total Sales]]&gt;50000,{"Yes"},{"No"})</f>
        <v>Yes</v>
      </c>
      <c r="N1261" s="5">
        <v>46251</v>
      </c>
      <c r="O1261" s="1" t="s">
        <v>58</v>
      </c>
      <c r="P1261" t="s">
        <v>35</v>
      </c>
      <c r="Q1261" t="str">
        <f>IF(Excel_Advanced_Sales_Dataset_2000__3[[#This Row],[Delivery Status]]="Pending","Follow Up","Ok")</f>
        <v>Ok</v>
      </c>
      <c r="R1261" s="1" t="s">
        <v>36</v>
      </c>
      <c r="S1261">
        <f>Excel_Advanced_Sales_Dataset_2000__3[[#This Row],[Quantity]]*Excel_Advanced_Sales_Dataset_2000__3[[#This Row],[Unit Price]]*Excel_Advanced_Sales_Dataset_2000__3[[#This Row],[Discount %]]/100</f>
        <v>19615.226620000001</v>
      </c>
      <c r="T1261" s="4">
        <f>Excel_Advanced_Sales_Dataset_2000__3[[#This Row],[Quantity]]*Excel_Advanced_Sales_Dataset_2000__3[[#This Row],[Unit Price]]-Excel_Advanced_Sales_Dataset_2000__3[[#This Row],[Discount Amount]]</f>
        <v>95632.873380000005</v>
      </c>
    </row>
    <row r="1262" spans="1:20" x14ac:dyDescent="0.25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>
        <v>25</v>
      </c>
      <c r="J1262" s="4">
        <v>22284.12</v>
      </c>
      <c r="K1262" s="6">
        <v>14.67</v>
      </c>
      <c r="L1262" s="4">
        <v>475375.99</v>
      </c>
      <c r="M1262" s="4" t="str" cm="1">
        <f t="array" ref="M1262">IF(Excel_Advanced_Sales_Dataset_2000__3[[#This Row],[Total Sales]]&gt;50000,{"Yes"},{"No"})</f>
        <v>Yes</v>
      </c>
      <c r="N1262" s="5">
        <v>46232</v>
      </c>
      <c r="O1262" s="1" t="s">
        <v>113</v>
      </c>
      <c r="P1262" t="s">
        <v>35</v>
      </c>
      <c r="Q1262" t="str">
        <f>IF(Excel_Advanced_Sales_Dataset_2000__3[[#This Row],[Delivery Status]]="Pending","Follow Up","Ok")</f>
        <v>Ok</v>
      </c>
      <c r="R1262" s="1" t="s">
        <v>53</v>
      </c>
      <c r="S1262">
        <f>Excel_Advanced_Sales_Dataset_2000__3[[#This Row],[Quantity]]*Excel_Advanced_Sales_Dataset_2000__3[[#This Row],[Unit Price]]*Excel_Advanced_Sales_Dataset_2000__3[[#This Row],[Discount %]]/100</f>
        <v>81727.0101</v>
      </c>
      <c r="T1262" s="4">
        <f>Excel_Advanced_Sales_Dataset_2000__3[[#This Row],[Quantity]]*Excel_Advanced_Sales_Dataset_2000__3[[#This Row],[Unit Price]]-Excel_Advanced_Sales_Dataset_2000__3[[#This Row],[Discount Amount]]</f>
        <v>475375.98989999999</v>
      </c>
    </row>
    <row r="1263" spans="1:20" x14ac:dyDescent="0.25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>
        <v>36</v>
      </c>
      <c r="J1263" s="4">
        <v>16097.9</v>
      </c>
      <c r="K1263" s="6">
        <v>3.39</v>
      </c>
      <c r="L1263" s="4">
        <v>559878.52</v>
      </c>
      <c r="M1263" s="4" t="str" cm="1">
        <f t="array" ref="M1263">IF(Excel_Advanced_Sales_Dataset_2000__3[[#This Row],[Total Sales]]&gt;50000,{"Yes"},{"No"})</f>
        <v>Yes</v>
      </c>
      <c r="N1263" s="5">
        <v>46330</v>
      </c>
      <c r="O1263" s="1" t="s">
        <v>68</v>
      </c>
      <c r="P1263" t="s">
        <v>35</v>
      </c>
      <c r="Q1263" t="str">
        <f>IF(Excel_Advanced_Sales_Dataset_2000__3[[#This Row],[Delivery Status]]="Pending","Follow Up","Ok")</f>
        <v>Ok</v>
      </c>
      <c r="R1263" s="1" t="s">
        <v>36</v>
      </c>
      <c r="S1263">
        <f>Excel_Advanced_Sales_Dataset_2000__3[[#This Row],[Quantity]]*Excel_Advanced_Sales_Dataset_2000__3[[#This Row],[Unit Price]]*Excel_Advanced_Sales_Dataset_2000__3[[#This Row],[Discount %]]/100</f>
        <v>19645.877160000004</v>
      </c>
      <c r="T1263" s="4">
        <f>Excel_Advanced_Sales_Dataset_2000__3[[#This Row],[Quantity]]*Excel_Advanced_Sales_Dataset_2000__3[[#This Row],[Unit Price]]-Excel_Advanced_Sales_Dataset_2000__3[[#This Row],[Discount Amount]]</f>
        <v>559878.52283999999</v>
      </c>
    </row>
    <row r="1264" spans="1:20" x14ac:dyDescent="0.25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>
        <v>13</v>
      </c>
      <c r="J1264" s="4">
        <v>41489.4</v>
      </c>
      <c r="K1264" s="6">
        <v>14.49</v>
      </c>
      <c r="L1264" s="4">
        <v>461208.62</v>
      </c>
      <c r="M1264" s="4" t="str" cm="1">
        <f t="array" ref="M1264">IF(Excel_Advanced_Sales_Dataset_2000__3[[#This Row],[Total Sales]]&gt;50000,{"Yes"},{"No"})</f>
        <v>Yes</v>
      </c>
      <c r="N1264" s="5">
        <v>46326</v>
      </c>
      <c r="O1264" s="1" t="s">
        <v>45</v>
      </c>
      <c r="P1264" t="s">
        <v>35</v>
      </c>
      <c r="Q1264" t="str">
        <f>IF(Excel_Advanced_Sales_Dataset_2000__3[[#This Row],[Delivery Status]]="Pending","Follow Up","Ok")</f>
        <v>Ok</v>
      </c>
      <c r="R1264" s="1" t="s">
        <v>36</v>
      </c>
      <c r="S1264">
        <f>Excel_Advanced_Sales_Dataset_2000__3[[#This Row],[Quantity]]*Excel_Advanced_Sales_Dataset_2000__3[[#This Row],[Unit Price]]*Excel_Advanced_Sales_Dataset_2000__3[[#This Row],[Discount %]]/100</f>
        <v>78153.582780000012</v>
      </c>
      <c r="T1264" s="4">
        <f>Excel_Advanced_Sales_Dataset_2000__3[[#This Row],[Quantity]]*Excel_Advanced_Sales_Dataset_2000__3[[#This Row],[Unit Price]]-Excel_Advanced_Sales_Dataset_2000__3[[#This Row],[Discount Amount]]</f>
        <v>461208.61722000007</v>
      </c>
    </row>
    <row r="1265" spans="1:20" x14ac:dyDescent="0.25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>
        <v>8</v>
      </c>
      <c r="J1265" s="4">
        <v>5198.03</v>
      </c>
      <c r="K1265" s="6">
        <v>7.24</v>
      </c>
      <c r="L1265" s="4">
        <v>38573.54</v>
      </c>
      <c r="M1265" s="4" t="str" cm="1">
        <f t="array" ref="M1265">IF(Excel_Advanced_Sales_Dataset_2000__3[[#This Row],[Total Sales]]&gt;50000,{"Yes"},{"No"})</f>
        <v>No</v>
      </c>
      <c r="N1265" s="5">
        <v>46071</v>
      </c>
      <c r="O1265" s="1" t="s">
        <v>68</v>
      </c>
      <c r="P1265" t="s">
        <v>35</v>
      </c>
      <c r="Q1265" t="str">
        <f>IF(Excel_Advanced_Sales_Dataset_2000__3[[#This Row],[Delivery Status]]="Pending","Follow Up","Ok")</f>
        <v>Ok</v>
      </c>
      <c r="R1265" s="1" t="s">
        <v>36</v>
      </c>
      <c r="S1265">
        <f>Excel_Advanced_Sales_Dataset_2000__3[[#This Row],[Quantity]]*Excel_Advanced_Sales_Dataset_2000__3[[#This Row],[Unit Price]]*Excel_Advanced_Sales_Dataset_2000__3[[#This Row],[Discount %]]/100</f>
        <v>3010.6989759999997</v>
      </c>
      <c r="T1265" s="4">
        <f>Excel_Advanced_Sales_Dataset_2000__3[[#This Row],[Quantity]]*Excel_Advanced_Sales_Dataset_2000__3[[#This Row],[Unit Price]]-Excel_Advanced_Sales_Dataset_2000__3[[#This Row],[Discount Amount]]</f>
        <v>38573.541023999998</v>
      </c>
    </row>
    <row r="1266" spans="1:20" x14ac:dyDescent="0.25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>
        <v>31</v>
      </c>
      <c r="J1266" s="4">
        <v>4972.84</v>
      </c>
      <c r="K1266" s="6">
        <v>18.34</v>
      </c>
      <c r="L1266" s="4">
        <v>125885.46</v>
      </c>
      <c r="M1266" s="4" t="str" cm="1">
        <f t="array" ref="M1266">IF(Excel_Advanced_Sales_Dataset_2000__3[[#This Row],[Total Sales]]&gt;50000,{"Yes"},{"No"})</f>
        <v>Yes</v>
      </c>
      <c r="N1266" s="5">
        <v>46345</v>
      </c>
      <c r="O1266" s="1" t="s">
        <v>68</v>
      </c>
      <c r="P1266" t="s">
        <v>35</v>
      </c>
      <c r="Q1266" t="str">
        <f>IF(Excel_Advanced_Sales_Dataset_2000__3[[#This Row],[Delivery Status]]="Pending","Follow Up","Ok")</f>
        <v>Ok</v>
      </c>
      <c r="R1266" s="1" t="s">
        <v>26</v>
      </c>
      <c r="S1266">
        <f>Excel_Advanced_Sales_Dataset_2000__3[[#This Row],[Quantity]]*Excel_Advanced_Sales_Dataset_2000__3[[#This Row],[Unit Price]]*Excel_Advanced_Sales_Dataset_2000__3[[#This Row],[Discount %]]/100</f>
        <v>28272.584536000002</v>
      </c>
      <c r="T1266" s="4">
        <f>Excel_Advanced_Sales_Dataset_2000__3[[#This Row],[Quantity]]*Excel_Advanced_Sales_Dataset_2000__3[[#This Row],[Unit Price]]-Excel_Advanced_Sales_Dataset_2000__3[[#This Row],[Discount Amount]]</f>
        <v>125885.455464</v>
      </c>
    </row>
    <row r="1267" spans="1:20" x14ac:dyDescent="0.25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>
        <v>32</v>
      </c>
      <c r="J1267" s="4">
        <v>32978.39</v>
      </c>
      <c r="K1267" s="6">
        <v>13.94</v>
      </c>
      <c r="L1267" s="4">
        <v>908198.48</v>
      </c>
      <c r="M1267" s="4" t="str" cm="1">
        <f t="array" ref="M1267">IF(Excel_Advanced_Sales_Dataset_2000__3[[#This Row],[Total Sales]]&gt;50000,{"Yes"},{"No"})</f>
        <v>Yes</v>
      </c>
      <c r="N1267" s="5">
        <v>46256</v>
      </c>
      <c r="O1267" s="1" t="s">
        <v>24</v>
      </c>
      <c r="P1267" t="s">
        <v>35</v>
      </c>
      <c r="Q1267" t="str">
        <f>IF(Excel_Advanced_Sales_Dataset_2000__3[[#This Row],[Delivery Status]]="Pending","Follow Up","Ok")</f>
        <v>Ok</v>
      </c>
      <c r="R1267" s="1" t="s">
        <v>26</v>
      </c>
      <c r="S1267">
        <f>Excel_Advanced_Sales_Dataset_2000__3[[#This Row],[Quantity]]*Excel_Advanced_Sales_Dataset_2000__3[[#This Row],[Unit Price]]*Excel_Advanced_Sales_Dataset_2000__3[[#This Row],[Discount %]]/100</f>
        <v>147110.00211199999</v>
      </c>
      <c r="T1267" s="4">
        <f>Excel_Advanced_Sales_Dataset_2000__3[[#This Row],[Quantity]]*Excel_Advanced_Sales_Dataset_2000__3[[#This Row],[Unit Price]]-Excel_Advanced_Sales_Dataset_2000__3[[#This Row],[Discount Amount]]</f>
        <v>908198.47788799996</v>
      </c>
    </row>
    <row r="1268" spans="1:20" x14ac:dyDescent="0.25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>
        <v>29</v>
      </c>
      <c r="J1268" s="4">
        <v>3159.61</v>
      </c>
      <c r="K1268" s="6">
        <v>3.58</v>
      </c>
      <c r="L1268" s="4">
        <v>88348.38</v>
      </c>
      <c r="M1268" s="4" t="str" cm="1">
        <f t="array" ref="M1268">IF(Excel_Advanced_Sales_Dataset_2000__3[[#This Row],[Total Sales]]&gt;50000,{"Yes"},{"No"})</f>
        <v>Yes</v>
      </c>
      <c r="N1268" s="5">
        <v>46060</v>
      </c>
      <c r="O1268" s="1" t="s">
        <v>58</v>
      </c>
      <c r="P1268" t="s">
        <v>35</v>
      </c>
      <c r="Q1268" t="str">
        <f>IF(Excel_Advanced_Sales_Dataset_2000__3[[#This Row],[Delivery Status]]="Pending","Follow Up","Ok")</f>
        <v>Ok</v>
      </c>
      <c r="R1268" s="1" t="s">
        <v>26</v>
      </c>
      <c r="S1268">
        <f>Excel_Advanced_Sales_Dataset_2000__3[[#This Row],[Quantity]]*Excel_Advanced_Sales_Dataset_2000__3[[#This Row],[Unit Price]]*Excel_Advanced_Sales_Dataset_2000__3[[#This Row],[Discount %]]/100</f>
        <v>3280.3071020000002</v>
      </c>
      <c r="T1268" s="4">
        <f>Excel_Advanced_Sales_Dataset_2000__3[[#This Row],[Quantity]]*Excel_Advanced_Sales_Dataset_2000__3[[#This Row],[Unit Price]]-Excel_Advanced_Sales_Dataset_2000__3[[#This Row],[Discount Amount]]</f>
        <v>88348.382897999996</v>
      </c>
    </row>
    <row r="1269" spans="1:20" x14ac:dyDescent="0.25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>
        <v>14</v>
      </c>
      <c r="J1269" s="4">
        <v>6112.78</v>
      </c>
      <c r="K1269" s="6">
        <v>7.93</v>
      </c>
      <c r="L1269" s="4">
        <v>78792.509999999995</v>
      </c>
      <c r="M1269" s="4" t="str" cm="1">
        <f t="array" ref="M1269">IF(Excel_Advanced_Sales_Dataset_2000__3[[#This Row],[Total Sales]]&gt;50000,{"Yes"},{"No"})</f>
        <v>Yes</v>
      </c>
      <c r="N1269" s="5">
        <v>46293</v>
      </c>
      <c r="O1269" s="1" t="s">
        <v>113</v>
      </c>
      <c r="P1269" t="s">
        <v>35</v>
      </c>
      <c r="Q1269" t="str">
        <f>IF(Excel_Advanced_Sales_Dataset_2000__3[[#This Row],[Delivery Status]]="Pending","Follow Up","Ok")</f>
        <v>Ok</v>
      </c>
      <c r="R1269" s="1" t="s">
        <v>53</v>
      </c>
      <c r="S1269">
        <f>Excel_Advanced_Sales_Dataset_2000__3[[#This Row],[Quantity]]*Excel_Advanced_Sales_Dataset_2000__3[[#This Row],[Unit Price]]*Excel_Advanced_Sales_Dataset_2000__3[[#This Row],[Discount %]]/100</f>
        <v>6786.4083559999999</v>
      </c>
      <c r="T1269" s="4">
        <f>Excel_Advanced_Sales_Dataset_2000__3[[#This Row],[Quantity]]*Excel_Advanced_Sales_Dataset_2000__3[[#This Row],[Unit Price]]-Excel_Advanced_Sales_Dataset_2000__3[[#This Row],[Discount Amount]]</f>
        <v>78792.511643999998</v>
      </c>
    </row>
    <row r="1270" spans="1:20" x14ac:dyDescent="0.25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>
        <v>27</v>
      </c>
      <c r="J1270" s="4">
        <v>45416.32</v>
      </c>
      <c r="K1270" s="6">
        <v>7.72</v>
      </c>
      <c r="L1270" s="4">
        <v>1131574.8600000001</v>
      </c>
      <c r="M1270" s="4" t="str" cm="1">
        <f t="array" ref="M1270">IF(Excel_Advanced_Sales_Dataset_2000__3[[#This Row],[Total Sales]]&gt;50000,{"Yes"},{"No"})</f>
        <v>Yes</v>
      </c>
      <c r="N1270" s="5">
        <v>46306</v>
      </c>
      <c r="O1270" s="1" t="s">
        <v>58</v>
      </c>
      <c r="P1270" t="s">
        <v>35</v>
      </c>
      <c r="Q1270" t="str">
        <f>IF(Excel_Advanced_Sales_Dataset_2000__3[[#This Row],[Delivery Status]]="Pending","Follow Up","Ok")</f>
        <v>Ok</v>
      </c>
      <c r="R1270" s="1" t="s">
        <v>53</v>
      </c>
      <c r="S1270">
        <f>Excel_Advanced_Sales_Dataset_2000__3[[#This Row],[Quantity]]*Excel_Advanced_Sales_Dataset_2000__3[[#This Row],[Unit Price]]*Excel_Advanced_Sales_Dataset_2000__3[[#This Row],[Discount %]]/100</f>
        <v>94665.777407999994</v>
      </c>
      <c r="T1270" s="4">
        <f>Excel_Advanced_Sales_Dataset_2000__3[[#This Row],[Quantity]]*Excel_Advanced_Sales_Dataset_2000__3[[#This Row],[Unit Price]]-Excel_Advanced_Sales_Dataset_2000__3[[#This Row],[Discount Amount]]</f>
        <v>1131574.8625919998</v>
      </c>
    </row>
    <row r="1271" spans="1:20" x14ac:dyDescent="0.25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>
        <v>28</v>
      </c>
      <c r="J1271" s="4">
        <v>12402.39</v>
      </c>
      <c r="K1271" s="6">
        <v>14.34</v>
      </c>
      <c r="L1271" s="4">
        <v>297468.84000000003</v>
      </c>
      <c r="M1271" s="4" t="str" cm="1">
        <f t="array" ref="M1271">IF(Excel_Advanced_Sales_Dataset_2000__3[[#This Row],[Total Sales]]&gt;50000,{"Yes"},{"No"})</f>
        <v>Yes</v>
      </c>
      <c r="N1271" s="5">
        <v>46245</v>
      </c>
      <c r="O1271" s="1" t="s">
        <v>45</v>
      </c>
      <c r="P1271" t="s">
        <v>35</v>
      </c>
      <c r="Q1271" t="str">
        <f>IF(Excel_Advanced_Sales_Dataset_2000__3[[#This Row],[Delivery Status]]="Pending","Follow Up","Ok")</f>
        <v>Ok</v>
      </c>
      <c r="R1271" s="1" t="s">
        <v>26</v>
      </c>
      <c r="S1271">
        <f>Excel_Advanced_Sales_Dataset_2000__3[[#This Row],[Quantity]]*Excel_Advanced_Sales_Dataset_2000__3[[#This Row],[Unit Price]]*Excel_Advanced_Sales_Dataset_2000__3[[#This Row],[Discount %]]/100</f>
        <v>49798.076327999996</v>
      </c>
      <c r="T1271" s="4">
        <f>Excel_Advanced_Sales_Dataset_2000__3[[#This Row],[Quantity]]*Excel_Advanced_Sales_Dataset_2000__3[[#This Row],[Unit Price]]-Excel_Advanced_Sales_Dataset_2000__3[[#This Row],[Discount Amount]]</f>
        <v>297468.84367199999</v>
      </c>
    </row>
    <row r="1272" spans="1:20" x14ac:dyDescent="0.25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>
        <v>40</v>
      </c>
      <c r="J1272" s="4">
        <v>11012.92</v>
      </c>
      <c r="K1272" s="6">
        <v>14.5</v>
      </c>
      <c r="L1272" s="4">
        <v>376641.86</v>
      </c>
      <c r="M1272" s="4" t="str" cm="1">
        <f t="array" ref="M1272">IF(Excel_Advanced_Sales_Dataset_2000__3[[#This Row],[Total Sales]]&gt;50000,{"Yes"},{"No"})</f>
        <v>Yes</v>
      </c>
      <c r="N1272" s="5">
        <v>46224</v>
      </c>
      <c r="O1272" s="1" t="s">
        <v>58</v>
      </c>
      <c r="P1272" t="s">
        <v>35</v>
      </c>
      <c r="Q1272" t="str">
        <f>IF(Excel_Advanced_Sales_Dataset_2000__3[[#This Row],[Delivery Status]]="Pending","Follow Up","Ok")</f>
        <v>Ok</v>
      </c>
      <c r="R1272" s="1" t="s">
        <v>36</v>
      </c>
      <c r="S1272">
        <f>Excel_Advanced_Sales_Dataset_2000__3[[#This Row],[Quantity]]*Excel_Advanced_Sales_Dataset_2000__3[[#This Row],[Unit Price]]*Excel_Advanced_Sales_Dataset_2000__3[[#This Row],[Discount %]]/100</f>
        <v>63874.935999999994</v>
      </c>
      <c r="T1272" s="4">
        <f>Excel_Advanced_Sales_Dataset_2000__3[[#This Row],[Quantity]]*Excel_Advanced_Sales_Dataset_2000__3[[#This Row],[Unit Price]]-Excel_Advanced_Sales_Dataset_2000__3[[#This Row],[Discount Amount]]</f>
        <v>376641.864</v>
      </c>
    </row>
    <row r="1273" spans="1:20" x14ac:dyDescent="0.25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>
        <v>17</v>
      </c>
      <c r="J1273" s="4">
        <v>36543.980000000003</v>
      </c>
      <c r="K1273" s="6">
        <v>10.58</v>
      </c>
      <c r="L1273" s="4">
        <v>555519.66</v>
      </c>
      <c r="M1273" s="4" t="str" cm="1">
        <f t="array" ref="M1273">IF(Excel_Advanced_Sales_Dataset_2000__3[[#This Row],[Total Sales]]&gt;50000,{"Yes"},{"No"})</f>
        <v>Yes</v>
      </c>
      <c r="N1273" s="5">
        <v>46362</v>
      </c>
      <c r="O1273" s="1" t="s">
        <v>45</v>
      </c>
      <c r="P1273" t="s">
        <v>35</v>
      </c>
      <c r="Q1273" t="str">
        <f>IF(Excel_Advanced_Sales_Dataset_2000__3[[#This Row],[Delivery Status]]="Pending","Follow Up","Ok")</f>
        <v>Ok</v>
      </c>
      <c r="R1273" s="1" t="s">
        <v>36</v>
      </c>
      <c r="S1273">
        <f>Excel_Advanced_Sales_Dataset_2000__3[[#This Row],[Quantity]]*Excel_Advanced_Sales_Dataset_2000__3[[#This Row],[Unit Price]]*Excel_Advanced_Sales_Dataset_2000__3[[#This Row],[Discount %]]/100</f>
        <v>65728.002428000007</v>
      </c>
      <c r="T1273" s="4">
        <f>Excel_Advanced_Sales_Dataset_2000__3[[#This Row],[Quantity]]*Excel_Advanced_Sales_Dataset_2000__3[[#This Row],[Unit Price]]-Excel_Advanced_Sales_Dataset_2000__3[[#This Row],[Discount Amount]]</f>
        <v>555519.65757200005</v>
      </c>
    </row>
    <row r="1274" spans="1:20" x14ac:dyDescent="0.25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>
        <v>10</v>
      </c>
      <c r="J1274" s="4">
        <v>11735.46</v>
      </c>
      <c r="K1274" s="6">
        <v>13.94</v>
      </c>
      <c r="L1274" s="4">
        <v>100995.37</v>
      </c>
      <c r="M1274" s="4" t="str" cm="1">
        <f t="array" ref="M1274">IF(Excel_Advanced_Sales_Dataset_2000__3[[#This Row],[Total Sales]]&gt;50000,{"Yes"},{"No"})</f>
        <v>Yes</v>
      </c>
      <c r="N1274" s="5">
        <v>46184</v>
      </c>
      <c r="O1274" s="1" t="s">
        <v>68</v>
      </c>
      <c r="P1274" t="s">
        <v>35</v>
      </c>
      <c r="Q1274" t="str">
        <f>IF(Excel_Advanced_Sales_Dataset_2000__3[[#This Row],[Delivery Status]]="Pending","Follow Up","Ok")</f>
        <v>Ok</v>
      </c>
      <c r="R1274" s="1" t="s">
        <v>36</v>
      </c>
      <c r="S1274">
        <f>Excel_Advanced_Sales_Dataset_2000__3[[#This Row],[Quantity]]*Excel_Advanced_Sales_Dataset_2000__3[[#This Row],[Unit Price]]*Excel_Advanced_Sales_Dataset_2000__3[[#This Row],[Discount %]]/100</f>
        <v>16359.231239999999</v>
      </c>
      <c r="T1274" s="4">
        <f>Excel_Advanced_Sales_Dataset_2000__3[[#This Row],[Quantity]]*Excel_Advanced_Sales_Dataset_2000__3[[#This Row],[Unit Price]]-Excel_Advanced_Sales_Dataset_2000__3[[#This Row],[Discount Amount]]</f>
        <v>100995.36876</v>
      </c>
    </row>
    <row r="1275" spans="1:20" x14ac:dyDescent="0.25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>
        <v>25</v>
      </c>
      <c r="J1275" s="4">
        <v>19793.98</v>
      </c>
      <c r="K1275" s="6">
        <v>16.899999999999999</v>
      </c>
      <c r="L1275" s="4">
        <v>411219.93</v>
      </c>
      <c r="M1275" s="4" t="str" cm="1">
        <f t="array" ref="M1275">IF(Excel_Advanced_Sales_Dataset_2000__3[[#This Row],[Total Sales]]&gt;50000,{"Yes"},{"No"})</f>
        <v>Yes</v>
      </c>
      <c r="N1275" s="5">
        <v>46177</v>
      </c>
      <c r="O1275" s="1" t="s">
        <v>68</v>
      </c>
      <c r="P1275" t="s">
        <v>35</v>
      </c>
      <c r="Q1275" t="str">
        <f>IF(Excel_Advanced_Sales_Dataset_2000__3[[#This Row],[Delivery Status]]="Pending","Follow Up","Ok")</f>
        <v>Ok</v>
      </c>
      <c r="R1275" s="1" t="s">
        <v>26</v>
      </c>
      <c r="S1275">
        <f>Excel_Advanced_Sales_Dataset_2000__3[[#This Row],[Quantity]]*Excel_Advanced_Sales_Dataset_2000__3[[#This Row],[Unit Price]]*Excel_Advanced_Sales_Dataset_2000__3[[#This Row],[Discount %]]/100</f>
        <v>83629.565499999982</v>
      </c>
      <c r="T1275" s="4">
        <f>Excel_Advanced_Sales_Dataset_2000__3[[#This Row],[Quantity]]*Excel_Advanced_Sales_Dataset_2000__3[[#This Row],[Unit Price]]-Excel_Advanced_Sales_Dataset_2000__3[[#This Row],[Discount Amount]]</f>
        <v>411219.93450000003</v>
      </c>
    </row>
    <row r="1276" spans="1:20" x14ac:dyDescent="0.25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>
        <v>20</v>
      </c>
      <c r="J1276" s="4">
        <v>24338.03</v>
      </c>
      <c r="K1276" s="6">
        <v>0.97</v>
      </c>
      <c r="L1276" s="4">
        <v>482039.02</v>
      </c>
      <c r="M1276" s="4" t="str" cm="1">
        <f t="array" ref="M1276">IF(Excel_Advanced_Sales_Dataset_2000__3[[#This Row],[Total Sales]]&gt;50000,{"Yes"},{"No"})</f>
        <v>Yes</v>
      </c>
      <c r="N1276" s="5">
        <v>46283</v>
      </c>
      <c r="O1276" s="1" t="s">
        <v>24</v>
      </c>
      <c r="P1276" t="s">
        <v>35</v>
      </c>
      <c r="Q1276" t="str">
        <f>IF(Excel_Advanced_Sales_Dataset_2000__3[[#This Row],[Delivery Status]]="Pending","Follow Up","Ok")</f>
        <v>Ok</v>
      </c>
      <c r="R1276" s="1" t="s">
        <v>26</v>
      </c>
      <c r="S1276">
        <f>Excel_Advanced_Sales_Dataset_2000__3[[#This Row],[Quantity]]*Excel_Advanced_Sales_Dataset_2000__3[[#This Row],[Unit Price]]*Excel_Advanced_Sales_Dataset_2000__3[[#This Row],[Discount %]]/100</f>
        <v>4721.5778199999995</v>
      </c>
      <c r="T1276" s="4">
        <f>Excel_Advanced_Sales_Dataset_2000__3[[#This Row],[Quantity]]*Excel_Advanced_Sales_Dataset_2000__3[[#This Row],[Unit Price]]-Excel_Advanced_Sales_Dataset_2000__3[[#This Row],[Discount Amount]]</f>
        <v>482039.02217999997</v>
      </c>
    </row>
    <row r="1277" spans="1:20" x14ac:dyDescent="0.25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>
        <v>16</v>
      </c>
      <c r="J1277" s="4">
        <v>4376.8100000000004</v>
      </c>
      <c r="K1277" s="6">
        <v>14.17</v>
      </c>
      <c r="L1277" s="4">
        <v>60105.86</v>
      </c>
      <c r="M1277" s="4" t="str" cm="1">
        <f t="array" ref="M1277">IF(Excel_Advanced_Sales_Dataset_2000__3[[#This Row],[Total Sales]]&gt;50000,{"Yes"},{"No"})</f>
        <v>Yes</v>
      </c>
      <c r="N1277" s="5">
        <v>46111</v>
      </c>
      <c r="O1277" s="1" t="s">
        <v>58</v>
      </c>
      <c r="P1277" t="s">
        <v>35</v>
      </c>
      <c r="Q1277" t="str">
        <f>IF(Excel_Advanced_Sales_Dataset_2000__3[[#This Row],[Delivery Status]]="Pending","Follow Up","Ok")</f>
        <v>Ok</v>
      </c>
      <c r="R1277" s="1" t="s">
        <v>26</v>
      </c>
      <c r="S1277">
        <f>Excel_Advanced_Sales_Dataset_2000__3[[#This Row],[Quantity]]*Excel_Advanced_Sales_Dataset_2000__3[[#This Row],[Unit Price]]*Excel_Advanced_Sales_Dataset_2000__3[[#This Row],[Discount %]]/100</f>
        <v>9923.1036320000021</v>
      </c>
      <c r="T1277" s="4">
        <f>Excel_Advanced_Sales_Dataset_2000__3[[#This Row],[Quantity]]*Excel_Advanced_Sales_Dataset_2000__3[[#This Row],[Unit Price]]-Excel_Advanced_Sales_Dataset_2000__3[[#This Row],[Discount Amount]]</f>
        <v>60105.856368000008</v>
      </c>
    </row>
    <row r="1278" spans="1:20" x14ac:dyDescent="0.25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>
        <v>16</v>
      </c>
      <c r="J1278" s="4">
        <v>48052.77</v>
      </c>
      <c r="K1278" s="6">
        <v>9.33</v>
      </c>
      <c r="L1278" s="4">
        <v>697111.14</v>
      </c>
      <c r="M1278" s="4" t="str" cm="1">
        <f t="array" ref="M1278">IF(Excel_Advanced_Sales_Dataset_2000__3[[#This Row],[Total Sales]]&gt;50000,{"Yes"},{"No"})</f>
        <v>Yes</v>
      </c>
      <c r="N1278" s="5">
        <v>46381</v>
      </c>
      <c r="O1278" s="1" t="s">
        <v>68</v>
      </c>
      <c r="P1278" t="s">
        <v>35</v>
      </c>
      <c r="Q1278" t="str">
        <f>IF(Excel_Advanced_Sales_Dataset_2000__3[[#This Row],[Delivery Status]]="Pending","Follow Up","Ok")</f>
        <v>Ok</v>
      </c>
      <c r="R1278" s="1" t="s">
        <v>26</v>
      </c>
      <c r="S1278">
        <f>Excel_Advanced_Sales_Dataset_2000__3[[#This Row],[Quantity]]*Excel_Advanced_Sales_Dataset_2000__3[[#This Row],[Unit Price]]*Excel_Advanced_Sales_Dataset_2000__3[[#This Row],[Discount %]]/100</f>
        <v>71733.175055999993</v>
      </c>
      <c r="T1278" s="4">
        <f>Excel_Advanced_Sales_Dataset_2000__3[[#This Row],[Quantity]]*Excel_Advanced_Sales_Dataset_2000__3[[#This Row],[Unit Price]]-Excel_Advanced_Sales_Dataset_2000__3[[#This Row],[Discount Amount]]</f>
        <v>697111.14494399994</v>
      </c>
    </row>
    <row r="1279" spans="1:20" x14ac:dyDescent="0.25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>
        <v>36</v>
      </c>
      <c r="J1279" s="4">
        <v>17425.27</v>
      </c>
      <c r="K1279" s="6">
        <v>8.8800000000000008</v>
      </c>
      <c r="L1279" s="4">
        <v>571604.62</v>
      </c>
      <c r="M1279" s="4" t="str" cm="1">
        <f t="array" ref="M1279">IF(Excel_Advanced_Sales_Dataset_2000__3[[#This Row],[Total Sales]]&gt;50000,{"Yes"},{"No"})</f>
        <v>Yes</v>
      </c>
      <c r="N1279" s="5">
        <v>46257</v>
      </c>
      <c r="O1279" s="1" t="s">
        <v>113</v>
      </c>
      <c r="P1279" t="s">
        <v>35</v>
      </c>
      <c r="Q1279" t="str">
        <f>IF(Excel_Advanced_Sales_Dataset_2000__3[[#This Row],[Delivery Status]]="Pending","Follow Up","Ok")</f>
        <v>Ok</v>
      </c>
      <c r="R1279" s="1" t="s">
        <v>53</v>
      </c>
      <c r="S1279">
        <f>Excel_Advanced_Sales_Dataset_2000__3[[#This Row],[Quantity]]*Excel_Advanced_Sales_Dataset_2000__3[[#This Row],[Unit Price]]*Excel_Advanced_Sales_Dataset_2000__3[[#This Row],[Discount %]]/100</f>
        <v>55705.103135999998</v>
      </c>
      <c r="T1279" s="4">
        <f>Excel_Advanced_Sales_Dataset_2000__3[[#This Row],[Quantity]]*Excel_Advanced_Sales_Dataset_2000__3[[#This Row],[Unit Price]]-Excel_Advanced_Sales_Dataset_2000__3[[#This Row],[Discount Amount]]</f>
        <v>571604.61686399998</v>
      </c>
    </row>
    <row r="1280" spans="1:20" x14ac:dyDescent="0.25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>
        <v>36</v>
      </c>
      <c r="J1280" s="4">
        <v>25940.29</v>
      </c>
      <c r="K1280" s="6">
        <v>15.45</v>
      </c>
      <c r="L1280" s="4">
        <v>789570.55</v>
      </c>
      <c r="M1280" s="4" t="str" cm="1">
        <f t="array" ref="M1280">IF(Excel_Advanced_Sales_Dataset_2000__3[[#This Row],[Total Sales]]&gt;50000,{"Yes"},{"No"})</f>
        <v>Yes</v>
      </c>
      <c r="N1280" s="5">
        <v>46031</v>
      </c>
      <c r="O1280" s="1" t="s">
        <v>45</v>
      </c>
      <c r="P1280" t="s">
        <v>35</v>
      </c>
      <c r="Q1280" t="str">
        <f>IF(Excel_Advanced_Sales_Dataset_2000__3[[#This Row],[Delivery Status]]="Pending","Follow Up","Ok")</f>
        <v>Ok</v>
      </c>
      <c r="R1280" s="1" t="s">
        <v>26</v>
      </c>
      <c r="S1280">
        <f>Excel_Advanced_Sales_Dataset_2000__3[[#This Row],[Quantity]]*Excel_Advanced_Sales_Dataset_2000__3[[#This Row],[Unit Price]]*Excel_Advanced_Sales_Dataset_2000__3[[#This Row],[Discount %]]/100</f>
        <v>144279.89298</v>
      </c>
      <c r="T1280" s="4">
        <f>Excel_Advanced_Sales_Dataset_2000__3[[#This Row],[Quantity]]*Excel_Advanced_Sales_Dataset_2000__3[[#This Row],[Unit Price]]-Excel_Advanced_Sales_Dataset_2000__3[[#This Row],[Discount Amount]]</f>
        <v>789570.54702000006</v>
      </c>
    </row>
    <row r="1281" spans="1:20" x14ac:dyDescent="0.25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>
        <v>35</v>
      </c>
      <c r="J1281" s="4">
        <v>36959.43</v>
      </c>
      <c r="K1281" s="6">
        <v>4.6500000000000004</v>
      </c>
      <c r="L1281" s="4">
        <v>1233428.58</v>
      </c>
      <c r="M1281" s="4" t="str" cm="1">
        <f t="array" ref="M1281">IF(Excel_Advanced_Sales_Dataset_2000__3[[#This Row],[Total Sales]]&gt;50000,{"Yes"},{"No"})</f>
        <v>Yes</v>
      </c>
      <c r="N1281" s="5">
        <v>46266</v>
      </c>
      <c r="O1281" s="1" t="s">
        <v>68</v>
      </c>
      <c r="P1281" t="s">
        <v>35</v>
      </c>
      <c r="Q1281" t="str">
        <f>IF(Excel_Advanced_Sales_Dataset_2000__3[[#This Row],[Delivery Status]]="Pending","Follow Up","Ok")</f>
        <v>Ok</v>
      </c>
      <c r="R1281" s="1" t="s">
        <v>36</v>
      </c>
      <c r="S1281">
        <f>Excel_Advanced_Sales_Dataset_2000__3[[#This Row],[Quantity]]*Excel_Advanced_Sales_Dataset_2000__3[[#This Row],[Unit Price]]*Excel_Advanced_Sales_Dataset_2000__3[[#This Row],[Discount %]]/100</f>
        <v>60151.47232500001</v>
      </c>
      <c r="T1281" s="4">
        <f>Excel_Advanced_Sales_Dataset_2000__3[[#This Row],[Quantity]]*Excel_Advanced_Sales_Dataset_2000__3[[#This Row],[Unit Price]]-Excel_Advanced_Sales_Dataset_2000__3[[#This Row],[Discount Amount]]</f>
        <v>1233428.5776750001</v>
      </c>
    </row>
    <row r="1282" spans="1:20" x14ac:dyDescent="0.25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>
        <v>9</v>
      </c>
      <c r="J1282" s="4">
        <v>38764.230000000003</v>
      </c>
      <c r="K1282" s="6">
        <v>8.5500000000000007</v>
      </c>
      <c r="L1282" s="4">
        <v>319049</v>
      </c>
      <c r="M1282" s="4" t="str" cm="1">
        <f t="array" ref="M1282">IF(Excel_Advanced_Sales_Dataset_2000__3[[#This Row],[Total Sales]]&gt;50000,{"Yes"},{"No"})</f>
        <v>Yes</v>
      </c>
      <c r="N1282" s="5">
        <v>46262</v>
      </c>
      <c r="O1282" s="1" t="s">
        <v>24</v>
      </c>
      <c r="P1282" t="s">
        <v>59</v>
      </c>
      <c r="Q1282" t="str">
        <f>IF(Excel_Advanced_Sales_Dataset_2000__3[[#This Row],[Delivery Status]]="Pending","Follow Up","Ok")</f>
        <v>Ok</v>
      </c>
      <c r="R1282" s="1" t="s">
        <v>36</v>
      </c>
      <c r="S1282">
        <f>Excel_Advanced_Sales_Dataset_2000__3[[#This Row],[Quantity]]*Excel_Advanced_Sales_Dataset_2000__3[[#This Row],[Unit Price]]*Excel_Advanced_Sales_Dataset_2000__3[[#This Row],[Discount %]]/100</f>
        <v>29829.074985000003</v>
      </c>
      <c r="T1282" s="4">
        <f>Excel_Advanced_Sales_Dataset_2000__3[[#This Row],[Quantity]]*Excel_Advanced_Sales_Dataset_2000__3[[#This Row],[Unit Price]]-Excel_Advanced_Sales_Dataset_2000__3[[#This Row],[Discount Amount]]</f>
        <v>319048.99501499999</v>
      </c>
    </row>
    <row r="1283" spans="1:20" x14ac:dyDescent="0.25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>
        <v>16</v>
      </c>
      <c r="J1283" s="4">
        <v>28685.69</v>
      </c>
      <c r="K1283" s="6">
        <v>2.87</v>
      </c>
      <c r="L1283" s="4">
        <v>445798.57</v>
      </c>
      <c r="M1283" s="4" t="str" cm="1">
        <f t="array" ref="M1283">IF(Excel_Advanced_Sales_Dataset_2000__3[[#This Row],[Total Sales]]&gt;50000,{"Yes"},{"No"})</f>
        <v>Yes</v>
      </c>
      <c r="N1283" s="5">
        <v>46078</v>
      </c>
      <c r="O1283" s="1" t="s">
        <v>68</v>
      </c>
      <c r="P1283" t="s">
        <v>35</v>
      </c>
      <c r="Q1283" t="str">
        <f>IF(Excel_Advanced_Sales_Dataset_2000__3[[#This Row],[Delivery Status]]="Pending","Follow Up","Ok")</f>
        <v>Ok</v>
      </c>
      <c r="R1283" s="1" t="s">
        <v>26</v>
      </c>
      <c r="S1283">
        <f>Excel_Advanced_Sales_Dataset_2000__3[[#This Row],[Quantity]]*Excel_Advanced_Sales_Dataset_2000__3[[#This Row],[Unit Price]]*Excel_Advanced_Sales_Dataset_2000__3[[#This Row],[Discount %]]/100</f>
        <v>13172.468847999999</v>
      </c>
      <c r="T1283" s="4">
        <f>Excel_Advanced_Sales_Dataset_2000__3[[#This Row],[Quantity]]*Excel_Advanced_Sales_Dataset_2000__3[[#This Row],[Unit Price]]-Excel_Advanced_Sales_Dataset_2000__3[[#This Row],[Discount Amount]]</f>
        <v>445798.57115199999</v>
      </c>
    </row>
    <row r="1284" spans="1:20" x14ac:dyDescent="0.25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>
        <v>2</v>
      </c>
      <c r="J1284" s="4">
        <v>33525.760000000002</v>
      </c>
      <c r="K1284" s="6">
        <v>5.71</v>
      </c>
      <c r="L1284" s="4">
        <v>63222.879999999997</v>
      </c>
      <c r="M1284" s="4" t="str" cm="1">
        <f t="array" ref="M1284">IF(Excel_Advanced_Sales_Dataset_2000__3[[#This Row],[Total Sales]]&gt;50000,{"Yes"},{"No"})</f>
        <v>Yes</v>
      </c>
      <c r="N1284" s="5">
        <v>46048</v>
      </c>
      <c r="O1284" s="1" t="s">
        <v>24</v>
      </c>
      <c r="P1284" t="s">
        <v>35</v>
      </c>
      <c r="Q1284" t="str">
        <f>IF(Excel_Advanced_Sales_Dataset_2000__3[[#This Row],[Delivery Status]]="Pending","Follow Up","Ok")</f>
        <v>Ok</v>
      </c>
      <c r="R1284" s="1" t="s">
        <v>26</v>
      </c>
      <c r="S1284">
        <f>Excel_Advanced_Sales_Dataset_2000__3[[#This Row],[Quantity]]*Excel_Advanced_Sales_Dataset_2000__3[[#This Row],[Unit Price]]*Excel_Advanced_Sales_Dataset_2000__3[[#This Row],[Discount %]]/100</f>
        <v>3828.6417920000004</v>
      </c>
      <c r="T1284" s="4">
        <f>Excel_Advanced_Sales_Dataset_2000__3[[#This Row],[Quantity]]*Excel_Advanced_Sales_Dataset_2000__3[[#This Row],[Unit Price]]-Excel_Advanced_Sales_Dataset_2000__3[[#This Row],[Discount Amount]]</f>
        <v>63222.878208000002</v>
      </c>
    </row>
    <row r="1285" spans="1:20" x14ac:dyDescent="0.25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>
        <v>40</v>
      </c>
      <c r="J1285" s="4">
        <v>28699.599999999999</v>
      </c>
      <c r="K1285" s="6">
        <v>12.95</v>
      </c>
      <c r="L1285" s="4">
        <v>999320.07</v>
      </c>
      <c r="M1285" s="4" t="str" cm="1">
        <f t="array" ref="M1285">IF(Excel_Advanced_Sales_Dataset_2000__3[[#This Row],[Total Sales]]&gt;50000,{"Yes"},{"No"})</f>
        <v>Yes</v>
      </c>
      <c r="N1285" s="5">
        <v>46291</v>
      </c>
      <c r="O1285" s="1" t="s">
        <v>113</v>
      </c>
      <c r="P1285" t="s">
        <v>35</v>
      </c>
      <c r="Q1285" t="str">
        <f>IF(Excel_Advanced_Sales_Dataset_2000__3[[#This Row],[Delivery Status]]="Pending","Follow Up","Ok")</f>
        <v>Ok</v>
      </c>
      <c r="R1285" s="1" t="s">
        <v>53</v>
      </c>
      <c r="S1285">
        <f>Excel_Advanced_Sales_Dataset_2000__3[[#This Row],[Quantity]]*Excel_Advanced_Sales_Dataset_2000__3[[#This Row],[Unit Price]]*Excel_Advanced_Sales_Dataset_2000__3[[#This Row],[Discount %]]/100</f>
        <v>148663.92799999999</v>
      </c>
      <c r="T1285" s="4">
        <f>Excel_Advanced_Sales_Dataset_2000__3[[#This Row],[Quantity]]*Excel_Advanced_Sales_Dataset_2000__3[[#This Row],[Unit Price]]-Excel_Advanced_Sales_Dataset_2000__3[[#This Row],[Discount Amount]]</f>
        <v>999320.07200000004</v>
      </c>
    </row>
    <row r="1286" spans="1:20" x14ac:dyDescent="0.25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>
        <v>13</v>
      </c>
      <c r="J1286" s="4">
        <v>45185.58</v>
      </c>
      <c r="K1286" s="6">
        <v>15.74</v>
      </c>
      <c r="L1286" s="4">
        <v>494953.81</v>
      </c>
      <c r="M1286" s="4" t="str" cm="1">
        <f t="array" ref="M1286">IF(Excel_Advanced_Sales_Dataset_2000__3[[#This Row],[Total Sales]]&gt;50000,{"Yes"},{"No"})</f>
        <v>Yes</v>
      </c>
      <c r="N1286" s="5">
        <v>46082</v>
      </c>
      <c r="O1286" s="1" t="s">
        <v>68</v>
      </c>
      <c r="P1286" t="s">
        <v>35</v>
      </c>
      <c r="Q1286" t="str">
        <f>IF(Excel_Advanced_Sales_Dataset_2000__3[[#This Row],[Delivery Status]]="Pending","Follow Up","Ok")</f>
        <v>Ok</v>
      </c>
      <c r="R1286" s="1" t="s">
        <v>53</v>
      </c>
      <c r="S1286">
        <f>Excel_Advanced_Sales_Dataset_2000__3[[#This Row],[Quantity]]*Excel_Advanced_Sales_Dataset_2000__3[[#This Row],[Unit Price]]*Excel_Advanced_Sales_Dataset_2000__3[[#This Row],[Discount %]]/100</f>
        <v>92458.733796000015</v>
      </c>
      <c r="T1286" s="4">
        <f>Excel_Advanced_Sales_Dataset_2000__3[[#This Row],[Quantity]]*Excel_Advanced_Sales_Dataset_2000__3[[#This Row],[Unit Price]]-Excel_Advanced_Sales_Dataset_2000__3[[#This Row],[Discount Amount]]</f>
        <v>494953.80620400002</v>
      </c>
    </row>
    <row r="1287" spans="1:20" x14ac:dyDescent="0.25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>
        <v>2</v>
      </c>
      <c r="J1287" s="4">
        <v>16057.52</v>
      </c>
      <c r="K1287" s="6">
        <v>3.52</v>
      </c>
      <c r="L1287" s="4">
        <v>30984.59</v>
      </c>
      <c r="M1287" s="4" t="str" cm="1">
        <f t="array" ref="M1287">IF(Excel_Advanced_Sales_Dataset_2000__3[[#This Row],[Total Sales]]&gt;50000,{"Yes"},{"No"})</f>
        <v>No</v>
      </c>
      <c r="N1287" s="5">
        <v>46372</v>
      </c>
      <c r="O1287" s="1" t="s">
        <v>24</v>
      </c>
      <c r="P1287" t="s">
        <v>35</v>
      </c>
      <c r="Q1287" t="str">
        <f>IF(Excel_Advanced_Sales_Dataset_2000__3[[#This Row],[Delivery Status]]="Pending","Follow Up","Ok")</f>
        <v>Ok</v>
      </c>
      <c r="R1287" s="1" t="s">
        <v>53</v>
      </c>
      <c r="S1287">
        <f>Excel_Advanced_Sales_Dataset_2000__3[[#This Row],[Quantity]]*Excel_Advanced_Sales_Dataset_2000__3[[#This Row],[Unit Price]]*Excel_Advanced_Sales_Dataset_2000__3[[#This Row],[Discount %]]/100</f>
        <v>1130.4494079999999</v>
      </c>
      <c r="T1287" s="4">
        <f>Excel_Advanced_Sales_Dataset_2000__3[[#This Row],[Quantity]]*Excel_Advanced_Sales_Dataset_2000__3[[#This Row],[Unit Price]]-Excel_Advanced_Sales_Dataset_2000__3[[#This Row],[Discount Amount]]</f>
        <v>30984.590592</v>
      </c>
    </row>
    <row r="1288" spans="1:20" x14ac:dyDescent="0.25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>
        <v>8</v>
      </c>
      <c r="J1288" s="4">
        <v>34541.06</v>
      </c>
      <c r="K1288" s="6">
        <v>9.7899999999999991</v>
      </c>
      <c r="L1288" s="4">
        <v>249275.92</v>
      </c>
      <c r="M1288" s="4" t="str" cm="1">
        <f t="array" ref="M1288">IF(Excel_Advanced_Sales_Dataset_2000__3[[#This Row],[Total Sales]]&gt;50000,{"Yes"},{"No"})</f>
        <v>Yes</v>
      </c>
      <c r="N1288" s="5">
        <v>46153</v>
      </c>
      <c r="O1288" s="1" t="s">
        <v>45</v>
      </c>
      <c r="P1288" t="s">
        <v>35</v>
      </c>
      <c r="Q1288" t="str">
        <f>IF(Excel_Advanced_Sales_Dataset_2000__3[[#This Row],[Delivery Status]]="Pending","Follow Up","Ok")</f>
        <v>Ok</v>
      </c>
      <c r="R1288" s="1" t="s">
        <v>26</v>
      </c>
      <c r="S1288">
        <f>Excel_Advanced_Sales_Dataset_2000__3[[#This Row],[Quantity]]*Excel_Advanced_Sales_Dataset_2000__3[[#This Row],[Unit Price]]*Excel_Advanced_Sales_Dataset_2000__3[[#This Row],[Discount %]]/100</f>
        <v>27052.558191999997</v>
      </c>
      <c r="T1288" s="4">
        <f>Excel_Advanced_Sales_Dataset_2000__3[[#This Row],[Quantity]]*Excel_Advanced_Sales_Dataset_2000__3[[#This Row],[Unit Price]]-Excel_Advanced_Sales_Dataset_2000__3[[#This Row],[Discount Amount]]</f>
        <v>249275.92180799998</v>
      </c>
    </row>
    <row r="1289" spans="1:20" x14ac:dyDescent="0.25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>
        <v>32</v>
      </c>
      <c r="J1289" s="4">
        <v>47580.49</v>
      </c>
      <c r="K1289" s="6">
        <v>15.2</v>
      </c>
      <c r="L1289" s="4">
        <v>1291144.18</v>
      </c>
      <c r="M1289" s="4" t="str" cm="1">
        <f t="array" ref="M1289">IF(Excel_Advanced_Sales_Dataset_2000__3[[#This Row],[Total Sales]]&gt;50000,{"Yes"},{"No"})</f>
        <v>Yes</v>
      </c>
      <c r="N1289" s="5">
        <v>46265</v>
      </c>
      <c r="O1289" s="1" t="s">
        <v>45</v>
      </c>
      <c r="P1289" t="s">
        <v>35</v>
      </c>
      <c r="Q1289" t="str">
        <f>IF(Excel_Advanced_Sales_Dataset_2000__3[[#This Row],[Delivery Status]]="Pending","Follow Up","Ok")</f>
        <v>Ok</v>
      </c>
      <c r="R1289" s="1" t="s">
        <v>53</v>
      </c>
      <c r="S1289">
        <f>Excel_Advanced_Sales_Dataset_2000__3[[#This Row],[Quantity]]*Excel_Advanced_Sales_Dataset_2000__3[[#This Row],[Unit Price]]*Excel_Advanced_Sales_Dataset_2000__3[[#This Row],[Discount %]]/100</f>
        <v>231431.50336</v>
      </c>
      <c r="T1289" s="4">
        <f>Excel_Advanced_Sales_Dataset_2000__3[[#This Row],[Quantity]]*Excel_Advanced_Sales_Dataset_2000__3[[#This Row],[Unit Price]]-Excel_Advanced_Sales_Dataset_2000__3[[#This Row],[Discount Amount]]</f>
        <v>1291144.17664</v>
      </c>
    </row>
    <row r="1290" spans="1:20" x14ac:dyDescent="0.25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>
        <v>18</v>
      </c>
      <c r="J1290" s="4">
        <v>36042.26</v>
      </c>
      <c r="K1290" s="6">
        <v>17.48</v>
      </c>
      <c r="L1290" s="4">
        <v>535357.31000000006</v>
      </c>
      <c r="M1290" s="4" t="str" cm="1">
        <f t="array" ref="M1290">IF(Excel_Advanced_Sales_Dataset_2000__3[[#This Row],[Total Sales]]&gt;50000,{"Yes"},{"No"})</f>
        <v>Yes</v>
      </c>
      <c r="N1290" s="5">
        <v>46360</v>
      </c>
      <c r="O1290" s="1" t="s">
        <v>45</v>
      </c>
      <c r="P1290" t="s">
        <v>35</v>
      </c>
      <c r="Q1290" t="str">
        <f>IF(Excel_Advanced_Sales_Dataset_2000__3[[#This Row],[Delivery Status]]="Pending","Follow Up","Ok")</f>
        <v>Ok</v>
      </c>
      <c r="R1290" s="1" t="s">
        <v>26</v>
      </c>
      <c r="S1290">
        <f>Excel_Advanced_Sales_Dataset_2000__3[[#This Row],[Quantity]]*Excel_Advanced_Sales_Dataset_2000__3[[#This Row],[Unit Price]]*Excel_Advanced_Sales_Dataset_2000__3[[#This Row],[Discount %]]/100</f>
        <v>113403.36686400003</v>
      </c>
      <c r="T1290" s="4">
        <f>Excel_Advanced_Sales_Dataset_2000__3[[#This Row],[Quantity]]*Excel_Advanced_Sales_Dataset_2000__3[[#This Row],[Unit Price]]-Excel_Advanced_Sales_Dataset_2000__3[[#This Row],[Discount Amount]]</f>
        <v>535357.31313600007</v>
      </c>
    </row>
    <row r="1291" spans="1:20" x14ac:dyDescent="0.25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>
        <v>1</v>
      </c>
      <c r="J1291" s="4">
        <v>25583.42</v>
      </c>
      <c r="K1291" s="6">
        <v>1.72</v>
      </c>
      <c r="L1291" s="4">
        <v>25143.39</v>
      </c>
      <c r="M1291" s="4" t="str" cm="1">
        <f t="array" ref="M1291">IF(Excel_Advanced_Sales_Dataset_2000__3[[#This Row],[Total Sales]]&gt;50000,{"Yes"},{"No"})</f>
        <v>No</v>
      </c>
      <c r="N1291" s="5">
        <v>46280</v>
      </c>
      <c r="O1291" s="1" t="s">
        <v>113</v>
      </c>
      <c r="P1291" t="s">
        <v>25</v>
      </c>
      <c r="Q1291" t="str">
        <f>IF(Excel_Advanced_Sales_Dataset_2000__3[[#This Row],[Delivery Status]]="Pending","Follow Up","Ok")</f>
        <v>Follow Up</v>
      </c>
      <c r="R1291" s="1" t="s">
        <v>36</v>
      </c>
      <c r="S1291">
        <f>Excel_Advanced_Sales_Dataset_2000__3[[#This Row],[Quantity]]*Excel_Advanced_Sales_Dataset_2000__3[[#This Row],[Unit Price]]*Excel_Advanced_Sales_Dataset_2000__3[[#This Row],[Discount %]]/100</f>
        <v>440.03482399999996</v>
      </c>
      <c r="T1291" s="4">
        <f>Excel_Advanced_Sales_Dataset_2000__3[[#This Row],[Quantity]]*Excel_Advanced_Sales_Dataset_2000__3[[#This Row],[Unit Price]]-Excel_Advanced_Sales_Dataset_2000__3[[#This Row],[Discount Amount]]</f>
        <v>25143.385176</v>
      </c>
    </row>
    <row r="1292" spans="1:20" x14ac:dyDescent="0.25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>
        <v>22</v>
      </c>
      <c r="J1292" s="4">
        <v>41639.050000000003</v>
      </c>
      <c r="K1292" s="6">
        <v>10.19</v>
      </c>
      <c r="L1292" s="4">
        <v>822712.68</v>
      </c>
      <c r="M1292" s="4" t="str" cm="1">
        <f t="array" ref="M1292">IF(Excel_Advanced_Sales_Dataset_2000__3[[#This Row],[Total Sales]]&gt;50000,{"Yes"},{"No"})</f>
        <v>Yes</v>
      </c>
      <c r="N1292" s="5">
        <v>46284</v>
      </c>
      <c r="O1292" s="1" t="s">
        <v>45</v>
      </c>
      <c r="P1292" t="s">
        <v>35</v>
      </c>
      <c r="Q1292" t="str">
        <f>IF(Excel_Advanced_Sales_Dataset_2000__3[[#This Row],[Delivery Status]]="Pending","Follow Up","Ok")</f>
        <v>Ok</v>
      </c>
      <c r="R1292" s="1" t="s">
        <v>26</v>
      </c>
      <c r="S1292">
        <f>Excel_Advanced_Sales_Dataset_2000__3[[#This Row],[Quantity]]*Excel_Advanced_Sales_Dataset_2000__3[[#This Row],[Unit Price]]*Excel_Advanced_Sales_Dataset_2000__3[[#This Row],[Discount %]]/100</f>
        <v>93346.422290000002</v>
      </c>
      <c r="T1292" s="4">
        <f>Excel_Advanced_Sales_Dataset_2000__3[[#This Row],[Quantity]]*Excel_Advanced_Sales_Dataset_2000__3[[#This Row],[Unit Price]]-Excel_Advanced_Sales_Dataset_2000__3[[#This Row],[Discount Amount]]</f>
        <v>822712.67771000008</v>
      </c>
    </row>
    <row r="1293" spans="1:20" x14ac:dyDescent="0.25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>
        <v>40</v>
      </c>
      <c r="J1293" s="4">
        <v>19010.48</v>
      </c>
      <c r="K1293" s="6">
        <v>18.84</v>
      </c>
      <c r="L1293" s="4">
        <v>617156.22</v>
      </c>
      <c r="M1293" s="4" t="str" cm="1">
        <f t="array" ref="M1293">IF(Excel_Advanced_Sales_Dataset_2000__3[[#This Row],[Total Sales]]&gt;50000,{"Yes"},{"No"})</f>
        <v>Yes</v>
      </c>
      <c r="N1293" s="5">
        <v>46189</v>
      </c>
      <c r="O1293" s="1" t="s">
        <v>113</v>
      </c>
      <c r="P1293" t="s">
        <v>35</v>
      </c>
      <c r="Q1293" t="str">
        <f>IF(Excel_Advanced_Sales_Dataset_2000__3[[#This Row],[Delivery Status]]="Pending","Follow Up","Ok")</f>
        <v>Ok</v>
      </c>
      <c r="R1293" s="1" t="s">
        <v>36</v>
      </c>
      <c r="S1293">
        <f>Excel_Advanced_Sales_Dataset_2000__3[[#This Row],[Quantity]]*Excel_Advanced_Sales_Dataset_2000__3[[#This Row],[Unit Price]]*Excel_Advanced_Sales_Dataset_2000__3[[#This Row],[Discount %]]/100</f>
        <v>143262.97727999999</v>
      </c>
      <c r="T1293" s="4">
        <f>Excel_Advanced_Sales_Dataset_2000__3[[#This Row],[Quantity]]*Excel_Advanced_Sales_Dataset_2000__3[[#This Row],[Unit Price]]-Excel_Advanced_Sales_Dataset_2000__3[[#This Row],[Discount Amount]]</f>
        <v>617156.22271999996</v>
      </c>
    </row>
    <row r="1294" spans="1:20" x14ac:dyDescent="0.25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>
        <v>27</v>
      </c>
      <c r="J1294" s="4">
        <v>42647.97</v>
      </c>
      <c r="K1294" s="6">
        <v>15.12</v>
      </c>
      <c r="L1294" s="4">
        <v>977389.12</v>
      </c>
      <c r="M1294" s="4" t="str" cm="1">
        <f t="array" ref="M1294">IF(Excel_Advanced_Sales_Dataset_2000__3[[#This Row],[Total Sales]]&gt;50000,{"Yes"},{"No"})</f>
        <v>Yes</v>
      </c>
      <c r="N1294" s="5">
        <v>46262</v>
      </c>
      <c r="O1294" s="1" t="s">
        <v>24</v>
      </c>
      <c r="P1294" t="s">
        <v>25</v>
      </c>
      <c r="Q1294" t="str">
        <f>IF(Excel_Advanced_Sales_Dataset_2000__3[[#This Row],[Delivery Status]]="Pending","Follow Up","Ok")</f>
        <v>Follow Up</v>
      </c>
      <c r="R1294" s="1" t="s">
        <v>36</v>
      </c>
      <c r="S1294">
        <f>Excel_Advanced_Sales_Dataset_2000__3[[#This Row],[Quantity]]*Excel_Advanced_Sales_Dataset_2000__3[[#This Row],[Unit Price]]*Excel_Advanced_Sales_Dataset_2000__3[[#This Row],[Discount %]]/100</f>
        <v>174106.072728</v>
      </c>
      <c r="T1294" s="4">
        <f>Excel_Advanced_Sales_Dataset_2000__3[[#This Row],[Quantity]]*Excel_Advanced_Sales_Dataset_2000__3[[#This Row],[Unit Price]]-Excel_Advanced_Sales_Dataset_2000__3[[#This Row],[Discount Amount]]</f>
        <v>977389.11727199994</v>
      </c>
    </row>
    <row r="1295" spans="1:20" x14ac:dyDescent="0.25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>
        <v>30</v>
      </c>
      <c r="J1295" s="4">
        <v>29861.57</v>
      </c>
      <c r="K1295" s="6">
        <v>19.29</v>
      </c>
      <c r="L1295" s="4">
        <v>723038.19</v>
      </c>
      <c r="M1295" s="4" t="str" cm="1">
        <f t="array" ref="M1295">IF(Excel_Advanced_Sales_Dataset_2000__3[[#This Row],[Total Sales]]&gt;50000,{"Yes"},{"No"})</f>
        <v>Yes</v>
      </c>
      <c r="N1295" s="5">
        <v>46097</v>
      </c>
      <c r="O1295" s="1" t="s">
        <v>113</v>
      </c>
      <c r="P1295" t="s">
        <v>35</v>
      </c>
      <c r="Q1295" t="str">
        <f>IF(Excel_Advanced_Sales_Dataset_2000__3[[#This Row],[Delivery Status]]="Pending","Follow Up","Ok")</f>
        <v>Ok</v>
      </c>
      <c r="R1295" s="1" t="s">
        <v>36</v>
      </c>
      <c r="S1295">
        <f>Excel_Advanced_Sales_Dataset_2000__3[[#This Row],[Quantity]]*Excel_Advanced_Sales_Dataset_2000__3[[#This Row],[Unit Price]]*Excel_Advanced_Sales_Dataset_2000__3[[#This Row],[Discount %]]/100</f>
        <v>172808.90559000001</v>
      </c>
      <c r="T1295" s="4">
        <f>Excel_Advanced_Sales_Dataset_2000__3[[#This Row],[Quantity]]*Excel_Advanced_Sales_Dataset_2000__3[[#This Row],[Unit Price]]-Excel_Advanced_Sales_Dataset_2000__3[[#This Row],[Discount Amount]]</f>
        <v>723038.19441</v>
      </c>
    </row>
    <row r="1296" spans="1:20" x14ac:dyDescent="0.25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>
        <v>4</v>
      </c>
      <c r="J1296" s="4">
        <v>33701.620000000003</v>
      </c>
      <c r="K1296" s="6">
        <v>9.75</v>
      </c>
      <c r="L1296" s="4">
        <v>121662.85</v>
      </c>
      <c r="M1296" s="4" t="str" cm="1">
        <f t="array" ref="M1296">IF(Excel_Advanced_Sales_Dataset_2000__3[[#This Row],[Total Sales]]&gt;50000,{"Yes"},{"No"})</f>
        <v>Yes</v>
      </c>
      <c r="N1296" s="5">
        <v>46193</v>
      </c>
      <c r="O1296" s="1" t="s">
        <v>58</v>
      </c>
      <c r="P1296" t="s">
        <v>35</v>
      </c>
      <c r="Q1296" t="str">
        <f>IF(Excel_Advanced_Sales_Dataset_2000__3[[#This Row],[Delivery Status]]="Pending","Follow Up","Ok")</f>
        <v>Ok</v>
      </c>
      <c r="R1296" s="1" t="s">
        <v>36</v>
      </c>
      <c r="S1296">
        <f>Excel_Advanced_Sales_Dataset_2000__3[[#This Row],[Quantity]]*Excel_Advanced_Sales_Dataset_2000__3[[#This Row],[Unit Price]]*Excel_Advanced_Sales_Dataset_2000__3[[#This Row],[Discount %]]/100</f>
        <v>13143.631800000001</v>
      </c>
      <c r="T1296" s="4">
        <f>Excel_Advanced_Sales_Dataset_2000__3[[#This Row],[Quantity]]*Excel_Advanced_Sales_Dataset_2000__3[[#This Row],[Unit Price]]-Excel_Advanced_Sales_Dataset_2000__3[[#This Row],[Discount Amount]]</f>
        <v>121662.84820000001</v>
      </c>
    </row>
    <row r="1297" spans="1:20" x14ac:dyDescent="0.25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>
        <v>16</v>
      </c>
      <c r="J1297" s="4">
        <v>5056.74</v>
      </c>
      <c r="K1297" s="6">
        <v>8.49</v>
      </c>
      <c r="L1297" s="4">
        <v>74038.759999999995</v>
      </c>
      <c r="M1297" s="4" t="str" cm="1">
        <f t="array" ref="M1297">IF(Excel_Advanced_Sales_Dataset_2000__3[[#This Row],[Total Sales]]&gt;50000,{"Yes"},{"No"})</f>
        <v>Yes</v>
      </c>
      <c r="N1297" s="5">
        <v>46268</v>
      </c>
      <c r="O1297" s="1" t="s">
        <v>68</v>
      </c>
      <c r="P1297" t="s">
        <v>35</v>
      </c>
      <c r="Q1297" t="str">
        <f>IF(Excel_Advanced_Sales_Dataset_2000__3[[#This Row],[Delivery Status]]="Pending","Follow Up","Ok")</f>
        <v>Ok</v>
      </c>
      <c r="R1297" s="1" t="s">
        <v>36</v>
      </c>
      <c r="S1297">
        <f>Excel_Advanced_Sales_Dataset_2000__3[[#This Row],[Quantity]]*Excel_Advanced_Sales_Dataset_2000__3[[#This Row],[Unit Price]]*Excel_Advanced_Sales_Dataset_2000__3[[#This Row],[Discount %]]/100</f>
        <v>6869.0756160000001</v>
      </c>
      <c r="T1297" s="4">
        <f>Excel_Advanced_Sales_Dataset_2000__3[[#This Row],[Quantity]]*Excel_Advanced_Sales_Dataset_2000__3[[#This Row],[Unit Price]]-Excel_Advanced_Sales_Dataset_2000__3[[#This Row],[Discount Amount]]</f>
        <v>74038.764383999995</v>
      </c>
    </row>
    <row r="1298" spans="1:20" x14ac:dyDescent="0.25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>
        <v>8</v>
      </c>
      <c r="J1298" s="4">
        <v>22543.01</v>
      </c>
      <c r="K1298" s="6">
        <v>7.19</v>
      </c>
      <c r="L1298" s="4">
        <v>167377.34</v>
      </c>
      <c r="M1298" s="4" t="str" cm="1">
        <f t="array" ref="M1298">IF(Excel_Advanced_Sales_Dataset_2000__3[[#This Row],[Total Sales]]&gt;50000,{"Yes"},{"No"})</f>
        <v>Yes</v>
      </c>
      <c r="N1298" s="5">
        <v>46196</v>
      </c>
      <c r="O1298" s="1" t="s">
        <v>113</v>
      </c>
      <c r="P1298" t="s">
        <v>35</v>
      </c>
      <c r="Q1298" t="str">
        <f>IF(Excel_Advanced_Sales_Dataset_2000__3[[#This Row],[Delivery Status]]="Pending","Follow Up","Ok")</f>
        <v>Ok</v>
      </c>
      <c r="R1298" s="1" t="s">
        <v>26</v>
      </c>
      <c r="S1298">
        <f>Excel_Advanced_Sales_Dataset_2000__3[[#This Row],[Quantity]]*Excel_Advanced_Sales_Dataset_2000__3[[#This Row],[Unit Price]]*Excel_Advanced_Sales_Dataset_2000__3[[#This Row],[Discount %]]/100</f>
        <v>12966.739351999999</v>
      </c>
      <c r="T1298" s="4">
        <f>Excel_Advanced_Sales_Dataset_2000__3[[#This Row],[Quantity]]*Excel_Advanced_Sales_Dataset_2000__3[[#This Row],[Unit Price]]-Excel_Advanced_Sales_Dataset_2000__3[[#This Row],[Discount Amount]]</f>
        <v>167377.34064799998</v>
      </c>
    </row>
    <row r="1299" spans="1:20" x14ac:dyDescent="0.25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>
        <v>13</v>
      </c>
      <c r="J1299" s="4">
        <v>18002.88</v>
      </c>
      <c r="K1299" s="6">
        <v>12.97</v>
      </c>
      <c r="L1299" s="4">
        <v>203682.78</v>
      </c>
      <c r="M1299" s="4" t="str" cm="1">
        <f t="array" ref="M1299">IF(Excel_Advanced_Sales_Dataset_2000__3[[#This Row],[Total Sales]]&gt;50000,{"Yes"},{"No"})</f>
        <v>Yes</v>
      </c>
      <c r="N1299" s="5">
        <v>46259</v>
      </c>
      <c r="O1299" s="1" t="s">
        <v>68</v>
      </c>
      <c r="P1299" t="s">
        <v>35</v>
      </c>
      <c r="Q1299" t="str">
        <f>IF(Excel_Advanced_Sales_Dataset_2000__3[[#This Row],[Delivery Status]]="Pending","Follow Up","Ok")</f>
        <v>Ok</v>
      </c>
      <c r="R1299" s="1" t="s">
        <v>36</v>
      </c>
      <c r="S1299">
        <f>Excel_Advanced_Sales_Dataset_2000__3[[#This Row],[Quantity]]*Excel_Advanced_Sales_Dataset_2000__3[[#This Row],[Unit Price]]*Excel_Advanced_Sales_Dataset_2000__3[[#This Row],[Discount %]]/100</f>
        <v>30354.655968000003</v>
      </c>
      <c r="T1299" s="4">
        <f>Excel_Advanced_Sales_Dataset_2000__3[[#This Row],[Quantity]]*Excel_Advanced_Sales_Dataset_2000__3[[#This Row],[Unit Price]]-Excel_Advanced_Sales_Dataset_2000__3[[#This Row],[Discount Amount]]</f>
        <v>203682.784032</v>
      </c>
    </row>
    <row r="1300" spans="1:20" x14ac:dyDescent="0.25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>
        <v>14</v>
      </c>
      <c r="J1300" s="4">
        <v>7102.6</v>
      </c>
      <c r="K1300" s="6">
        <v>13.04</v>
      </c>
      <c r="L1300" s="4">
        <v>86469.89</v>
      </c>
      <c r="M1300" s="4" t="str" cm="1">
        <f t="array" ref="M1300">IF(Excel_Advanced_Sales_Dataset_2000__3[[#This Row],[Total Sales]]&gt;50000,{"Yes"},{"No"})</f>
        <v>Yes</v>
      </c>
      <c r="N1300" s="5">
        <v>46146</v>
      </c>
      <c r="O1300" s="1" t="s">
        <v>113</v>
      </c>
      <c r="P1300" t="s">
        <v>35</v>
      </c>
      <c r="Q1300" t="str">
        <f>IF(Excel_Advanced_Sales_Dataset_2000__3[[#This Row],[Delivery Status]]="Pending","Follow Up","Ok")</f>
        <v>Ok</v>
      </c>
      <c r="R1300" s="1" t="s">
        <v>53</v>
      </c>
      <c r="S1300">
        <f>Excel_Advanced_Sales_Dataset_2000__3[[#This Row],[Quantity]]*Excel_Advanced_Sales_Dataset_2000__3[[#This Row],[Unit Price]]*Excel_Advanced_Sales_Dataset_2000__3[[#This Row],[Discount %]]/100</f>
        <v>12966.50656</v>
      </c>
      <c r="T1300" s="4">
        <f>Excel_Advanced_Sales_Dataset_2000__3[[#This Row],[Quantity]]*Excel_Advanced_Sales_Dataset_2000__3[[#This Row],[Unit Price]]-Excel_Advanced_Sales_Dataset_2000__3[[#This Row],[Discount Amount]]</f>
        <v>86469.893440000014</v>
      </c>
    </row>
    <row r="1301" spans="1:20" x14ac:dyDescent="0.25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>
        <v>32</v>
      </c>
      <c r="J1301" s="4">
        <v>28547.83</v>
      </c>
      <c r="K1301" s="6">
        <v>3.25</v>
      </c>
      <c r="L1301" s="4">
        <v>883840.82</v>
      </c>
      <c r="M1301" s="4" t="str" cm="1">
        <f t="array" ref="M1301">IF(Excel_Advanced_Sales_Dataset_2000__3[[#This Row],[Total Sales]]&gt;50000,{"Yes"},{"No"})</f>
        <v>Yes</v>
      </c>
      <c r="N1301" s="5">
        <v>46098</v>
      </c>
      <c r="O1301" s="1" t="s">
        <v>113</v>
      </c>
      <c r="P1301" t="s">
        <v>35</v>
      </c>
      <c r="Q1301" t="str">
        <f>IF(Excel_Advanced_Sales_Dataset_2000__3[[#This Row],[Delivery Status]]="Pending","Follow Up","Ok")</f>
        <v>Ok</v>
      </c>
      <c r="R1301" s="1" t="s">
        <v>26</v>
      </c>
      <c r="S1301">
        <f>Excel_Advanced_Sales_Dataset_2000__3[[#This Row],[Quantity]]*Excel_Advanced_Sales_Dataset_2000__3[[#This Row],[Unit Price]]*Excel_Advanced_Sales_Dataset_2000__3[[#This Row],[Discount %]]/100</f>
        <v>29689.743200000004</v>
      </c>
      <c r="T1301" s="4">
        <f>Excel_Advanced_Sales_Dataset_2000__3[[#This Row],[Quantity]]*Excel_Advanced_Sales_Dataset_2000__3[[#This Row],[Unit Price]]-Excel_Advanced_Sales_Dataset_2000__3[[#This Row],[Discount Amount]]</f>
        <v>883840.81680000003</v>
      </c>
    </row>
    <row r="1302" spans="1:20" x14ac:dyDescent="0.25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>
        <v>33</v>
      </c>
      <c r="J1302" s="4">
        <v>14562.15</v>
      </c>
      <c r="K1302" s="6">
        <v>19.010000000000002</v>
      </c>
      <c r="L1302" s="4">
        <v>389198.21</v>
      </c>
      <c r="M1302" s="4" t="str" cm="1">
        <f t="array" ref="M1302">IF(Excel_Advanced_Sales_Dataset_2000__3[[#This Row],[Total Sales]]&gt;50000,{"Yes"},{"No"})</f>
        <v>Yes</v>
      </c>
      <c r="N1302" s="5">
        <v>46267</v>
      </c>
      <c r="O1302" s="1" t="s">
        <v>24</v>
      </c>
      <c r="P1302" t="s">
        <v>35</v>
      </c>
      <c r="Q1302" t="str">
        <f>IF(Excel_Advanced_Sales_Dataset_2000__3[[#This Row],[Delivery Status]]="Pending","Follow Up","Ok")</f>
        <v>Ok</v>
      </c>
      <c r="R1302" s="1" t="s">
        <v>26</v>
      </c>
      <c r="S1302">
        <f>Excel_Advanced_Sales_Dataset_2000__3[[#This Row],[Quantity]]*Excel_Advanced_Sales_Dataset_2000__3[[#This Row],[Unit Price]]*Excel_Advanced_Sales_Dataset_2000__3[[#This Row],[Discount %]]/100</f>
        <v>91352.73559500002</v>
      </c>
      <c r="T1302" s="4">
        <f>Excel_Advanced_Sales_Dataset_2000__3[[#This Row],[Quantity]]*Excel_Advanced_Sales_Dataset_2000__3[[#This Row],[Unit Price]]-Excel_Advanced_Sales_Dataset_2000__3[[#This Row],[Discount Amount]]</f>
        <v>389198.21440499998</v>
      </c>
    </row>
    <row r="1303" spans="1:20" x14ac:dyDescent="0.25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>
        <v>16</v>
      </c>
      <c r="J1303" s="4">
        <v>20983.84</v>
      </c>
      <c r="K1303" s="6">
        <v>10.06</v>
      </c>
      <c r="L1303" s="4">
        <v>301965.84999999998</v>
      </c>
      <c r="M1303" s="4" t="str" cm="1">
        <f t="array" ref="M1303">IF(Excel_Advanced_Sales_Dataset_2000__3[[#This Row],[Total Sales]]&gt;50000,{"Yes"},{"No"})</f>
        <v>Yes</v>
      </c>
      <c r="N1303" s="5">
        <v>46348</v>
      </c>
      <c r="O1303" s="1" t="s">
        <v>45</v>
      </c>
      <c r="P1303" t="s">
        <v>35</v>
      </c>
      <c r="Q1303" t="str">
        <f>IF(Excel_Advanced_Sales_Dataset_2000__3[[#This Row],[Delivery Status]]="Pending","Follow Up","Ok")</f>
        <v>Ok</v>
      </c>
      <c r="R1303" s="1" t="s">
        <v>36</v>
      </c>
      <c r="S1303">
        <f>Excel_Advanced_Sales_Dataset_2000__3[[#This Row],[Quantity]]*Excel_Advanced_Sales_Dataset_2000__3[[#This Row],[Unit Price]]*Excel_Advanced_Sales_Dataset_2000__3[[#This Row],[Discount %]]/100</f>
        <v>33775.588864000005</v>
      </c>
      <c r="T1303" s="4">
        <f>Excel_Advanced_Sales_Dataset_2000__3[[#This Row],[Quantity]]*Excel_Advanced_Sales_Dataset_2000__3[[#This Row],[Unit Price]]-Excel_Advanced_Sales_Dataset_2000__3[[#This Row],[Discount Amount]]</f>
        <v>301965.85113600001</v>
      </c>
    </row>
    <row r="1304" spans="1:20" x14ac:dyDescent="0.25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>
        <v>27</v>
      </c>
      <c r="J1304" s="4">
        <v>42953.52</v>
      </c>
      <c r="K1304" s="6">
        <v>12.73</v>
      </c>
      <c r="L1304" s="4">
        <v>1012109.5</v>
      </c>
      <c r="M1304" s="4" t="str" cm="1">
        <f t="array" ref="M1304">IF(Excel_Advanced_Sales_Dataset_2000__3[[#This Row],[Total Sales]]&gt;50000,{"Yes"},{"No"})</f>
        <v>Yes</v>
      </c>
      <c r="N1304" s="5">
        <v>46306</v>
      </c>
      <c r="O1304" s="1" t="s">
        <v>24</v>
      </c>
      <c r="P1304" t="s">
        <v>35</v>
      </c>
      <c r="Q1304" t="str">
        <f>IF(Excel_Advanced_Sales_Dataset_2000__3[[#This Row],[Delivery Status]]="Pending","Follow Up","Ok")</f>
        <v>Ok</v>
      </c>
      <c r="R1304" s="1" t="s">
        <v>36</v>
      </c>
      <c r="S1304">
        <f>Excel_Advanced_Sales_Dataset_2000__3[[#This Row],[Quantity]]*Excel_Advanced_Sales_Dataset_2000__3[[#This Row],[Unit Price]]*Excel_Advanced_Sales_Dataset_2000__3[[#This Row],[Discount %]]/100</f>
        <v>147635.543592</v>
      </c>
      <c r="T1304" s="4">
        <f>Excel_Advanced_Sales_Dataset_2000__3[[#This Row],[Quantity]]*Excel_Advanced_Sales_Dataset_2000__3[[#This Row],[Unit Price]]-Excel_Advanced_Sales_Dataset_2000__3[[#This Row],[Discount Amount]]</f>
        <v>1012109.4964079998</v>
      </c>
    </row>
    <row r="1305" spans="1:20" x14ac:dyDescent="0.25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>
        <v>20</v>
      </c>
      <c r="J1305" s="4">
        <v>20795.87</v>
      </c>
      <c r="K1305" s="6">
        <v>7.3</v>
      </c>
      <c r="L1305" s="4">
        <v>385555.43</v>
      </c>
      <c r="M1305" s="4" t="str" cm="1">
        <f t="array" ref="M1305">IF(Excel_Advanced_Sales_Dataset_2000__3[[#This Row],[Total Sales]]&gt;50000,{"Yes"},{"No"})</f>
        <v>Yes</v>
      </c>
      <c r="N1305" s="5">
        <v>46127</v>
      </c>
      <c r="O1305" s="1" t="s">
        <v>24</v>
      </c>
      <c r="P1305" t="s">
        <v>35</v>
      </c>
      <c r="Q1305" t="str">
        <f>IF(Excel_Advanced_Sales_Dataset_2000__3[[#This Row],[Delivery Status]]="Pending","Follow Up","Ok")</f>
        <v>Ok</v>
      </c>
      <c r="R1305" s="1" t="s">
        <v>36</v>
      </c>
      <c r="S1305">
        <f>Excel_Advanced_Sales_Dataset_2000__3[[#This Row],[Quantity]]*Excel_Advanced_Sales_Dataset_2000__3[[#This Row],[Unit Price]]*Excel_Advanced_Sales_Dataset_2000__3[[#This Row],[Discount %]]/100</f>
        <v>30361.970199999996</v>
      </c>
      <c r="T1305" s="4">
        <f>Excel_Advanced_Sales_Dataset_2000__3[[#This Row],[Quantity]]*Excel_Advanced_Sales_Dataset_2000__3[[#This Row],[Unit Price]]-Excel_Advanced_Sales_Dataset_2000__3[[#This Row],[Discount Amount]]</f>
        <v>385555.42979999998</v>
      </c>
    </row>
    <row r="1306" spans="1:20" x14ac:dyDescent="0.25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>
        <v>41</v>
      </c>
      <c r="J1306" s="4">
        <v>11035.68</v>
      </c>
      <c r="K1306" s="6">
        <v>1.52</v>
      </c>
      <c r="L1306" s="4">
        <v>445585.44</v>
      </c>
      <c r="M1306" s="4" t="str" cm="1">
        <f t="array" ref="M1306">IF(Excel_Advanced_Sales_Dataset_2000__3[[#This Row],[Total Sales]]&gt;50000,{"Yes"},{"No"})</f>
        <v>Yes</v>
      </c>
      <c r="N1306" s="5">
        <v>46047</v>
      </c>
      <c r="O1306" s="1" t="s">
        <v>24</v>
      </c>
      <c r="P1306" t="s">
        <v>35</v>
      </c>
      <c r="Q1306" t="str">
        <f>IF(Excel_Advanced_Sales_Dataset_2000__3[[#This Row],[Delivery Status]]="Pending","Follow Up","Ok")</f>
        <v>Ok</v>
      </c>
      <c r="R1306" s="1" t="s">
        <v>26</v>
      </c>
      <c r="S1306">
        <f>Excel_Advanced_Sales_Dataset_2000__3[[#This Row],[Quantity]]*Excel_Advanced_Sales_Dataset_2000__3[[#This Row],[Unit Price]]*Excel_Advanced_Sales_Dataset_2000__3[[#This Row],[Discount %]]/100</f>
        <v>6877.4357759999994</v>
      </c>
      <c r="T1306" s="4">
        <f>Excel_Advanced_Sales_Dataset_2000__3[[#This Row],[Quantity]]*Excel_Advanced_Sales_Dataset_2000__3[[#This Row],[Unit Price]]-Excel_Advanced_Sales_Dataset_2000__3[[#This Row],[Discount Amount]]</f>
        <v>445585.44422399998</v>
      </c>
    </row>
    <row r="1307" spans="1:20" x14ac:dyDescent="0.25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>
        <v>39</v>
      </c>
      <c r="J1307" s="4">
        <v>23365.4</v>
      </c>
      <c r="K1307" s="6">
        <v>11.57</v>
      </c>
      <c r="L1307" s="4">
        <v>805818.91</v>
      </c>
      <c r="M1307" s="4" t="str" cm="1">
        <f t="array" ref="M1307">IF(Excel_Advanced_Sales_Dataset_2000__3[[#This Row],[Total Sales]]&gt;50000,{"Yes"},{"No"})</f>
        <v>Yes</v>
      </c>
      <c r="N1307" s="5">
        <v>46130</v>
      </c>
      <c r="O1307" s="1" t="s">
        <v>24</v>
      </c>
      <c r="P1307" t="s">
        <v>35</v>
      </c>
      <c r="Q1307" t="str">
        <f>IF(Excel_Advanced_Sales_Dataset_2000__3[[#This Row],[Delivery Status]]="Pending","Follow Up","Ok")</f>
        <v>Ok</v>
      </c>
      <c r="R1307" s="1" t="s">
        <v>26</v>
      </c>
      <c r="S1307">
        <f>Excel_Advanced_Sales_Dataset_2000__3[[#This Row],[Quantity]]*Excel_Advanced_Sales_Dataset_2000__3[[#This Row],[Unit Price]]*Excel_Advanced_Sales_Dataset_2000__3[[#This Row],[Discount %]]/100</f>
        <v>105431.69442000001</v>
      </c>
      <c r="T1307" s="4">
        <f>Excel_Advanced_Sales_Dataset_2000__3[[#This Row],[Quantity]]*Excel_Advanced_Sales_Dataset_2000__3[[#This Row],[Unit Price]]-Excel_Advanced_Sales_Dataset_2000__3[[#This Row],[Discount Amount]]</f>
        <v>805818.90558000002</v>
      </c>
    </row>
    <row r="1308" spans="1:20" x14ac:dyDescent="0.25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>
        <v>5</v>
      </c>
      <c r="J1308" s="4">
        <v>36081.480000000003</v>
      </c>
      <c r="K1308" s="6">
        <v>13.53</v>
      </c>
      <c r="L1308" s="4">
        <v>155998.28</v>
      </c>
      <c r="M1308" s="4" t="str" cm="1">
        <f t="array" ref="M1308">IF(Excel_Advanced_Sales_Dataset_2000__3[[#This Row],[Total Sales]]&gt;50000,{"Yes"},{"No"})</f>
        <v>Yes</v>
      </c>
      <c r="N1308" s="5">
        <v>46352</v>
      </c>
      <c r="O1308" s="1" t="s">
        <v>113</v>
      </c>
      <c r="P1308" t="s">
        <v>35</v>
      </c>
      <c r="Q1308" t="str">
        <f>IF(Excel_Advanced_Sales_Dataset_2000__3[[#This Row],[Delivery Status]]="Pending","Follow Up","Ok")</f>
        <v>Ok</v>
      </c>
      <c r="R1308" s="1" t="s">
        <v>26</v>
      </c>
      <c r="S1308">
        <f>Excel_Advanced_Sales_Dataset_2000__3[[#This Row],[Quantity]]*Excel_Advanced_Sales_Dataset_2000__3[[#This Row],[Unit Price]]*Excel_Advanced_Sales_Dataset_2000__3[[#This Row],[Discount %]]/100</f>
        <v>24409.121220000001</v>
      </c>
      <c r="T1308" s="4">
        <f>Excel_Advanced_Sales_Dataset_2000__3[[#This Row],[Quantity]]*Excel_Advanced_Sales_Dataset_2000__3[[#This Row],[Unit Price]]-Excel_Advanced_Sales_Dataset_2000__3[[#This Row],[Discount Amount]]</f>
        <v>155998.27878000002</v>
      </c>
    </row>
    <row r="1309" spans="1:20" x14ac:dyDescent="0.25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>
        <v>9</v>
      </c>
      <c r="J1309" s="4">
        <v>20539.52</v>
      </c>
      <c r="K1309" s="6">
        <v>2.15</v>
      </c>
      <c r="L1309" s="4">
        <v>180881.28</v>
      </c>
      <c r="M1309" s="4" t="str" cm="1">
        <f t="array" ref="M1309">IF(Excel_Advanced_Sales_Dataset_2000__3[[#This Row],[Total Sales]]&gt;50000,{"Yes"},{"No"})</f>
        <v>Yes</v>
      </c>
      <c r="N1309" s="5">
        <v>46224</v>
      </c>
      <c r="O1309" s="1" t="s">
        <v>113</v>
      </c>
      <c r="P1309" t="s">
        <v>35</v>
      </c>
      <c r="Q1309" t="str">
        <f>IF(Excel_Advanced_Sales_Dataset_2000__3[[#This Row],[Delivery Status]]="Pending","Follow Up","Ok")</f>
        <v>Ok</v>
      </c>
      <c r="R1309" s="1" t="s">
        <v>36</v>
      </c>
      <c r="S1309">
        <f>Excel_Advanced_Sales_Dataset_2000__3[[#This Row],[Quantity]]*Excel_Advanced_Sales_Dataset_2000__3[[#This Row],[Unit Price]]*Excel_Advanced_Sales_Dataset_2000__3[[#This Row],[Discount %]]/100</f>
        <v>3974.3971199999996</v>
      </c>
      <c r="T1309" s="4">
        <f>Excel_Advanced_Sales_Dataset_2000__3[[#This Row],[Quantity]]*Excel_Advanced_Sales_Dataset_2000__3[[#This Row],[Unit Price]]-Excel_Advanced_Sales_Dataset_2000__3[[#This Row],[Discount Amount]]</f>
        <v>180881.28287999998</v>
      </c>
    </row>
    <row r="1310" spans="1:20" x14ac:dyDescent="0.25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>
        <v>43</v>
      </c>
      <c r="J1310" s="4">
        <v>39274.620000000003</v>
      </c>
      <c r="K1310" s="6">
        <v>19.03</v>
      </c>
      <c r="L1310" s="4">
        <v>1367428.37</v>
      </c>
      <c r="M1310" s="4" t="str" cm="1">
        <f t="array" ref="M1310">IF(Excel_Advanced_Sales_Dataset_2000__3[[#This Row],[Total Sales]]&gt;50000,{"Yes"},{"No"})</f>
        <v>Yes</v>
      </c>
      <c r="N1310" s="5">
        <v>46360</v>
      </c>
      <c r="O1310" s="1" t="s">
        <v>113</v>
      </c>
      <c r="P1310" t="s">
        <v>35</v>
      </c>
      <c r="Q1310" t="str">
        <f>IF(Excel_Advanced_Sales_Dataset_2000__3[[#This Row],[Delivery Status]]="Pending","Follow Up","Ok")</f>
        <v>Ok</v>
      </c>
      <c r="R1310" s="1" t="s">
        <v>53</v>
      </c>
      <c r="S1310">
        <f>Excel_Advanced_Sales_Dataset_2000__3[[#This Row],[Quantity]]*Excel_Advanced_Sales_Dataset_2000__3[[#This Row],[Unit Price]]*Excel_Advanced_Sales_Dataset_2000__3[[#This Row],[Discount %]]/100</f>
        <v>321380.28799800004</v>
      </c>
      <c r="T1310" s="4">
        <f>Excel_Advanced_Sales_Dataset_2000__3[[#This Row],[Quantity]]*Excel_Advanced_Sales_Dataset_2000__3[[#This Row],[Unit Price]]-Excel_Advanced_Sales_Dataset_2000__3[[#This Row],[Discount Amount]]</f>
        <v>1367428.372002</v>
      </c>
    </row>
    <row r="1311" spans="1:20" x14ac:dyDescent="0.25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>
        <v>16</v>
      </c>
      <c r="J1311" s="4">
        <v>2020.27</v>
      </c>
      <c r="K1311" s="6">
        <v>15.99</v>
      </c>
      <c r="L1311" s="4">
        <v>27155.66</v>
      </c>
      <c r="M1311" s="4" t="str" cm="1">
        <f t="array" ref="M1311">IF(Excel_Advanced_Sales_Dataset_2000__3[[#This Row],[Total Sales]]&gt;50000,{"Yes"},{"No"})</f>
        <v>No</v>
      </c>
      <c r="N1311" s="5">
        <v>46320</v>
      </c>
      <c r="O1311" s="1" t="s">
        <v>45</v>
      </c>
      <c r="P1311" t="s">
        <v>35</v>
      </c>
      <c r="Q1311" t="str">
        <f>IF(Excel_Advanced_Sales_Dataset_2000__3[[#This Row],[Delivery Status]]="Pending","Follow Up","Ok")</f>
        <v>Ok</v>
      </c>
      <c r="R1311" s="1" t="s">
        <v>26</v>
      </c>
      <c r="S1311">
        <f>Excel_Advanced_Sales_Dataset_2000__3[[#This Row],[Quantity]]*Excel_Advanced_Sales_Dataset_2000__3[[#This Row],[Unit Price]]*Excel_Advanced_Sales_Dataset_2000__3[[#This Row],[Discount %]]/100</f>
        <v>5168.6587680000002</v>
      </c>
      <c r="T1311" s="4">
        <f>Excel_Advanced_Sales_Dataset_2000__3[[#This Row],[Quantity]]*Excel_Advanced_Sales_Dataset_2000__3[[#This Row],[Unit Price]]-Excel_Advanced_Sales_Dataset_2000__3[[#This Row],[Discount Amount]]</f>
        <v>27155.661231999999</v>
      </c>
    </row>
    <row r="1312" spans="1:20" x14ac:dyDescent="0.25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>
        <v>46</v>
      </c>
      <c r="J1312" s="4">
        <v>13216.73</v>
      </c>
      <c r="K1312" s="6">
        <v>5.51</v>
      </c>
      <c r="L1312" s="4">
        <v>574470.46</v>
      </c>
      <c r="M1312" s="4" t="str" cm="1">
        <f t="array" ref="M1312">IF(Excel_Advanced_Sales_Dataset_2000__3[[#This Row],[Total Sales]]&gt;50000,{"Yes"},{"No"})</f>
        <v>Yes</v>
      </c>
      <c r="N1312" s="5">
        <v>46185</v>
      </c>
      <c r="O1312" s="1" t="s">
        <v>113</v>
      </c>
      <c r="P1312" t="s">
        <v>35</v>
      </c>
      <c r="Q1312" t="str">
        <f>IF(Excel_Advanced_Sales_Dataset_2000__3[[#This Row],[Delivery Status]]="Pending","Follow Up","Ok")</f>
        <v>Ok</v>
      </c>
      <c r="R1312" s="1" t="s">
        <v>53</v>
      </c>
      <c r="S1312">
        <f>Excel_Advanced_Sales_Dataset_2000__3[[#This Row],[Quantity]]*Excel_Advanced_Sales_Dataset_2000__3[[#This Row],[Unit Price]]*Excel_Advanced_Sales_Dataset_2000__3[[#This Row],[Discount %]]/100</f>
        <v>33499.123857999999</v>
      </c>
      <c r="T1312" s="4">
        <f>Excel_Advanced_Sales_Dataset_2000__3[[#This Row],[Quantity]]*Excel_Advanced_Sales_Dataset_2000__3[[#This Row],[Unit Price]]-Excel_Advanced_Sales_Dataset_2000__3[[#This Row],[Discount Amount]]</f>
        <v>574470.45614199992</v>
      </c>
    </row>
    <row r="1313" spans="1:20" x14ac:dyDescent="0.25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>
        <v>45</v>
      </c>
      <c r="J1313" s="4">
        <v>1177.3699999999999</v>
      </c>
      <c r="K1313" s="6">
        <v>13.68</v>
      </c>
      <c r="L1313" s="4">
        <v>45733.760000000002</v>
      </c>
      <c r="M1313" s="4" t="str" cm="1">
        <f t="array" ref="M1313">IF(Excel_Advanced_Sales_Dataset_2000__3[[#This Row],[Total Sales]]&gt;50000,{"Yes"},{"No"})</f>
        <v>No</v>
      </c>
      <c r="N1313" s="5">
        <v>46375</v>
      </c>
      <c r="O1313" s="1" t="s">
        <v>68</v>
      </c>
      <c r="P1313" t="s">
        <v>35</v>
      </c>
      <c r="Q1313" t="str">
        <f>IF(Excel_Advanced_Sales_Dataset_2000__3[[#This Row],[Delivery Status]]="Pending","Follow Up","Ok")</f>
        <v>Ok</v>
      </c>
      <c r="R1313" s="1" t="s">
        <v>26</v>
      </c>
      <c r="S1313">
        <f>Excel_Advanced_Sales_Dataset_2000__3[[#This Row],[Quantity]]*Excel_Advanced_Sales_Dataset_2000__3[[#This Row],[Unit Price]]*Excel_Advanced_Sales_Dataset_2000__3[[#This Row],[Discount %]]/100</f>
        <v>7247.8897199999992</v>
      </c>
      <c r="T1313" s="4">
        <f>Excel_Advanced_Sales_Dataset_2000__3[[#This Row],[Quantity]]*Excel_Advanced_Sales_Dataset_2000__3[[#This Row],[Unit Price]]-Excel_Advanced_Sales_Dataset_2000__3[[#This Row],[Discount Amount]]</f>
        <v>45733.760279999995</v>
      </c>
    </row>
    <row r="1314" spans="1:20" x14ac:dyDescent="0.25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>
        <v>14</v>
      </c>
      <c r="J1314" s="4">
        <v>9694.99</v>
      </c>
      <c r="K1314" s="6">
        <v>0.02</v>
      </c>
      <c r="L1314" s="4">
        <v>135702.71</v>
      </c>
      <c r="M1314" s="4" t="str" cm="1">
        <f t="array" ref="M1314">IF(Excel_Advanced_Sales_Dataset_2000__3[[#This Row],[Total Sales]]&gt;50000,{"Yes"},{"No"})</f>
        <v>Yes</v>
      </c>
      <c r="N1314" s="5">
        <v>46134</v>
      </c>
      <c r="O1314" s="1" t="s">
        <v>45</v>
      </c>
      <c r="P1314" t="s">
        <v>59</v>
      </c>
      <c r="Q1314" t="str">
        <f>IF(Excel_Advanced_Sales_Dataset_2000__3[[#This Row],[Delivery Status]]="Pending","Follow Up","Ok")</f>
        <v>Ok</v>
      </c>
      <c r="R1314" s="1" t="s">
        <v>36</v>
      </c>
      <c r="S1314">
        <f>Excel_Advanced_Sales_Dataset_2000__3[[#This Row],[Quantity]]*Excel_Advanced_Sales_Dataset_2000__3[[#This Row],[Unit Price]]*Excel_Advanced_Sales_Dataset_2000__3[[#This Row],[Discount %]]/100</f>
        <v>27.145971999999997</v>
      </c>
      <c r="T1314" s="4">
        <f>Excel_Advanced_Sales_Dataset_2000__3[[#This Row],[Quantity]]*Excel_Advanced_Sales_Dataset_2000__3[[#This Row],[Unit Price]]-Excel_Advanced_Sales_Dataset_2000__3[[#This Row],[Discount Amount]]</f>
        <v>135702.71402799999</v>
      </c>
    </row>
    <row r="1315" spans="1:20" x14ac:dyDescent="0.25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>
        <v>40</v>
      </c>
      <c r="J1315" s="4">
        <v>4063.98</v>
      </c>
      <c r="K1315" s="6">
        <v>13.78</v>
      </c>
      <c r="L1315" s="4">
        <v>140158.54</v>
      </c>
      <c r="M1315" s="4" t="str" cm="1">
        <f t="array" ref="M1315">IF(Excel_Advanced_Sales_Dataset_2000__3[[#This Row],[Total Sales]]&gt;50000,{"Yes"},{"No"})</f>
        <v>Yes</v>
      </c>
      <c r="N1315" s="5">
        <v>46065</v>
      </c>
      <c r="O1315" s="1" t="s">
        <v>68</v>
      </c>
      <c r="P1315" t="s">
        <v>35</v>
      </c>
      <c r="Q1315" t="str">
        <f>IF(Excel_Advanced_Sales_Dataset_2000__3[[#This Row],[Delivery Status]]="Pending","Follow Up","Ok")</f>
        <v>Ok</v>
      </c>
      <c r="R1315" s="1" t="s">
        <v>53</v>
      </c>
      <c r="S1315">
        <f>Excel_Advanced_Sales_Dataset_2000__3[[#This Row],[Quantity]]*Excel_Advanced_Sales_Dataset_2000__3[[#This Row],[Unit Price]]*Excel_Advanced_Sales_Dataset_2000__3[[#This Row],[Discount %]]/100</f>
        <v>22400.657760000002</v>
      </c>
      <c r="T1315" s="4">
        <f>Excel_Advanced_Sales_Dataset_2000__3[[#This Row],[Quantity]]*Excel_Advanced_Sales_Dataset_2000__3[[#This Row],[Unit Price]]-Excel_Advanced_Sales_Dataset_2000__3[[#This Row],[Discount Amount]]</f>
        <v>140158.54224000001</v>
      </c>
    </row>
    <row r="1316" spans="1:20" x14ac:dyDescent="0.25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>
        <v>39</v>
      </c>
      <c r="J1316" s="4">
        <v>1990.07</v>
      </c>
      <c r="K1316" s="6">
        <v>3.4</v>
      </c>
      <c r="L1316" s="4">
        <v>74973.899999999994</v>
      </c>
      <c r="M1316" s="4" t="str" cm="1">
        <f t="array" ref="M1316">IF(Excel_Advanced_Sales_Dataset_2000__3[[#This Row],[Total Sales]]&gt;50000,{"Yes"},{"No"})</f>
        <v>Yes</v>
      </c>
      <c r="N1316" s="5">
        <v>46223</v>
      </c>
      <c r="O1316" s="1" t="s">
        <v>24</v>
      </c>
      <c r="P1316" t="s">
        <v>25</v>
      </c>
      <c r="Q1316" t="str">
        <f>IF(Excel_Advanced_Sales_Dataset_2000__3[[#This Row],[Delivery Status]]="Pending","Follow Up","Ok")</f>
        <v>Follow Up</v>
      </c>
      <c r="R1316" s="1" t="s">
        <v>36</v>
      </c>
      <c r="S1316">
        <f>Excel_Advanced_Sales_Dataset_2000__3[[#This Row],[Quantity]]*Excel_Advanced_Sales_Dataset_2000__3[[#This Row],[Unit Price]]*Excel_Advanced_Sales_Dataset_2000__3[[#This Row],[Discount %]]/100</f>
        <v>2638.8328200000001</v>
      </c>
      <c r="T1316" s="4">
        <f>Excel_Advanced_Sales_Dataset_2000__3[[#This Row],[Quantity]]*Excel_Advanced_Sales_Dataset_2000__3[[#This Row],[Unit Price]]-Excel_Advanced_Sales_Dataset_2000__3[[#This Row],[Discount Amount]]</f>
        <v>74973.89718</v>
      </c>
    </row>
    <row r="1317" spans="1:20" x14ac:dyDescent="0.25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>
        <v>28</v>
      </c>
      <c r="J1317" s="4">
        <v>25710.84</v>
      </c>
      <c r="K1317" s="6">
        <v>4.3499999999999996</v>
      </c>
      <c r="L1317" s="4">
        <v>688587.72</v>
      </c>
      <c r="M1317" s="4" t="str" cm="1">
        <f t="array" ref="M1317">IF(Excel_Advanced_Sales_Dataset_2000__3[[#This Row],[Total Sales]]&gt;50000,{"Yes"},{"No"})</f>
        <v>Yes</v>
      </c>
      <c r="N1317" s="5">
        <v>46332</v>
      </c>
      <c r="O1317" s="1" t="s">
        <v>45</v>
      </c>
      <c r="P1317" t="s">
        <v>25</v>
      </c>
      <c r="Q1317" t="str">
        <f>IF(Excel_Advanced_Sales_Dataset_2000__3[[#This Row],[Delivery Status]]="Pending","Follow Up","Ok")</f>
        <v>Follow Up</v>
      </c>
      <c r="R1317" s="1" t="s">
        <v>26</v>
      </c>
      <c r="S1317">
        <f>Excel_Advanced_Sales_Dataset_2000__3[[#This Row],[Quantity]]*Excel_Advanced_Sales_Dataset_2000__3[[#This Row],[Unit Price]]*Excel_Advanced_Sales_Dataset_2000__3[[#This Row],[Discount %]]/100</f>
        <v>31315.80312</v>
      </c>
      <c r="T1317" s="4">
        <f>Excel_Advanced_Sales_Dataset_2000__3[[#This Row],[Quantity]]*Excel_Advanced_Sales_Dataset_2000__3[[#This Row],[Unit Price]]-Excel_Advanced_Sales_Dataset_2000__3[[#This Row],[Discount Amount]]</f>
        <v>688587.71687999996</v>
      </c>
    </row>
    <row r="1318" spans="1:20" x14ac:dyDescent="0.25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>
        <v>2</v>
      </c>
      <c r="J1318" s="4">
        <v>26383.65</v>
      </c>
      <c r="K1318" s="6">
        <v>14.37</v>
      </c>
      <c r="L1318" s="4">
        <v>45184.639999999999</v>
      </c>
      <c r="M1318" s="4" t="str" cm="1">
        <f t="array" ref="M1318">IF(Excel_Advanced_Sales_Dataset_2000__3[[#This Row],[Total Sales]]&gt;50000,{"Yes"},{"No"})</f>
        <v>No</v>
      </c>
      <c r="N1318" s="5">
        <v>46268</v>
      </c>
      <c r="O1318" s="1" t="s">
        <v>45</v>
      </c>
      <c r="P1318" t="s">
        <v>35</v>
      </c>
      <c r="Q1318" t="str">
        <f>IF(Excel_Advanced_Sales_Dataset_2000__3[[#This Row],[Delivery Status]]="Pending","Follow Up","Ok")</f>
        <v>Ok</v>
      </c>
      <c r="R1318" s="1" t="s">
        <v>26</v>
      </c>
      <c r="S1318">
        <f>Excel_Advanced_Sales_Dataset_2000__3[[#This Row],[Quantity]]*Excel_Advanced_Sales_Dataset_2000__3[[#This Row],[Unit Price]]*Excel_Advanced_Sales_Dataset_2000__3[[#This Row],[Discount %]]/100</f>
        <v>7582.6610099999998</v>
      </c>
      <c r="T1318" s="4">
        <f>Excel_Advanced_Sales_Dataset_2000__3[[#This Row],[Quantity]]*Excel_Advanced_Sales_Dataset_2000__3[[#This Row],[Unit Price]]-Excel_Advanced_Sales_Dataset_2000__3[[#This Row],[Discount Amount]]</f>
        <v>45184.638990000007</v>
      </c>
    </row>
    <row r="1319" spans="1:20" x14ac:dyDescent="0.25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>
        <v>6</v>
      </c>
      <c r="J1319" s="4">
        <v>36762.129999999997</v>
      </c>
      <c r="K1319" s="6">
        <v>14.42</v>
      </c>
      <c r="L1319" s="4">
        <v>188766.19</v>
      </c>
      <c r="M1319" s="4" t="str" cm="1">
        <f t="array" ref="M1319">IF(Excel_Advanced_Sales_Dataset_2000__3[[#This Row],[Total Sales]]&gt;50000,{"Yes"},{"No"})</f>
        <v>Yes</v>
      </c>
      <c r="N1319" s="5">
        <v>46254</v>
      </c>
      <c r="O1319" s="1" t="s">
        <v>58</v>
      </c>
      <c r="P1319" t="s">
        <v>35</v>
      </c>
      <c r="Q1319" t="str">
        <f>IF(Excel_Advanced_Sales_Dataset_2000__3[[#This Row],[Delivery Status]]="Pending","Follow Up","Ok")</f>
        <v>Ok</v>
      </c>
      <c r="R1319" s="1" t="s">
        <v>36</v>
      </c>
      <c r="S1319">
        <f>Excel_Advanced_Sales_Dataset_2000__3[[#This Row],[Quantity]]*Excel_Advanced_Sales_Dataset_2000__3[[#This Row],[Unit Price]]*Excel_Advanced_Sales_Dataset_2000__3[[#This Row],[Discount %]]/100</f>
        <v>31806.594875999996</v>
      </c>
      <c r="T1319" s="4">
        <f>Excel_Advanced_Sales_Dataset_2000__3[[#This Row],[Quantity]]*Excel_Advanced_Sales_Dataset_2000__3[[#This Row],[Unit Price]]-Excel_Advanced_Sales_Dataset_2000__3[[#This Row],[Discount Amount]]</f>
        <v>188766.18512399998</v>
      </c>
    </row>
    <row r="1320" spans="1:20" x14ac:dyDescent="0.25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>
        <v>21</v>
      </c>
      <c r="J1320" s="4">
        <v>34638.78</v>
      </c>
      <c r="K1320" s="6">
        <v>5.01</v>
      </c>
      <c r="L1320" s="4">
        <v>690970.92</v>
      </c>
      <c r="M1320" s="4" t="str" cm="1">
        <f t="array" ref="M1320">IF(Excel_Advanced_Sales_Dataset_2000__3[[#This Row],[Total Sales]]&gt;50000,{"Yes"},{"No"})</f>
        <v>Yes</v>
      </c>
      <c r="N1320" s="5">
        <v>46178</v>
      </c>
      <c r="O1320" s="1" t="s">
        <v>24</v>
      </c>
      <c r="P1320" t="s">
        <v>35</v>
      </c>
      <c r="Q1320" t="str">
        <f>IF(Excel_Advanced_Sales_Dataset_2000__3[[#This Row],[Delivery Status]]="Pending","Follow Up","Ok")</f>
        <v>Ok</v>
      </c>
      <c r="R1320" s="1" t="s">
        <v>26</v>
      </c>
      <c r="S1320">
        <f>Excel_Advanced_Sales_Dataset_2000__3[[#This Row],[Quantity]]*Excel_Advanced_Sales_Dataset_2000__3[[#This Row],[Unit Price]]*Excel_Advanced_Sales_Dataset_2000__3[[#This Row],[Discount %]]/100</f>
        <v>36443.460437999995</v>
      </c>
      <c r="T1320" s="4">
        <f>Excel_Advanced_Sales_Dataset_2000__3[[#This Row],[Quantity]]*Excel_Advanced_Sales_Dataset_2000__3[[#This Row],[Unit Price]]-Excel_Advanced_Sales_Dataset_2000__3[[#This Row],[Discount Amount]]</f>
        <v>690970.91956199997</v>
      </c>
    </row>
    <row r="1321" spans="1:20" x14ac:dyDescent="0.25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>
        <v>12</v>
      </c>
      <c r="J1321" s="4">
        <v>29732.46</v>
      </c>
      <c r="K1321" s="6">
        <v>4.38</v>
      </c>
      <c r="L1321" s="4">
        <v>341162.14</v>
      </c>
      <c r="M1321" s="4" t="str" cm="1">
        <f t="array" ref="M1321">IF(Excel_Advanced_Sales_Dataset_2000__3[[#This Row],[Total Sales]]&gt;50000,{"Yes"},{"No"})</f>
        <v>Yes</v>
      </c>
      <c r="N1321" s="5">
        <v>46353</v>
      </c>
      <c r="O1321" s="1" t="s">
        <v>24</v>
      </c>
      <c r="P1321" t="s">
        <v>25</v>
      </c>
      <c r="Q1321" t="str">
        <f>IF(Excel_Advanced_Sales_Dataset_2000__3[[#This Row],[Delivery Status]]="Pending","Follow Up","Ok")</f>
        <v>Follow Up</v>
      </c>
      <c r="R1321" s="1" t="s">
        <v>53</v>
      </c>
      <c r="S1321">
        <f>Excel_Advanced_Sales_Dataset_2000__3[[#This Row],[Quantity]]*Excel_Advanced_Sales_Dataset_2000__3[[#This Row],[Unit Price]]*Excel_Advanced_Sales_Dataset_2000__3[[#This Row],[Discount %]]/100</f>
        <v>15627.380976</v>
      </c>
      <c r="T1321" s="4">
        <f>Excel_Advanced_Sales_Dataset_2000__3[[#This Row],[Quantity]]*Excel_Advanced_Sales_Dataset_2000__3[[#This Row],[Unit Price]]-Excel_Advanced_Sales_Dataset_2000__3[[#This Row],[Discount Amount]]</f>
        <v>341162.13902400003</v>
      </c>
    </row>
    <row r="1322" spans="1:20" x14ac:dyDescent="0.25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>
        <v>15</v>
      </c>
      <c r="J1322" s="4">
        <v>11185.88</v>
      </c>
      <c r="K1322" s="6">
        <v>15.22</v>
      </c>
      <c r="L1322" s="4">
        <v>142250.84</v>
      </c>
      <c r="M1322" s="4" t="str" cm="1">
        <f t="array" ref="M1322">IF(Excel_Advanced_Sales_Dataset_2000__3[[#This Row],[Total Sales]]&gt;50000,{"Yes"},{"No"})</f>
        <v>Yes</v>
      </c>
      <c r="N1322" s="5">
        <v>46194</v>
      </c>
      <c r="O1322" s="1" t="s">
        <v>24</v>
      </c>
      <c r="P1322" t="s">
        <v>35</v>
      </c>
      <c r="Q1322" t="str">
        <f>IF(Excel_Advanced_Sales_Dataset_2000__3[[#This Row],[Delivery Status]]="Pending","Follow Up","Ok")</f>
        <v>Ok</v>
      </c>
      <c r="R1322" s="1" t="s">
        <v>53</v>
      </c>
      <c r="S1322">
        <f>Excel_Advanced_Sales_Dataset_2000__3[[#This Row],[Quantity]]*Excel_Advanced_Sales_Dataset_2000__3[[#This Row],[Unit Price]]*Excel_Advanced_Sales_Dataset_2000__3[[#This Row],[Discount %]]/100</f>
        <v>25537.364039999997</v>
      </c>
      <c r="T1322" s="4">
        <f>Excel_Advanced_Sales_Dataset_2000__3[[#This Row],[Quantity]]*Excel_Advanced_Sales_Dataset_2000__3[[#This Row],[Unit Price]]-Excel_Advanced_Sales_Dataset_2000__3[[#This Row],[Discount Amount]]</f>
        <v>142250.83596</v>
      </c>
    </row>
    <row r="1323" spans="1:20" x14ac:dyDescent="0.25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>
        <v>6</v>
      </c>
      <c r="J1323" s="4">
        <v>17226.13</v>
      </c>
      <c r="K1323" s="6">
        <v>14.95</v>
      </c>
      <c r="L1323" s="4">
        <v>87904.94</v>
      </c>
      <c r="M1323" s="4" t="str" cm="1">
        <f t="array" ref="M1323">IF(Excel_Advanced_Sales_Dataset_2000__3[[#This Row],[Total Sales]]&gt;50000,{"Yes"},{"No"})</f>
        <v>Yes</v>
      </c>
      <c r="N1323" s="5">
        <v>46268</v>
      </c>
      <c r="O1323" s="1" t="s">
        <v>113</v>
      </c>
      <c r="P1323" t="s">
        <v>35</v>
      </c>
      <c r="Q1323" t="str">
        <f>IF(Excel_Advanced_Sales_Dataset_2000__3[[#This Row],[Delivery Status]]="Pending","Follow Up","Ok")</f>
        <v>Ok</v>
      </c>
      <c r="R1323" s="1" t="s">
        <v>53</v>
      </c>
      <c r="S1323">
        <f>Excel_Advanced_Sales_Dataset_2000__3[[#This Row],[Quantity]]*Excel_Advanced_Sales_Dataset_2000__3[[#This Row],[Unit Price]]*Excel_Advanced_Sales_Dataset_2000__3[[#This Row],[Discount %]]/100</f>
        <v>15451.838609999999</v>
      </c>
      <c r="T1323" s="4">
        <f>Excel_Advanced_Sales_Dataset_2000__3[[#This Row],[Quantity]]*Excel_Advanced_Sales_Dataset_2000__3[[#This Row],[Unit Price]]-Excel_Advanced_Sales_Dataset_2000__3[[#This Row],[Discount Amount]]</f>
        <v>87904.941389999993</v>
      </c>
    </row>
    <row r="1324" spans="1:20" x14ac:dyDescent="0.25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>
        <v>21</v>
      </c>
      <c r="J1324" s="4">
        <v>19205.96</v>
      </c>
      <c r="K1324" s="6">
        <v>1.77</v>
      </c>
      <c r="L1324" s="4">
        <v>396186.3</v>
      </c>
      <c r="M1324" s="4" t="str" cm="1">
        <f t="array" ref="M1324">IF(Excel_Advanced_Sales_Dataset_2000__3[[#This Row],[Total Sales]]&gt;50000,{"Yes"},{"No"})</f>
        <v>Yes</v>
      </c>
      <c r="N1324" s="5">
        <v>46330</v>
      </c>
      <c r="O1324" s="1" t="s">
        <v>24</v>
      </c>
      <c r="P1324" t="s">
        <v>35</v>
      </c>
      <c r="Q1324" t="str">
        <f>IF(Excel_Advanced_Sales_Dataset_2000__3[[#This Row],[Delivery Status]]="Pending","Follow Up","Ok")</f>
        <v>Ok</v>
      </c>
      <c r="R1324" s="1" t="s">
        <v>53</v>
      </c>
      <c r="S1324">
        <f>Excel_Advanced_Sales_Dataset_2000__3[[#This Row],[Quantity]]*Excel_Advanced_Sales_Dataset_2000__3[[#This Row],[Unit Price]]*Excel_Advanced_Sales_Dataset_2000__3[[#This Row],[Discount %]]/100</f>
        <v>7138.8553319999992</v>
      </c>
      <c r="T1324" s="4">
        <f>Excel_Advanced_Sales_Dataset_2000__3[[#This Row],[Quantity]]*Excel_Advanced_Sales_Dataset_2000__3[[#This Row],[Unit Price]]-Excel_Advanced_Sales_Dataset_2000__3[[#This Row],[Discount Amount]]</f>
        <v>396186.30466799997</v>
      </c>
    </row>
    <row r="1325" spans="1:20" x14ac:dyDescent="0.25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>
        <v>49</v>
      </c>
      <c r="J1325" s="4">
        <v>40397.919999999998</v>
      </c>
      <c r="K1325" s="6">
        <v>14.76</v>
      </c>
      <c r="L1325" s="4">
        <v>1687324.16</v>
      </c>
      <c r="M1325" s="4" t="str" cm="1">
        <f t="array" ref="M1325">IF(Excel_Advanced_Sales_Dataset_2000__3[[#This Row],[Total Sales]]&gt;50000,{"Yes"},{"No"})</f>
        <v>Yes</v>
      </c>
      <c r="N1325" s="5">
        <v>46333</v>
      </c>
      <c r="O1325" s="1" t="s">
        <v>113</v>
      </c>
      <c r="P1325" t="s">
        <v>35</v>
      </c>
      <c r="Q1325" t="str">
        <f>IF(Excel_Advanced_Sales_Dataset_2000__3[[#This Row],[Delivery Status]]="Pending","Follow Up","Ok")</f>
        <v>Ok</v>
      </c>
      <c r="R1325" s="1" t="s">
        <v>36</v>
      </c>
      <c r="S1325">
        <f>Excel_Advanced_Sales_Dataset_2000__3[[#This Row],[Quantity]]*Excel_Advanced_Sales_Dataset_2000__3[[#This Row],[Unit Price]]*Excel_Advanced_Sales_Dataset_2000__3[[#This Row],[Discount %]]/100</f>
        <v>292173.916608</v>
      </c>
      <c r="T1325" s="4">
        <f>Excel_Advanced_Sales_Dataset_2000__3[[#This Row],[Quantity]]*Excel_Advanced_Sales_Dataset_2000__3[[#This Row],[Unit Price]]-Excel_Advanced_Sales_Dataset_2000__3[[#This Row],[Discount Amount]]</f>
        <v>1687324.1633919999</v>
      </c>
    </row>
    <row r="1326" spans="1:20" x14ac:dyDescent="0.25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>
        <v>45</v>
      </c>
      <c r="J1326" s="4">
        <v>21924.85</v>
      </c>
      <c r="K1326" s="6">
        <v>1.69</v>
      </c>
      <c r="L1326" s="4">
        <v>969944.4</v>
      </c>
      <c r="M1326" s="4" t="str" cm="1">
        <f t="array" ref="M1326">IF(Excel_Advanced_Sales_Dataset_2000__3[[#This Row],[Total Sales]]&gt;50000,{"Yes"},{"No"})</f>
        <v>Yes</v>
      </c>
      <c r="N1326" s="5">
        <v>46233</v>
      </c>
      <c r="O1326" s="1" t="s">
        <v>58</v>
      </c>
      <c r="P1326" t="s">
        <v>35</v>
      </c>
      <c r="Q1326" t="str">
        <f>IF(Excel_Advanced_Sales_Dataset_2000__3[[#This Row],[Delivery Status]]="Pending","Follow Up","Ok")</f>
        <v>Ok</v>
      </c>
      <c r="R1326" s="1" t="s">
        <v>36</v>
      </c>
      <c r="S1326">
        <f>Excel_Advanced_Sales_Dataset_2000__3[[#This Row],[Quantity]]*Excel_Advanced_Sales_Dataset_2000__3[[#This Row],[Unit Price]]*Excel_Advanced_Sales_Dataset_2000__3[[#This Row],[Discount %]]/100</f>
        <v>16673.848424999996</v>
      </c>
      <c r="T1326" s="4">
        <f>Excel_Advanced_Sales_Dataset_2000__3[[#This Row],[Quantity]]*Excel_Advanced_Sales_Dataset_2000__3[[#This Row],[Unit Price]]-Excel_Advanced_Sales_Dataset_2000__3[[#This Row],[Discount Amount]]</f>
        <v>969944.40157499991</v>
      </c>
    </row>
    <row r="1327" spans="1:20" x14ac:dyDescent="0.25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>
        <v>39</v>
      </c>
      <c r="J1327" s="4">
        <v>33012.449999999997</v>
      </c>
      <c r="K1327" s="6">
        <v>14.1</v>
      </c>
      <c r="L1327" s="4">
        <v>1105950.0900000001</v>
      </c>
      <c r="M1327" s="4" t="str" cm="1">
        <f t="array" ref="M1327">IF(Excel_Advanced_Sales_Dataset_2000__3[[#This Row],[Total Sales]]&gt;50000,{"Yes"},{"No"})</f>
        <v>Yes</v>
      </c>
      <c r="N1327" s="5">
        <v>46157</v>
      </c>
      <c r="O1327" s="1" t="s">
        <v>58</v>
      </c>
      <c r="P1327" t="s">
        <v>35</v>
      </c>
      <c r="Q1327" t="str">
        <f>IF(Excel_Advanced_Sales_Dataset_2000__3[[#This Row],[Delivery Status]]="Pending","Follow Up","Ok")</f>
        <v>Ok</v>
      </c>
      <c r="R1327" s="1" t="s">
        <v>36</v>
      </c>
      <c r="S1327">
        <f>Excel_Advanced_Sales_Dataset_2000__3[[#This Row],[Quantity]]*Excel_Advanced_Sales_Dataset_2000__3[[#This Row],[Unit Price]]*Excel_Advanced_Sales_Dataset_2000__3[[#This Row],[Discount %]]/100</f>
        <v>181535.46254999994</v>
      </c>
      <c r="T1327" s="4">
        <f>Excel_Advanced_Sales_Dataset_2000__3[[#This Row],[Quantity]]*Excel_Advanced_Sales_Dataset_2000__3[[#This Row],[Unit Price]]-Excel_Advanced_Sales_Dataset_2000__3[[#This Row],[Discount Amount]]</f>
        <v>1105950.08745</v>
      </c>
    </row>
    <row r="1328" spans="1:20" x14ac:dyDescent="0.25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>
        <v>5</v>
      </c>
      <c r="J1328" s="4">
        <v>27520.91</v>
      </c>
      <c r="K1328" s="6">
        <v>10.74</v>
      </c>
      <c r="L1328" s="4">
        <v>122825.82</v>
      </c>
      <c r="M1328" s="4" t="str" cm="1">
        <f t="array" ref="M1328">IF(Excel_Advanced_Sales_Dataset_2000__3[[#This Row],[Total Sales]]&gt;50000,{"Yes"},{"No"})</f>
        <v>Yes</v>
      </c>
      <c r="N1328" s="5">
        <v>46207</v>
      </c>
      <c r="O1328" s="1" t="s">
        <v>58</v>
      </c>
      <c r="P1328" t="s">
        <v>35</v>
      </c>
      <c r="Q1328" t="str">
        <f>IF(Excel_Advanced_Sales_Dataset_2000__3[[#This Row],[Delivery Status]]="Pending","Follow Up","Ok")</f>
        <v>Ok</v>
      </c>
      <c r="R1328" s="1" t="s">
        <v>36</v>
      </c>
      <c r="S1328">
        <f>Excel_Advanced_Sales_Dataset_2000__3[[#This Row],[Quantity]]*Excel_Advanced_Sales_Dataset_2000__3[[#This Row],[Unit Price]]*Excel_Advanced_Sales_Dataset_2000__3[[#This Row],[Discount %]]/100</f>
        <v>14778.728669999999</v>
      </c>
      <c r="T1328" s="4">
        <f>Excel_Advanced_Sales_Dataset_2000__3[[#This Row],[Quantity]]*Excel_Advanced_Sales_Dataset_2000__3[[#This Row],[Unit Price]]-Excel_Advanced_Sales_Dataset_2000__3[[#This Row],[Discount Amount]]</f>
        <v>122825.82132999999</v>
      </c>
    </row>
    <row r="1329" spans="1:20" x14ac:dyDescent="0.25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>
        <v>32</v>
      </c>
      <c r="J1329" s="4">
        <v>39561.72</v>
      </c>
      <c r="K1329" s="6">
        <v>5.03</v>
      </c>
      <c r="L1329" s="4">
        <v>1202296.5</v>
      </c>
      <c r="M1329" s="4" t="str" cm="1">
        <f t="array" ref="M1329">IF(Excel_Advanced_Sales_Dataset_2000__3[[#This Row],[Total Sales]]&gt;50000,{"Yes"},{"No"})</f>
        <v>Yes</v>
      </c>
      <c r="N1329" s="5">
        <v>46247</v>
      </c>
      <c r="O1329" s="1" t="s">
        <v>24</v>
      </c>
      <c r="P1329" t="s">
        <v>35</v>
      </c>
      <c r="Q1329" t="str">
        <f>IF(Excel_Advanced_Sales_Dataset_2000__3[[#This Row],[Delivery Status]]="Pending","Follow Up","Ok")</f>
        <v>Ok</v>
      </c>
      <c r="R1329" s="1" t="s">
        <v>53</v>
      </c>
      <c r="S1329">
        <f>Excel_Advanced_Sales_Dataset_2000__3[[#This Row],[Quantity]]*Excel_Advanced_Sales_Dataset_2000__3[[#This Row],[Unit Price]]*Excel_Advanced_Sales_Dataset_2000__3[[#This Row],[Discount %]]/100</f>
        <v>63678.544512000008</v>
      </c>
      <c r="T1329" s="4">
        <f>Excel_Advanced_Sales_Dataset_2000__3[[#This Row],[Quantity]]*Excel_Advanced_Sales_Dataset_2000__3[[#This Row],[Unit Price]]-Excel_Advanced_Sales_Dataset_2000__3[[#This Row],[Discount Amount]]</f>
        <v>1202296.4954880001</v>
      </c>
    </row>
    <row r="1330" spans="1:20" x14ac:dyDescent="0.25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>
        <v>41</v>
      </c>
      <c r="J1330" s="4">
        <v>18395.810000000001</v>
      </c>
      <c r="K1330" s="6">
        <v>11.81</v>
      </c>
      <c r="L1330" s="4">
        <v>665153.86</v>
      </c>
      <c r="M1330" s="4" t="str" cm="1">
        <f t="array" ref="M1330">IF(Excel_Advanced_Sales_Dataset_2000__3[[#This Row],[Total Sales]]&gt;50000,{"Yes"},{"No"})</f>
        <v>Yes</v>
      </c>
      <c r="N1330" s="5">
        <v>46383</v>
      </c>
      <c r="O1330" s="1" t="s">
        <v>113</v>
      </c>
      <c r="P1330" t="s">
        <v>35</v>
      </c>
      <c r="Q1330" t="str">
        <f>IF(Excel_Advanced_Sales_Dataset_2000__3[[#This Row],[Delivery Status]]="Pending","Follow Up","Ok")</f>
        <v>Ok</v>
      </c>
      <c r="R1330" s="1" t="s">
        <v>53</v>
      </c>
      <c r="S1330">
        <f>Excel_Advanced_Sales_Dataset_2000__3[[#This Row],[Quantity]]*Excel_Advanced_Sales_Dataset_2000__3[[#This Row],[Unit Price]]*Excel_Advanced_Sales_Dataset_2000__3[[#This Row],[Discount %]]/100</f>
        <v>89074.351601000017</v>
      </c>
      <c r="T1330" s="4">
        <f>Excel_Advanced_Sales_Dataset_2000__3[[#This Row],[Quantity]]*Excel_Advanced_Sales_Dataset_2000__3[[#This Row],[Unit Price]]-Excel_Advanced_Sales_Dataset_2000__3[[#This Row],[Discount Amount]]</f>
        <v>665153.85839900002</v>
      </c>
    </row>
    <row r="1331" spans="1:20" x14ac:dyDescent="0.25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>
        <v>15</v>
      </c>
      <c r="J1331" s="4">
        <v>22451.02</v>
      </c>
      <c r="K1331" s="6">
        <v>12.08</v>
      </c>
      <c r="L1331" s="4">
        <v>296084.05</v>
      </c>
      <c r="M1331" s="4" t="str" cm="1">
        <f t="array" ref="M1331">IF(Excel_Advanced_Sales_Dataset_2000__3[[#This Row],[Total Sales]]&gt;50000,{"Yes"},{"No"})</f>
        <v>Yes</v>
      </c>
      <c r="N1331" s="5">
        <v>46246</v>
      </c>
      <c r="O1331" s="1" t="s">
        <v>58</v>
      </c>
      <c r="P1331" t="s">
        <v>35</v>
      </c>
      <c r="Q1331" t="str">
        <f>IF(Excel_Advanced_Sales_Dataset_2000__3[[#This Row],[Delivery Status]]="Pending","Follow Up","Ok")</f>
        <v>Ok</v>
      </c>
      <c r="R1331" s="1" t="s">
        <v>26</v>
      </c>
      <c r="S1331">
        <f>Excel_Advanced_Sales_Dataset_2000__3[[#This Row],[Quantity]]*Excel_Advanced_Sales_Dataset_2000__3[[#This Row],[Unit Price]]*Excel_Advanced_Sales_Dataset_2000__3[[#This Row],[Discount %]]/100</f>
        <v>40681.248240000001</v>
      </c>
      <c r="T1331" s="4">
        <f>Excel_Advanced_Sales_Dataset_2000__3[[#This Row],[Quantity]]*Excel_Advanced_Sales_Dataset_2000__3[[#This Row],[Unit Price]]-Excel_Advanced_Sales_Dataset_2000__3[[#This Row],[Discount Amount]]</f>
        <v>296084.05176</v>
      </c>
    </row>
    <row r="1332" spans="1:20" x14ac:dyDescent="0.25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>
        <v>18</v>
      </c>
      <c r="J1332" s="4">
        <v>28207.72</v>
      </c>
      <c r="K1332" s="6">
        <v>18.190000000000001</v>
      </c>
      <c r="L1332" s="4">
        <v>415381.24</v>
      </c>
      <c r="M1332" s="4" t="str" cm="1">
        <f t="array" ref="M1332">IF(Excel_Advanced_Sales_Dataset_2000__3[[#This Row],[Total Sales]]&gt;50000,{"Yes"},{"No"})</f>
        <v>Yes</v>
      </c>
      <c r="N1332" s="5">
        <v>46131</v>
      </c>
      <c r="O1332" s="1" t="s">
        <v>113</v>
      </c>
      <c r="P1332" t="s">
        <v>35</v>
      </c>
      <c r="Q1332" t="str">
        <f>IF(Excel_Advanced_Sales_Dataset_2000__3[[#This Row],[Delivery Status]]="Pending","Follow Up","Ok")</f>
        <v>Ok</v>
      </c>
      <c r="R1332" s="1" t="s">
        <v>26</v>
      </c>
      <c r="S1332">
        <f>Excel_Advanced_Sales_Dataset_2000__3[[#This Row],[Quantity]]*Excel_Advanced_Sales_Dataset_2000__3[[#This Row],[Unit Price]]*Excel_Advanced_Sales_Dataset_2000__3[[#This Row],[Discount %]]/100</f>
        <v>92357.716824000017</v>
      </c>
      <c r="T1332" s="4">
        <f>Excel_Advanced_Sales_Dataset_2000__3[[#This Row],[Quantity]]*Excel_Advanced_Sales_Dataset_2000__3[[#This Row],[Unit Price]]-Excel_Advanced_Sales_Dataset_2000__3[[#This Row],[Discount Amount]]</f>
        <v>415381.24317600002</v>
      </c>
    </row>
    <row r="1333" spans="1:20" x14ac:dyDescent="0.25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>
        <v>9</v>
      </c>
      <c r="J1333" s="4">
        <v>14907</v>
      </c>
      <c r="K1333" s="6">
        <v>12.04</v>
      </c>
      <c r="L1333" s="4">
        <v>118009.77</v>
      </c>
      <c r="M1333" s="4" t="str" cm="1">
        <f t="array" ref="M1333">IF(Excel_Advanced_Sales_Dataset_2000__3[[#This Row],[Total Sales]]&gt;50000,{"Yes"},{"No"})</f>
        <v>Yes</v>
      </c>
      <c r="N1333" s="5">
        <v>46079</v>
      </c>
      <c r="O1333" s="1" t="s">
        <v>45</v>
      </c>
      <c r="P1333" t="s">
        <v>35</v>
      </c>
      <c r="Q1333" t="str">
        <f>IF(Excel_Advanced_Sales_Dataset_2000__3[[#This Row],[Delivery Status]]="Pending","Follow Up","Ok")</f>
        <v>Ok</v>
      </c>
      <c r="R1333" s="1" t="s">
        <v>26</v>
      </c>
      <c r="S1333">
        <f>Excel_Advanced_Sales_Dataset_2000__3[[#This Row],[Quantity]]*Excel_Advanced_Sales_Dataset_2000__3[[#This Row],[Unit Price]]*Excel_Advanced_Sales_Dataset_2000__3[[#This Row],[Discount %]]/100</f>
        <v>16153.225199999997</v>
      </c>
      <c r="T1333" s="4">
        <f>Excel_Advanced_Sales_Dataset_2000__3[[#This Row],[Quantity]]*Excel_Advanced_Sales_Dataset_2000__3[[#This Row],[Unit Price]]-Excel_Advanced_Sales_Dataset_2000__3[[#This Row],[Discount Amount]]</f>
        <v>118009.7748</v>
      </c>
    </row>
    <row r="1334" spans="1:20" x14ac:dyDescent="0.25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>
        <v>39</v>
      </c>
      <c r="J1334" s="4">
        <v>9168</v>
      </c>
      <c r="K1334" s="6">
        <v>10.44</v>
      </c>
      <c r="L1334" s="4">
        <v>320223.57</v>
      </c>
      <c r="M1334" s="4" t="str" cm="1">
        <f t="array" ref="M1334">IF(Excel_Advanced_Sales_Dataset_2000__3[[#This Row],[Total Sales]]&gt;50000,{"Yes"},{"No"})</f>
        <v>Yes</v>
      </c>
      <c r="N1334" s="5">
        <v>46142</v>
      </c>
      <c r="O1334" s="1" t="s">
        <v>113</v>
      </c>
      <c r="P1334" t="s">
        <v>35</v>
      </c>
      <c r="Q1334" t="str">
        <f>IF(Excel_Advanced_Sales_Dataset_2000__3[[#This Row],[Delivery Status]]="Pending","Follow Up","Ok")</f>
        <v>Ok</v>
      </c>
      <c r="R1334" s="1" t="s">
        <v>26</v>
      </c>
      <c r="S1334">
        <f>Excel_Advanced_Sales_Dataset_2000__3[[#This Row],[Quantity]]*Excel_Advanced_Sales_Dataset_2000__3[[#This Row],[Unit Price]]*Excel_Advanced_Sales_Dataset_2000__3[[#This Row],[Discount %]]/100</f>
        <v>37328.428800000002</v>
      </c>
      <c r="T1334" s="4">
        <f>Excel_Advanced_Sales_Dataset_2000__3[[#This Row],[Quantity]]*Excel_Advanced_Sales_Dataset_2000__3[[#This Row],[Unit Price]]-Excel_Advanced_Sales_Dataset_2000__3[[#This Row],[Discount Amount]]</f>
        <v>320223.57120000001</v>
      </c>
    </row>
    <row r="1335" spans="1:20" x14ac:dyDescent="0.25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>
        <v>15</v>
      </c>
      <c r="J1335" s="4">
        <v>21121.1</v>
      </c>
      <c r="K1335" s="6">
        <v>12.69</v>
      </c>
      <c r="L1335" s="4">
        <v>276612.49</v>
      </c>
      <c r="M1335" s="4" t="str" cm="1">
        <f t="array" ref="M1335">IF(Excel_Advanced_Sales_Dataset_2000__3[[#This Row],[Total Sales]]&gt;50000,{"Yes"},{"No"})</f>
        <v>Yes</v>
      </c>
      <c r="N1335" s="5">
        <v>46309</v>
      </c>
      <c r="O1335" s="1" t="s">
        <v>68</v>
      </c>
      <c r="P1335" t="s">
        <v>35</v>
      </c>
      <c r="Q1335" t="str">
        <f>IF(Excel_Advanced_Sales_Dataset_2000__3[[#This Row],[Delivery Status]]="Pending","Follow Up","Ok")</f>
        <v>Ok</v>
      </c>
      <c r="R1335" s="1" t="s">
        <v>36</v>
      </c>
      <c r="S1335">
        <f>Excel_Advanced_Sales_Dataset_2000__3[[#This Row],[Quantity]]*Excel_Advanced_Sales_Dataset_2000__3[[#This Row],[Unit Price]]*Excel_Advanced_Sales_Dataset_2000__3[[#This Row],[Discount %]]/100</f>
        <v>40204.013849999996</v>
      </c>
      <c r="T1335" s="4">
        <f>Excel_Advanced_Sales_Dataset_2000__3[[#This Row],[Quantity]]*Excel_Advanced_Sales_Dataset_2000__3[[#This Row],[Unit Price]]-Excel_Advanced_Sales_Dataset_2000__3[[#This Row],[Discount Amount]]</f>
        <v>276612.48615000001</v>
      </c>
    </row>
    <row r="1336" spans="1:20" x14ac:dyDescent="0.25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>
        <v>27</v>
      </c>
      <c r="J1336" s="4">
        <v>48835.05</v>
      </c>
      <c r="K1336" s="6">
        <v>3.73</v>
      </c>
      <c r="L1336" s="4">
        <v>1269364.57</v>
      </c>
      <c r="M1336" s="4" t="str" cm="1">
        <f t="array" ref="M1336">IF(Excel_Advanced_Sales_Dataset_2000__3[[#This Row],[Total Sales]]&gt;50000,{"Yes"},{"No"})</f>
        <v>Yes</v>
      </c>
      <c r="N1336" s="5">
        <v>46085</v>
      </c>
      <c r="O1336" s="1" t="s">
        <v>113</v>
      </c>
      <c r="P1336" t="s">
        <v>35</v>
      </c>
      <c r="Q1336" t="str">
        <f>IF(Excel_Advanced_Sales_Dataset_2000__3[[#This Row],[Delivery Status]]="Pending","Follow Up","Ok")</f>
        <v>Ok</v>
      </c>
      <c r="R1336" s="1" t="s">
        <v>53</v>
      </c>
      <c r="S1336">
        <f>Excel_Advanced_Sales_Dataset_2000__3[[#This Row],[Quantity]]*Excel_Advanced_Sales_Dataset_2000__3[[#This Row],[Unit Price]]*Excel_Advanced_Sales_Dataset_2000__3[[#This Row],[Discount %]]/100</f>
        <v>49181.778855000011</v>
      </c>
      <c r="T1336" s="4">
        <f>Excel_Advanced_Sales_Dataset_2000__3[[#This Row],[Quantity]]*Excel_Advanced_Sales_Dataset_2000__3[[#This Row],[Unit Price]]-Excel_Advanced_Sales_Dataset_2000__3[[#This Row],[Discount Amount]]</f>
        <v>1269364.5711450002</v>
      </c>
    </row>
    <row r="1337" spans="1:20" x14ac:dyDescent="0.25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>
        <v>15</v>
      </c>
      <c r="J1337" s="4">
        <v>12538.87</v>
      </c>
      <c r="K1337" s="6">
        <v>5.65</v>
      </c>
      <c r="L1337" s="4">
        <v>177456.36</v>
      </c>
      <c r="M1337" s="4" t="str" cm="1">
        <f t="array" ref="M1337">IF(Excel_Advanced_Sales_Dataset_2000__3[[#This Row],[Total Sales]]&gt;50000,{"Yes"},{"No"})</f>
        <v>Yes</v>
      </c>
      <c r="N1337" s="5">
        <v>46186</v>
      </c>
      <c r="O1337" s="1" t="s">
        <v>58</v>
      </c>
      <c r="P1337" t="s">
        <v>35</v>
      </c>
      <c r="Q1337" t="str">
        <f>IF(Excel_Advanced_Sales_Dataset_2000__3[[#This Row],[Delivery Status]]="Pending","Follow Up","Ok")</f>
        <v>Ok</v>
      </c>
      <c r="R1337" s="1" t="s">
        <v>53</v>
      </c>
      <c r="S1337">
        <f>Excel_Advanced_Sales_Dataset_2000__3[[#This Row],[Quantity]]*Excel_Advanced_Sales_Dataset_2000__3[[#This Row],[Unit Price]]*Excel_Advanced_Sales_Dataset_2000__3[[#This Row],[Discount %]]/100</f>
        <v>10626.692325000002</v>
      </c>
      <c r="T1337" s="4">
        <f>Excel_Advanced_Sales_Dataset_2000__3[[#This Row],[Quantity]]*Excel_Advanced_Sales_Dataset_2000__3[[#This Row],[Unit Price]]-Excel_Advanced_Sales_Dataset_2000__3[[#This Row],[Discount Amount]]</f>
        <v>177456.35767500001</v>
      </c>
    </row>
    <row r="1338" spans="1:20" x14ac:dyDescent="0.25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>
        <v>1</v>
      </c>
      <c r="J1338" s="4">
        <v>34923.58</v>
      </c>
      <c r="K1338" s="6">
        <v>11.72</v>
      </c>
      <c r="L1338" s="4">
        <v>30830.54</v>
      </c>
      <c r="M1338" s="4" t="str" cm="1">
        <f t="array" ref="M1338">IF(Excel_Advanced_Sales_Dataset_2000__3[[#This Row],[Total Sales]]&gt;50000,{"Yes"},{"No"})</f>
        <v>No</v>
      </c>
      <c r="N1338" s="5">
        <v>46296</v>
      </c>
      <c r="O1338" s="1" t="s">
        <v>58</v>
      </c>
      <c r="P1338" t="s">
        <v>35</v>
      </c>
      <c r="Q1338" t="str">
        <f>IF(Excel_Advanced_Sales_Dataset_2000__3[[#This Row],[Delivery Status]]="Pending","Follow Up","Ok")</f>
        <v>Ok</v>
      </c>
      <c r="R1338" s="1" t="s">
        <v>26</v>
      </c>
      <c r="S1338">
        <f>Excel_Advanced_Sales_Dataset_2000__3[[#This Row],[Quantity]]*Excel_Advanced_Sales_Dataset_2000__3[[#This Row],[Unit Price]]*Excel_Advanced_Sales_Dataset_2000__3[[#This Row],[Discount %]]/100</f>
        <v>4093.0435760000005</v>
      </c>
      <c r="T1338" s="4">
        <f>Excel_Advanced_Sales_Dataset_2000__3[[#This Row],[Quantity]]*Excel_Advanced_Sales_Dataset_2000__3[[#This Row],[Unit Price]]-Excel_Advanced_Sales_Dataset_2000__3[[#This Row],[Discount Amount]]</f>
        <v>30830.536424000002</v>
      </c>
    </row>
    <row r="1339" spans="1:20" x14ac:dyDescent="0.25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>
        <v>8</v>
      </c>
      <c r="J1339" s="4">
        <v>34299.519999999997</v>
      </c>
      <c r="K1339" s="6">
        <v>7.18</v>
      </c>
      <c r="L1339" s="4">
        <v>254694.52</v>
      </c>
      <c r="M1339" s="4" t="str" cm="1">
        <f t="array" ref="M1339">IF(Excel_Advanced_Sales_Dataset_2000__3[[#This Row],[Total Sales]]&gt;50000,{"Yes"},{"No"})</f>
        <v>Yes</v>
      </c>
      <c r="N1339" s="5">
        <v>46192</v>
      </c>
      <c r="O1339" s="1" t="s">
        <v>45</v>
      </c>
      <c r="P1339" t="s">
        <v>35</v>
      </c>
      <c r="Q1339" t="str">
        <f>IF(Excel_Advanced_Sales_Dataset_2000__3[[#This Row],[Delivery Status]]="Pending","Follow Up","Ok")</f>
        <v>Ok</v>
      </c>
      <c r="R1339" s="1" t="s">
        <v>26</v>
      </c>
      <c r="S1339">
        <f>Excel_Advanced_Sales_Dataset_2000__3[[#This Row],[Quantity]]*Excel_Advanced_Sales_Dataset_2000__3[[#This Row],[Unit Price]]*Excel_Advanced_Sales_Dataset_2000__3[[#This Row],[Discount %]]/100</f>
        <v>19701.644287999996</v>
      </c>
      <c r="T1339" s="4">
        <f>Excel_Advanced_Sales_Dataset_2000__3[[#This Row],[Quantity]]*Excel_Advanced_Sales_Dataset_2000__3[[#This Row],[Unit Price]]-Excel_Advanced_Sales_Dataset_2000__3[[#This Row],[Discount Amount]]</f>
        <v>254694.51571199996</v>
      </c>
    </row>
    <row r="1340" spans="1:20" x14ac:dyDescent="0.25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>
        <v>43</v>
      </c>
      <c r="J1340" s="4">
        <v>14519.44</v>
      </c>
      <c r="K1340" s="6">
        <v>15.3</v>
      </c>
      <c r="L1340" s="4">
        <v>528812.52</v>
      </c>
      <c r="M1340" s="4" t="str" cm="1">
        <f t="array" ref="M1340">IF(Excel_Advanced_Sales_Dataset_2000__3[[#This Row],[Total Sales]]&gt;50000,{"Yes"},{"No"})</f>
        <v>Yes</v>
      </c>
      <c r="N1340" s="5">
        <v>46089</v>
      </c>
      <c r="O1340" s="1" t="s">
        <v>45</v>
      </c>
      <c r="P1340" t="s">
        <v>35</v>
      </c>
      <c r="Q1340" t="str">
        <f>IF(Excel_Advanced_Sales_Dataset_2000__3[[#This Row],[Delivery Status]]="Pending","Follow Up","Ok")</f>
        <v>Ok</v>
      </c>
      <c r="R1340" s="1" t="s">
        <v>53</v>
      </c>
      <c r="S1340">
        <f>Excel_Advanced_Sales_Dataset_2000__3[[#This Row],[Quantity]]*Excel_Advanced_Sales_Dataset_2000__3[[#This Row],[Unit Price]]*Excel_Advanced_Sales_Dataset_2000__3[[#This Row],[Discount %]]/100</f>
        <v>95523.395760000014</v>
      </c>
      <c r="T1340" s="4">
        <f>Excel_Advanced_Sales_Dataset_2000__3[[#This Row],[Quantity]]*Excel_Advanced_Sales_Dataset_2000__3[[#This Row],[Unit Price]]-Excel_Advanced_Sales_Dataset_2000__3[[#This Row],[Discount Amount]]</f>
        <v>528812.52424000006</v>
      </c>
    </row>
    <row r="1341" spans="1:20" x14ac:dyDescent="0.25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>
        <v>2</v>
      </c>
      <c r="J1341" s="4">
        <v>7634.2</v>
      </c>
      <c r="K1341" s="6">
        <v>13.47</v>
      </c>
      <c r="L1341" s="4">
        <v>13211.75</v>
      </c>
      <c r="M1341" s="4" t="str" cm="1">
        <f t="array" ref="M1341">IF(Excel_Advanced_Sales_Dataset_2000__3[[#This Row],[Total Sales]]&gt;50000,{"Yes"},{"No"})</f>
        <v>No</v>
      </c>
      <c r="N1341" s="5">
        <v>46381</v>
      </c>
      <c r="O1341" s="1" t="s">
        <v>24</v>
      </c>
      <c r="P1341" t="s">
        <v>35</v>
      </c>
      <c r="Q1341" t="str">
        <f>IF(Excel_Advanced_Sales_Dataset_2000__3[[#This Row],[Delivery Status]]="Pending","Follow Up","Ok")</f>
        <v>Ok</v>
      </c>
      <c r="R1341" s="1" t="s">
        <v>26</v>
      </c>
      <c r="S1341">
        <f>Excel_Advanced_Sales_Dataset_2000__3[[#This Row],[Quantity]]*Excel_Advanced_Sales_Dataset_2000__3[[#This Row],[Unit Price]]*Excel_Advanced_Sales_Dataset_2000__3[[#This Row],[Discount %]]/100</f>
        <v>2056.6534799999999</v>
      </c>
      <c r="T1341" s="4">
        <f>Excel_Advanced_Sales_Dataset_2000__3[[#This Row],[Quantity]]*Excel_Advanced_Sales_Dataset_2000__3[[#This Row],[Unit Price]]-Excel_Advanced_Sales_Dataset_2000__3[[#This Row],[Discount Amount]]</f>
        <v>13211.746520000001</v>
      </c>
    </row>
    <row r="1342" spans="1:20" x14ac:dyDescent="0.25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>
        <v>15</v>
      </c>
      <c r="J1342" s="4">
        <v>36098.300000000003</v>
      </c>
      <c r="K1342" s="6">
        <v>15.53</v>
      </c>
      <c r="L1342" s="4">
        <v>457383.51</v>
      </c>
      <c r="M1342" s="4" t="str" cm="1">
        <f t="array" ref="M1342">IF(Excel_Advanced_Sales_Dataset_2000__3[[#This Row],[Total Sales]]&gt;50000,{"Yes"},{"No"})</f>
        <v>Yes</v>
      </c>
      <c r="N1342" s="5">
        <v>46230</v>
      </c>
      <c r="O1342" s="1" t="s">
        <v>58</v>
      </c>
      <c r="P1342" t="s">
        <v>25</v>
      </c>
      <c r="Q1342" t="str">
        <f>IF(Excel_Advanced_Sales_Dataset_2000__3[[#This Row],[Delivery Status]]="Pending","Follow Up","Ok")</f>
        <v>Follow Up</v>
      </c>
      <c r="R1342" s="1" t="s">
        <v>53</v>
      </c>
      <c r="S1342">
        <f>Excel_Advanced_Sales_Dataset_2000__3[[#This Row],[Quantity]]*Excel_Advanced_Sales_Dataset_2000__3[[#This Row],[Unit Price]]*Excel_Advanced_Sales_Dataset_2000__3[[#This Row],[Discount %]]/100</f>
        <v>84090.989849999998</v>
      </c>
      <c r="T1342" s="4">
        <f>Excel_Advanced_Sales_Dataset_2000__3[[#This Row],[Quantity]]*Excel_Advanced_Sales_Dataset_2000__3[[#This Row],[Unit Price]]-Excel_Advanced_Sales_Dataset_2000__3[[#This Row],[Discount Amount]]</f>
        <v>457383.51014999999</v>
      </c>
    </row>
    <row r="1343" spans="1:20" x14ac:dyDescent="0.25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>
        <v>32</v>
      </c>
      <c r="J1343" s="4">
        <v>46551.99</v>
      </c>
      <c r="K1343" s="6">
        <v>19.559999999999999</v>
      </c>
      <c r="L1343" s="4">
        <v>1198285.46</v>
      </c>
      <c r="M1343" s="4" t="str" cm="1">
        <f t="array" ref="M1343">IF(Excel_Advanced_Sales_Dataset_2000__3[[#This Row],[Total Sales]]&gt;50000,{"Yes"},{"No"})</f>
        <v>Yes</v>
      </c>
      <c r="N1343" s="5">
        <v>46051</v>
      </c>
      <c r="O1343" s="1" t="s">
        <v>58</v>
      </c>
      <c r="P1343" t="s">
        <v>35</v>
      </c>
      <c r="Q1343" t="str">
        <f>IF(Excel_Advanced_Sales_Dataset_2000__3[[#This Row],[Delivery Status]]="Pending","Follow Up","Ok")</f>
        <v>Ok</v>
      </c>
      <c r="R1343" s="1" t="s">
        <v>26</v>
      </c>
      <c r="S1343">
        <f>Excel_Advanced_Sales_Dataset_2000__3[[#This Row],[Quantity]]*Excel_Advanced_Sales_Dataset_2000__3[[#This Row],[Unit Price]]*Excel_Advanced_Sales_Dataset_2000__3[[#This Row],[Discount %]]/100</f>
        <v>291378.21580799995</v>
      </c>
      <c r="T1343" s="4">
        <f>Excel_Advanced_Sales_Dataset_2000__3[[#This Row],[Quantity]]*Excel_Advanced_Sales_Dataset_2000__3[[#This Row],[Unit Price]]-Excel_Advanced_Sales_Dataset_2000__3[[#This Row],[Discount Amount]]</f>
        <v>1198285.464192</v>
      </c>
    </row>
    <row r="1344" spans="1:20" x14ac:dyDescent="0.25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>
        <v>50</v>
      </c>
      <c r="J1344" s="4">
        <v>41985.74</v>
      </c>
      <c r="K1344" s="6">
        <v>17.79</v>
      </c>
      <c r="L1344" s="4">
        <v>1725823.84</v>
      </c>
      <c r="M1344" s="4" t="str" cm="1">
        <f t="array" ref="M1344">IF(Excel_Advanced_Sales_Dataset_2000__3[[#This Row],[Total Sales]]&gt;50000,{"Yes"},{"No"})</f>
        <v>Yes</v>
      </c>
      <c r="N1344" s="5">
        <v>46334</v>
      </c>
      <c r="O1344" s="1" t="s">
        <v>58</v>
      </c>
      <c r="P1344" t="s">
        <v>35</v>
      </c>
      <c r="Q1344" t="str">
        <f>IF(Excel_Advanced_Sales_Dataset_2000__3[[#This Row],[Delivery Status]]="Pending","Follow Up","Ok")</f>
        <v>Ok</v>
      </c>
      <c r="R1344" s="1" t="s">
        <v>53</v>
      </c>
      <c r="S1344">
        <f>Excel_Advanced_Sales_Dataset_2000__3[[#This Row],[Quantity]]*Excel_Advanced_Sales_Dataset_2000__3[[#This Row],[Unit Price]]*Excel_Advanced_Sales_Dataset_2000__3[[#This Row],[Discount %]]/100</f>
        <v>373463.15729999996</v>
      </c>
      <c r="T1344" s="4">
        <f>Excel_Advanced_Sales_Dataset_2000__3[[#This Row],[Quantity]]*Excel_Advanced_Sales_Dataset_2000__3[[#This Row],[Unit Price]]-Excel_Advanced_Sales_Dataset_2000__3[[#This Row],[Discount Amount]]</f>
        <v>1725823.8426999999</v>
      </c>
    </row>
    <row r="1345" spans="1:20" x14ac:dyDescent="0.25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>
        <v>6</v>
      </c>
      <c r="J1345" s="4">
        <v>42181.25</v>
      </c>
      <c r="K1345" s="6">
        <v>7.29</v>
      </c>
      <c r="L1345" s="4">
        <v>234637.42</v>
      </c>
      <c r="M1345" s="4" t="str" cm="1">
        <f t="array" ref="M1345">IF(Excel_Advanced_Sales_Dataset_2000__3[[#This Row],[Total Sales]]&gt;50000,{"Yes"},{"No"})</f>
        <v>Yes</v>
      </c>
      <c r="N1345" s="5">
        <v>46224</v>
      </c>
      <c r="O1345" s="1" t="s">
        <v>45</v>
      </c>
      <c r="P1345" t="s">
        <v>35</v>
      </c>
      <c r="Q1345" t="str">
        <f>IF(Excel_Advanced_Sales_Dataset_2000__3[[#This Row],[Delivery Status]]="Pending","Follow Up","Ok")</f>
        <v>Ok</v>
      </c>
      <c r="R1345" s="1" t="s">
        <v>36</v>
      </c>
      <c r="S1345">
        <f>Excel_Advanced_Sales_Dataset_2000__3[[#This Row],[Quantity]]*Excel_Advanced_Sales_Dataset_2000__3[[#This Row],[Unit Price]]*Excel_Advanced_Sales_Dataset_2000__3[[#This Row],[Discount %]]/100</f>
        <v>18450.078750000001</v>
      </c>
      <c r="T1345" s="4">
        <f>Excel_Advanced_Sales_Dataset_2000__3[[#This Row],[Quantity]]*Excel_Advanced_Sales_Dataset_2000__3[[#This Row],[Unit Price]]-Excel_Advanced_Sales_Dataset_2000__3[[#This Row],[Discount Amount]]</f>
        <v>234637.42125000001</v>
      </c>
    </row>
    <row r="1346" spans="1:20" x14ac:dyDescent="0.25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>
        <v>9</v>
      </c>
      <c r="J1346" s="4">
        <v>15391.77</v>
      </c>
      <c r="K1346" s="6">
        <v>9.19</v>
      </c>
      <c r="L1346" s="4">
        <v>125795.4</v>
      </c>
      <c r="M1346" s="4" t="str" cm="1">
        <f t="array" ref="M1346">IF(Excel_Advanced_Sales_Dataset_2000__3[[#This Row],[Total Sales]]&gt;50000,{"Yes"},{"No"})</f>
        <v>Yes</v>
      </c>
      <c r="N1346" s="5">
        <v>46299</v>
      </c>
      <c r="O1346" s="1" t="s">
        <v>24</v>
      </c>
      <c r="P1346" t="s">
        <v>35</v>
      </c>
      <c r="Q1346" t="str">
        <f>IF(Excel_Advanced_Sales_Dataset_2000__3[[#This Row],[Delivery Status]]="Pending","Follow Up","Ok")</f>
        <v>Ok</v>
      </c>
      <c r="R1346" s="1" t="s">
        <v>26</v>
      </c>
      <c r="S1346">
        <f>Excel_Advanced_Sales_Dataset_2000__3[[#This Row],[Quantity]]*Excel_Advanced_Sales_Dataset_2000__3[[#This Row],[Unit Price]]*Excel_Advanced_Sales_Dataset_2000__3[[#This Row],[Discount %]]/100</f>
        <v>12730.532966999999</v>
      </c>
      <c r="T1346" s="4">
        <f>Excel_Advanced_Sales_Dataset_2000__3[[#This Row],[Quantity]]*Excel_Advanced_Sales_Dataset_2000__3[[#This Row],[Unit Price]]-Excel_Advanced_Sales_Dataset_2000__3[[#This Row],[Discount Amount]]</f>
        <v>125795.39703299999</v>
      </c>
    </row>
    <row r="1347" spans="1:20" x14ac:dyDescent="0.25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>
        <v>36</v>
      </c>
      <c r="J1347" s="4">
        <v>27801.599999999999</v>
      </c>
      <c r="K1347" s="6">
        <v>16.54</v>
      </c>
      <c r="L1347" s="4">
        <v>835315.75</v>
      </c>
      <c r="M1347" s="4" t="str" cm="1">
        <f t="array" ref="M1347">IF(Excel_Advanced_Sales_Dataset_2000__3[[#This Row],[Total Sales]]&gt;50000,{"Yes"},{"No"})</f>
        <v>Yes</v>
      </c>
      <c r="N1347" s="5">
        <v>46070</v>
      </c>
      <c r="O1347" s="1" t="s">
        <v>24</v>
      </c>
      <c r="P1347" t="s">
        <v>35</v>
      </c>
      <c r="Q1347" t="str">
        <f>IF(Excel_Advanced_Sales_Dataset_2000__3[[#This Row],[Delivery Status]]="Pending","Follow Up","Ok")</f>
        <v>Ok</v>
      </c>
      <c r="R1347" s="1" t="s">
        <v>26</v>
      </c>
      <c r="S1347">
        <f>Excel_Advanced_Sales_Dataset_2000__3[[#This Row],[Quantity]]*Excel_Advanced_Sales_Dataset_2000__3[[#This Row],[Unit Price]]*Excel_Advanced_Sales_Dataset_2000__3[[#This Row],[Discount %]]/100</f>
        <v>165541.84703999999</v>
      </c>
      <c r="T1347" s="4">
        <f>Excel_Advanced_Sales_Dataset_2000__3[[#This Row],[Quantity]]*Excel_Advanced_Sales_Dataset_2000__3[[#This Row],[Unit Price]]-Excel_Advanced_Sales_Dataset_2000__3[[#This Row],[Discount Amount]]</f>
        <v>835315.75295999995</v>
      </c>
    </row>
    <row r="1348" spans="1:20" x14ac:dyDescent="0.25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>
        <v>24</v>
      </c>
      <c r="J1348" s="4">
        <v>10708.64</v>
      </c>
      <c r="K1348" s="6">
        <v>17.55</v>
      </c>
      <c r="L1348" s="4">
        <v>211902.57</v>
      </c>
      <c r="M1348" s="4" t="str" cm="1">
        <f t="array" ref="M1348">IF(Excel_Advanced_Sales_Dataset_2000__3[[#This Row],[Total Sales]]&gt;50000,{"Yes"},{"No"})</f>
        <v>Yes</v>
      </c>
      <c r="N1348" s="5">
        <v>46225</v>
      </c>
      <c r="O1348" s="1" t="s">
        <v>68</v>
      </c>
      <c r="P1348" t="s">
        <v>35</v>
      </c>
      <c r="Q1348" t="str">
        <f>IF(Excel_Advanced_Sales_Dataset_2000__3[[#This Row],[Delivery Status]]="Pending","Follow Up","Ok")</f>
        <v>Ok</v>
      </c>
      <c r="R1348" s="1" t="s">
        <v>53</v>
      </c>
      <c r="S1348">
        <f>Excel_Advanced_Sales_Dataset_2000__3[[#This Row],[Quantity]]*Excel_Advanced_Sales_Dataset_2000__3[[#This Row],[Unit Price]]*Excel_Advanced_Sales_Dataset_2000__3[[#This Row],[Discount %]]/100</f>
        <v>45104.791679999995</v>
      </c>
      <c r="T1348" s="4">
        <f>Excel_Advanced_Sales_Dataset_2000__3[[#This Row],[Quantity]]*Excel_Advanced_Sales_Dataset_2000__3[[#This Row],[Unit Price]]-Excel_Advanced_Sales_Dataset_2000__3[[#This Row],[Discount Amount]]</f>
        <v>211902.56831999999</v>
      </c>
    </row>
    <row r="1349" spans="1:20" x14ac:dyDescent="0.25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>
        <v>44</v>
      </c>
      <c r="J1349" s="4">
        <v>26890.82</v>
      </c>
      <c r="K1349" s="6">
        <v>7.62</v>
      </c>
      <c r="L1349" s="4">
        <v>1093036.54</v>
      </c>
      <c r="M1349" s="4" t="str" cm="1">
        <f t="array" ref="M1349">IF(Excel_Advanced_Sales_Dataset_2000__3[[#This Row],[Total Sales]]&gt;50000,{"Yes"},{"No"})</f>
        <v>Yes</v>
      </c>
      <c r="N1349" s="5">
        <v>46268</v>
      </c>
      <c r="O1349" s="1" t="s">
        <v>113</v>
      </c>
      <c r="P1349" t="s">
        <v>35</v>
      </c>
      <c r="Q1349" t="str">
        <f>IF(Excel_Advanced_Sales_Dataset_2000__3[[#This Row],[Delivery Status]]="Pending","Follow Up","Ok")</f>
        <v>Ok</v>
      </c>
      <c r="R1349" s="1" t="s">
        <v>53</v>
      </c>
      <c r="S1349">
        <f>Excel_Advanced_Sales_Dataset_2000__3[[#This Row],[Quantity]]*Excel_Advanced_Sales_Dataset_2000__3[[#This Row],[Unit Price]]*Excel_Advanced_Sales_Dataset_2000__3[[#This Row],[Discount %]]/100</f>
        <v>90159.54129600001</v>
      </c>
      <c r="T1349" s="4">
        <f>Excel_Advanced_Sales_Dataset_2000__3[[#This Row],[Quantity]]*Excel_Advanced_Sales_Dataset_2000__3[[#This Row],[Unit Price]]-Excel_Advanced_Sales_Dataset_2000__3[[#This Row],[Discount Amount]]</f>
        <v>1093036.5387039999</v>
      </c>
    </row>
    <row r="1350" spans="1:20" x14ac:dyDescent="0.25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>
        <v>45</v>
      </c>
      <c r="J1350" s="4">
        <v>32037.919999999998</v>
      </c>
      <c r="K1350" s="6">
        <v>5.12</v>
      </c>
      <c r="L1350" s="4">
        <v>1367891.03</v>
      </c>
      <c r="M1350" s="4" t="str" cm="1">
        <f t="array" ref="M1350">IF(Excel_Advanced_Sales_Dataset_2000__3[[#This Row],[Total Sales]]&gt;50000,{"Yes"},{"No"})</f>
        <v>Yes</v>
      </c>
      <c r="N1350" s="5">
        <v>46352</v>
      </c>
      <c r="O1350" s="1" t="s">
        <v>68</v>
      </c>
      <c r="P1350" t="s">
        <v>35</v>
      </c>
      <c r="Q1350" t="str">
        <f>IF(Excel_Advanced_Sales_Dataset_2000__3[[#This Row],[Delivery Status]]="Pending","Follow Up","Ok")</f>
        <v>Ok</v>
      </c>
      <c r="R1350" s="1" t="s">
        <v>36</v>
      </c>
      <c r="S1350">
        <f>Excel_Advanced_Sales_Dataset_2000__3[[#This Row],[Quantity]]*Excel_Advanced_Sales_Dataset_2000__3[[#This Row],[Unit Price]]*Excel_Advanced_Sales_Dataset_2000__3[[#This Row],[Discount %]]/100</f>
        <v>73815.367679999996</v>
      </c>
      <c r="T1350" s="4">
        <f>Excel_Advanced_Sales_Dataset_2000__3[[#This Row],[Quantity]]*Excel_Advanced_Sales_Dataset_2000__3[[#This Row],[Unit Price]]-Excel_Advanced_Sales_Dataset_2000__3[[#This Row],[Discount Amount]]</f>
        <v>1367891.03232</v>
      </c>
    </row>
    <row r="1351" spans="1:20" x14ac:dyDescent="0.25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>
        <v>50</v>
      </c>
      <c r="J1351" s="4">
        <v>1621.53</v>
      </c>
      <c r="K1351" s="6">
        <v>7.73</v>
      </c>
      <c r="L1351" s="4">
        <v>74809.289999999994</v>
      </c>
      <c r="M1351" s="4" t="str" cm="1">
        <f t="array" ref="M1351">IF(Excel_Advanced_Sales_Dataset_2000__3[[#This Row],[Total Sales]]&gt;50000,{"Yes"},{"No"})</f>
        <v>Yes</v>
      </c>
      <c r="N1351" s="5">
        <v>46355</v>
      </c>
      <c r="O1351" s="1" t="s">
        <v>58</v>
      </c>
      <c r="P1351" t="s">
        <v>35</v>
      </c>
      <c r="Q1351" t="str">
        <f>IF(Excel_Advanced_Sales_Dataset_2000__3[[#This Row],[Delivery Status]]="Pending","Follow Up","Ok")</f>
        <v>Ok</v>
      </c>
      <c r="R1351" s="1" t="s">
        <v>53</v>
      </c>
      <c r="S1351">
        <f>Excel_Advanced_Sales_Dataset_2000__3[[#This Row],[Quantity]]*Excel_Advanced_Sales_Dataset_2000__3[[#This Row],[Unit Price]]*Excel_Advanced_Sales_Dataset_2000__3[[#This Row],[Discount %]]/100</f>
        <v>6267.2134500000011</v>
      </c>
      <c r="T1351" s="4">
        <f>Excel_Advanced_Sales_Dataset_2000__3[[#This Row],[Quantity]]*Excel_Advanced_Sales_Dataset_2000__3[[#This Row],[Unit Price]]-Excel_Advanced_Sales_Dataset_2000__3[[#This Row],[Discount Amount]]</f>
        <v>74809.286550000004</v>
      </c>
    </row>
    <row r="1352" spans="1:20" x14ac:dyDescent="0.25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>
        <v>16</v>
      </c>
      <c r="J1352" s="4">
        <v>31111.33</v>
      </c>
      <c r="K1352" s="6">
        <v>3.76</v>
      </c>
      <c r="L1352" s="4">
        <v>479064.7</v>
      </c>
      <c r="M1352" s="4" t="str" cm="1">
        <f t="array" ref="M1352">IF(Excel_Advanced_Sales_Dataset_2000__3[[#This Row],[Total Sales]]&gt;50000,{"Yes"},{"No"})</f>
        <v>Yes</v>
      </c>
      <c r="N1352" s="5">
        <v>46051</v>
      </c>
      <c r="O1352" s="1" t="s">
        <v>45</v>
      </c>
      <c r="P1352" t="s">
        <v>35</v>
      </c>
      <c r="Q1352" t="str">
        <f>IF(Excel_Advanced_Sales_Dataset_2000__3[[#This Row],[Delivery Status]]="Pending","Follow Up","Ok")</f>
        <v>Ok</v>
      </c>
      <c r="R1352" s="1" t="s">
        <v>36</v>
      </c>
      <c r="S1352">
        <f>Excel_Advanced_Sales_Dataset_2000__3[[#This Row],[Quantity]]*Excel_Advanced_Sales_Dataset_2000__3[[#This Row],[Unit Price]]*Excel_Advanced_Sales_Dataset_2000__3[[#This Row],[Discount %]]/100</f>
        <v>18716.576128000001</v>
      </c>
      <c r="T1352" s="4">
        <f>Excel_Advanced_Sales_Dataset_2000__3[[#This Row],[Quantity]]*Excel_Advanced_Sales_Dataset_2000__3[[#This Row],[Unit Price]]-Excel_Advanced_Sales_Dataset_2000__3[[#This Row],[Discount Amount]]</f>
        <v>479064.70387200004</v>
      </c>
    </row>
    <row r="1353" spans="1:20" x14ac:dyDescent="0.25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>
        <v>5</v>
      </c>
      <c r="J1353" s="4">
        <v>31506.23</v>
      </c>
      <c r="K1353" s="6">
        <v>0.53</v>
      </c>
      <c r="L1353" s="4">
        <v>156696.23000000001</v>
      </c>
      <c r="M1353" s="4" t="str" cm="1">
        <f t="array" ref="M1353">IF(Excel_Advanced_Sales_Dataset_2000__3[[#This Row],[Total Sales]]&gt;50000,{"Yes"},{"No"})</f>
        <v>Yes</v>
      </c>
      <c r="N1353" s="5">
        <v>46305</v>
      </c>
      <c r="O1353" s="1" t="s">
        <v>68</v>
      </c>
      <c r="P1353" t="s">
        <v>35</v>
      </c>
      <c r="Q1353" t="str">
        <f>IF(Excel_Advanced_Sales_Dataset_2000__3[[#This Row],[Delivery Status]]="Pending","Follow Up","Ok")</f>
        <v>Ok</v>
      </c>
      <c r="R1353" s="1" t="s">
        <v>36</v>
      </c>
      <c r="S1353">
        <f>Excel_Advanced_Sales_Dataset_2000__3[[#This Row],[Quantity]]*Excel_Advanced_Sales_Dataset_2000__3[[#This Row],[Unit Price]]*Excel_Advanced_Sales_Dataset_2000__3[[#This Row],[Discount %]]/100</f>
        <v>834.91509499999995</v>
      </c>
      <c r="T1353" s="4">
        <f>Excel_Advanced_Sales_Dataset_2000__3[[#This Row],[Quantity]]*Excel_Advanced_Sales_Dataset_2000__3[[#This Row],[Unit Price]]-Excel_Advanced_Sales_Dataset_2000__3[[#This Row],[Discount Amount]]</f>
        <v>156696.23490499999</v>
      </c>
    </row>
    <row r="1354" spans="1:20" x14ac:dyDescent="0.25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>
        <v>20</v>
      </c>
      <c r="J1354" s="4">
        <v>8350.17</v>
      </c>
      <c r="K1354" s="6">
        <v>19.14</v>
      </c>
      <c r="L1354" s="4">
        <v>135038.95000000001</v>
      </c>
      <c r="M1354" s="4" t="str" cm="1">
        <f t="array" ref="M1354">IF(Excel_Advanced_Sales_Dataset_2000__3[[#This Row],[Total Sales]]&gt;50000,{"Yes"},{"No"})</f>
        <v>Yes</v>
      </c>
      <c r="N1354" s="5">
        <v>46095</v>
      </c>
      <c r="O1354" s="1" t="s">
        <v>24</v>
      </c>
      <c r="P1354" t="s">
        <v>35</v>
      </c>
      <c r="Q1354" t="str">
        <f>IF(Excel_Advanced_Sales_Dataset_2000__3[[#This Row],[Delivery Status]]="Pending","Follow Up","Ok")</f>
        <v>Ok</v>
      </c>
      <c r="R1354" s="1" t="s">
        <v>53</v>
      </c>
      <c r="S1354">
        <f>Excel_Advanced_Sales_Dataset_2000__3[[#This Row],[Quantity]]*Excel_Advanced_Sales_Dataset_2000__3[[#This Row],[Unit Price]]*Excel_Advanced_Sales_Dataset_2000__3[[#This Row],[Discount %]]/100</f>
        <v>31964.45076</v>
      </c>
      <c r="T1354" s="4">
        <f>Excel_Advanced_Sales_Dataset_2000__3[[#This Row],[Quantity]]*Excel_Advanced_Sales_Dataset_2000__3[[#This Row],[Unit Price]]-Excel_Advanced_Sales_Dataset_2000__3[[#This Row],[Discount Amount]]</f>
        <v>135038.94923999999</v>
      </c>
    </row>
    <row r="1355" spans="1:20" x14ac:dyDescent="0.25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>
        <v>8</v>
      </c>
      <c r="J1355" s="4">
        <v>43784.12</v>
      </c>
      <c r="K1355" s="6">
        <v>13.31</v>
      </c>
      <c r="L1355" s="4">
        <v>303651.63</v>
      </c>
      <c r="M1355" s="4" t="str" cm="1">
        <f t="array" ref="M1355">IF(Excel_Advanced_Sales_Dataset_2000__3[[#This Row],[Total Sales]]&gt;50000,{"Yes"},{"No"})</f>
        <v>Yes</v>
      </c>
      <c r="N1355" s="5">
        <v>46055</v>
      </c>
      <c r="O1355" s="1" t="s">
        <v>58</v>
      </c>
      <c r="P1355" t="s">
        <v>35</v>
      </c>
      <c r="Q1355" t="str">
        <f>IF(Excel_Advanced_Sales_Dataset_2000__3[[#This Row],[Delivery Status]]="Pending","Follow Up","Ok")</f>
        <v>Ok</v>
      </c>
      <c r="R1355" s="1" t="s">
        <v>36</v>
      </c>
      <c r="S1355">
        <f>Excel_Advanced_Sales_Dataset_2000__3[[#This Row],[Quantity]]*Excel_Advanced_Sales_Dataset_2000__3[[#This Row],[Unit Price]]*Excel_Advanced_Sales_Dataset_2000__3[[#This Row],[Discount %]]/100</f>
        <v>46621.330976000012</v>
      </c>
      <c r="T1355" s="4">
        <f>Excel_Advanced_Sales_Dataset_2000__3[[#This Row],[Quantity]]*Excel_Advanced_Sales_Dataset_2000__3[[#This Row],[Unit Price]]-Excel_Advanced_Sales_Dataset_2000__3[[#This Row],[Discount Amount]]</f>
        <v>303651.62902400002</v>
      </c>
    </row>
    <row r="1356" spans="1:20" x14ac:dyDescent="0.25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>
        <v>22</v>
      </c>
      <c r="J1356" s="4">
        <v>4909.32</v>
      </c>
      <c r="K1356" s="6">
        <v>16.190000000000001</v>
      </c>
      <c r="L1356" s="4">
        <v>90519.02</v>
      </c>
      <c r="M1356" s="4" t="str" cm="1">
        <f t="array" ref="M1356">IF(Excel_Advanced_Sales_Dataset_2000__3[[#This Row],[Total Sales]]&gt;50000,{"Yes"},{"No"})</f>
        <v>Yes</v>
      </c>
      <c r="N1356" s="5">
        <v>46353</v>
      </c>
      <c r="O1356" s="1" t="s">
        <v>58</v>
      </c>
      <c r="P1356" t="s">
        <v>35</v>
      </c>
      <c r="Q1356" t="str">
        <f>IF(Excel_Advanced_Sales_Dataset_2000__3[[#This Row],[Delivery Status]]="Pending","Follow Up","Ok")</f>
        <v>Ok</v>
      </c>
      <c r="R1356" s="1" t="s">
        <v>36</v>
      </c>
      <c r="S1356">
        <f>Excel_Advanced_Sales_Dataset_2000__3[[#This Row],[Quantity]]*Excel_Advanced_Sales_Dataset_2000__3[[#This Row],[Unit Price]]*Excel_Advanced_Sales_Dataset_2000__3[[#This Row],[Discount %]]/100</f>
        <v>17486.015975999999</v>
      </c>
      <c r="T1356" s="4">
        <f>Excel_Advanced_Sales_Dataset_2000__3[[#This Row],[Quantity]]*Excel_Advanced_Sales_Dataset_2000__3[[#This Row],[Unit Price]]-Excel_Advanced_Sales_Dataset_2000__3[[#This Row],[Discount Amount]]</f>
        <v>90519.024023999998</v>
      </c>
    </row>
    <row r="1357" spans="1:20" x14ac:dyDescent="0.25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>
        <v>6</v>
      </c>
      <c r="J1357" s="4">
        <v>5880.75</v>
      </c>
      <c r="K1357" s="6">
        <v>11.06</v>
      </c>
      <c r="L1357" s="4">
        <v>31382.03</v>
      </c>
      <c r="M1357" s="4" t="str" cm="1">
        <f t="array" ref="M1357">IF(Excel_Advanced_Sales_Dataset_2000__3[[#This Row],[Total Sales]]&gt;50000,{"Yes"},{"No"})</f>
        <v>No</v>
      </c>
      <c r="N1357" s="5">
        <v>46173</v>
      </c>
      <c r="O1357" s="1" t="s">
        <v>24</v>
      </c>
      <c r="P1357" t="s">
        <v>35</v>
      </c>
      <c r="Q1357" t="str">
        <f>IF(Excel_Advanced_Sales_Dataset_2000__3[[#This Row],[Delivery Status]]="Pending","Follow Up","Ok")</f>
        <v>Ok</v>
      </c>
      <c r="R1357" s="1" t="s">
        <v>26</v>
      </c>
      <c r="S1357">
        <f>Excel_Advanced_Sales_Dataset_2000__3[[#This Row],[Quantity]]*Excel_Advanced_Sales_Dataset_2000__3[[#This Row],[Unit Price]]*Excel_Advanced_Sales_Dataset_2000__3[[#This Row],[Discount %]]/100</f>
        <v>3902.4657000000002</v>
      </c>
      <c r="T1357" s="4">
        <f>Excel_Advanced_Sales_Dataset_2000__3[[#This Row],[Quantity]]*Excel_Advanced_Sales_Dataset_2000__3[[#This Row],[Unit Price]]-Excel_Advanced_Sales_Dataset_2000__3[[#This Row],[Discount Amount]]</f>
        <v>31382.034299999999</v>
      </c>
    </row>
    <row r="1358" spans="1:20" x14ac:dyDescent="0.25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>
        <v>37</v>
      </c>
      <c r="J1358" s="4">
        <v>2145.6799999999998</v>
      </c>
      <c r="K1358" s="6">
        <v>12.63</v>
      </c>
      <c r="L1358" s="4">
        <v>69363.179999999993</v>
      </c>
      <c r="M1358" s="4" t="str" cm="1">
        <f t="array" ref="M1358">IF(Excel_Advanced_Sales_Dataset_2000__3[[#This Row],[Total Sales]]&gt;50000,{"Yes"},{"No"})</f>
        <v>Yes</v>
      </c>
      <c r="N1358" s="5">
        <v>46270</v>
      </c>
      <c r="O1358" s="1" t="s">
        <v>58</v>
      </c>
      <c r="P1358" t="s">
        <v>35</v>
      </c>
      <c r="Q1358" t="str">
        <f>IF(Excel_Advanced_Sales_Dataset_2000__3[[#This Row],[Delivery Status]]="Pending","Follow Up","Ok")</f>
        <v>Ok</v>
      </c>
      <c r="R1358" s="1" t="s">
        <v>53</v>
      </c>
      <c r="S1358">
        <f>Excel_Advanced_Sales_Dataset_2000__3[[#This Row],[Quantity]]*Excel_Advanced_Sales_Dataset_2000__3[[#This Row],[Unit Price]]*Excel_Advanced_Sales_Dataset_2000__3[[#This Row],[Discount %]]/100</f>
        <v>10026.977207999998</v>
      </c>
      <c r="T1358" s="4">
        <f>Excel_Advanced_Sales_Dataset_2000__3[[#This Row],[Quantity]]*Excel_Advanced_Sales_Dataset_2000__3[[#This Row],[Unit Price]]-Excel_Advanced_Sales_Dataset_2000__3[[#This Row],[Discount Amount]]</f>
        <v>69363.182791999992</v>
      </c>
    </row>
    <row r="1359" spans="1:20" x14ac:dyDescent="0.25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>
        <v>18</v>
      </c>
      <c r="J1359" s="4">
        <v>20109.55</v>
      </c>
      <c r="K1359" s="6">
        <v>17.7</v>
      </c>
      <c r="L1359" s="4">
        <v>297902.87</v>
      </c>
      <c r="M1359" s="4" t="str" cm="1">
        <f t="array" ref="M1359">IF(Excel_Advanced_Sales_Dataset_2000__3[[#This Row],[Total Sales]]&gt;50000,{"Yes"},{"No"})</f>
        <v>Yes</v>
      </c>
      <c r="N1359" s="5">
        <v>46111</v>
      </c>
      <c r="O1359" s="1" t="s">
        <v>113</v>
      </c>
      <c r="P1359" t="s">
        <v>35</v>
      </c>
      <c r="Q1359" t="str">
        <f>IF(Excel_Advanced_Sales_Dataset_2000__3[[#This Row],[Delivery Status]]="Pending","Follow Up","Ok")</f>
        <v>Ok</v>
      </c>
      <c r="R1359" s="1" t="s">
        <v>53</v>
      </c>
      <c r="S1359">
        <f>Excel_Advanced_Sales_Dataset_2000__3[[#This Row],[Quantity]]*Excel_Advanced_Sales_Dataset_2000__3[[#This Row],[Unit Price]]*Excel_Advanced_Sales_Dataset_2000__3[[#This Row],[Discount %]]/100</f>
        <v>64069.02629999999</v>
      </c>
      <c r="T1359" s="4">
        <f>Excel_Advanced_Sales_Dataset_2000__3[[#This Row],[Quantity]]*Excel_Advanced_Sales_Dataset_2000__3[[#This Row],[Unit Price]]-Excel_Advanced_Sales_Dataset_2000__3[[#This Row],[Discount Amount]]</f>
        <v>297902.8737</v>
      </c>
    </row>
    <row r="1360" spans="1:20" x14ac:dyDescent="0.25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>
        <v>11</v>
      </c>
      <c r="J1360" s="4">
        <v>23976.41</v>
      </c>
      <c r="K1360" s="6">
        <v>17.43</v>
      </c>
      <c r="L1360" s="4">
        <v>217770.54</v>
      </c>
      <c r="M1360" s="4" t="str" cm="1">
        <f t="array" ref="M1360">IF(Excel_Advanced_Sales_Dataset_2000__3[[#This Row],[Total Sales]]&gt;50000,{"Yes"},{"No"})</f>
        <v>Yes</v>
      </c>
      <c r="N1360" s="5">
        <v>46196</v>
      </c>
      <c r="O1360" s="1" t="s">
        <v>45</v>
      </c>
      <c r="P1360" t="s">
        <v>25</v>
      </c>
      <c r="Q1360" t="str">
        <f>IF(Excel_Advanced_Sales_Dataset_2000__3[[#This Row],[Delivery Status]]="Pending","Follow Up","Ok")</f>
        <v>Follow Up</v>
      </c>
      <c r="R1360" s="1" t="s">
        <v>26</v>
      </c>
      <c r="S1360">
        <f>Excel_Advanced_Sales_Dataset_2000__3[[#This Row],[Quantity]]*Excel_Advanced_Sales_Dataset_2000__3[[#This Row],[Unit Price]]*Excel_Advanced_Sales_Dataset_2000__3[[#This Row],[Discount %]]/100</f>
        <v>45969.970892999998</v>
      </c>
      <c r="T1360" s="4">
        <f>Excel_Advanced_Sales_Dataset_2000__3[[#This Row],[Quantity]]*Excel_Advanced_Sales_Dataset_2000__3[[#This Row],[Unit Price]]-Excel_Advanced_Sales_Dataset_2000__3[[#This Row],[Discount Amount]]</f>
        <v>217770.53910700002</v>
      </c>
    </row>
    <row r="1361" spans="1:20" x14ac:dyDescent="0.25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>
        <v>14</v>
      </c>
      <c r="J1361" s="4">
        <v>41939</v>
      </c>
      <c r="K1361" s="6">
        <v>9.3800000000000008</v>
      </c>
      <c r="L1361" s="4">
        <v>532071.71</v>
      </c>
      <c r="M1361" s="4" t="str" cm="1">
        <f t="array" ref="M1361">IF(Excel_Advanced_Sales_Dataset_2000__3[[#This Row],[Total Sales]]&gt;50000,{"Yes"},{"No"})</f>
        <v>Yes</v>
      </c>
      <c r="N1361" s="5">
        <v>46331</v>
      </c>
      <c r="O1361" s="1" t="s">
        <v>24</v>
      </c>
      <c r="P1361" t="s">
        <v>35</v>
      </c>
      <c r="Q1361" t="str">
        <f>IF(Excel_Advanced_Sales_Dataset_2000__3[[#This Row],[Delivery Status]]="Pending","Follow Up","Ok")</f>
        <v>Ok</v>
      </c>
      <c r="R1361" s="1" t="s">
        <v>26</v>
      </c>
      <c r="S1361">
        <f>Excel_Advanced_Sales_Dataset_2000__3[[#This Row],[Quantity]]*Excel_Advanced_Sales_Dataset_2000__3[[#This Row],[Unit Price]]*Excel_Advanced_Sales_Dataset_2000__3[[#This Row],[Discount %]]/100</f>
        <v>55074.294800000003</v>
      </c>
      <c r="T1361" s="4">
        <f>Excel_Advanced_Sales_Dataset_2000__3[[#This Row],[Quantity]]*Excel_Advanced_Sales_Dataset_2000__3[[#This Row],[Unit Price]]-Excel_Advanced_Sales_Dataset_2000__3[[#This Row],[Discount Amount]]</f>
        <v>532071.70519999997</v>
      </c>
    </row>
    <row r="1362" spans="1:20" x14ac:dyDescent="0.25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>
        <v>1</v>
      </c>
      <c r="J1362" s="4">
        <v>46109.55</v>
      </c>
      <c r="K1362" s="6">
        <v>0.71</v>
      </c>
      <c r="L1362" s="4">
        <v>45782.17</v>
      </c>
      <c r="M1362" s="4" t="str" cm="1">
        <f t="array" ref="M1362">IF(Excel_Advanced_Sales_Dataset_2000__3[[#This Row],[Total Sales]]&gt;50000,{"Yes"},{"No"})</f>
        <v>No</v>
      </c>
      <c r="N1362" s="5">
        <v>46167</v>
      </c>
      <c r="O1362" s="1" t="s">
        <v>113</v>
      </c>
      <c r="P1362" t="s">
        <v>35</v>
      </c>
      <c r="Q1362" t="str">
        <f>IF(Excel_Advanced_Sales_Dataset_2000__3[[#This Row],[Delivery Status]]="Pending","Follow Up","Ok")</f>
        <v>Ok</v>
      </c>
      <c r="R1362" s="1" t="s">
        <v>36</v>
      </c>
      <c r="S1362">
        <f>Excel_Advanced_Sales_Dataset_2000__3[[#This Row],[Quantity]]*Excel_Advanced_Sales_Dataset_2000__3[[#This Row],[Unit Price]]*Excel_Advanced_Sales_Dataset_2000__3[[#This Row],[Discount %]]/100</f>
        <v>327.37780500000002</v>
      </c>
      <c r="T1362" s="4">
        <f>Excel_Advanced_Sales_Dataset_2000__3[[#This Row],[Quantity]]*Excel_Advanced_Sales_Dataset_2000__3[[#This Row],[Unit Price]]-Excel_Advanced_Sales_Dataset_2000__3[[#This Row],[Discount Amount]]</f>
        <v>45782.172195000006</v>
      </c>
    </row>
    <row r="1363" spans="1:20" x14ac:dyDescent="0.25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>
        <v>19</v>
      </c>
      <c r="J1363" s="4">
        <v>7385.62</v>
      </c>
      <c r="K1363" s="6">
        <v>15.03</v>
      </c>
      <c r="L1363" s="4">
        <v>119235.66</v>
      </c>
      <c r="M1363" s="4" t="str" cm="1">
        <f t="array" ref="M1363">IF(Excel_Advanced_Sales_Dataset_2000__3[[#This Row],[Total Sales]]&gt;50000,{"Yes"},{"No"})</f>
        <v>Yes</v>
      </c>
      <c r="N1363" s="5">
        <v>46109</v>
      </c>
      <c r="O1363" s="1" t="s">
        <v>45</v>
      </c>
      <c r="P1363" t="s">
        <v>35</v>
      </c>
      <c r="Q1363" t="str">
        <f>IF(Excel_Advanced_Sales_Dataset_2000__3[[#This Row],[Delivery Status]]="Pending","Follow Up","Ok")</f>
        <v>Ok</v>
      </c>
      <c r="R1363" s="1" t="s">
        <v>36</v>
      </c>
      <c r="S1363">
        <f>Excel_Advanced_Sales_Dataset_2000__3[[#This Row],[Quantity]]*Excel_Advanced_Sales_Dataset_2000__3[[#This Row],[Unit Price]]*Excel_Advanced_Sales_Dataset_2000__3[[#This Row],[Discount %]]/100</f>
        <v>21091.115033999999</v>
      </c>
      <c r="T1363" s="4">
        <f>Excel_Advanced_Sales_Dataset_2000__3[[#This Row],[Quantity]]*Excel_Advanced_Sales_Dataset_2000__3[[#This Row],[Unit Price]]-Excel_Advanced_Sales_Dataset_2000__3[[#This Row],[Discount Amount]]</f>
        <v>119235.664966</v>
      </c>
    </row>
    <row r="1364" spans="1:20" x14ac:dyDescent="0.25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>
        <v>2</v>
      </c>
      <c r="J1364" s="4">
        <v>17788.45</v>
      </c>
      <c r="K1364" s="6">
        <v>1.36</v>
      </c>
      <c r="L1364" s="4">
        <v>35093.050000000003</v>
      </c>
      <c r="M1364" s="4" t="str" cm="1">
        <f t="array" ref="M1364">IF(Excel_Advanced_Sales_Dataset_2000__3[[#This Row],[Total Sales]]&gt;50000,{"Yes"},{"No"})</f>
        <v>No</v>
      </c>
      <c r="N1364" s="5">
        <v>46101</v>
      </c>
      <c r="O1364" s="1" t="s">
        <v>45</v>
      </c>
      <c r="P1364" t="s">
        <v>35</v>
      </c>
      <c r="Q1364" t="str">
        <f>IF(Excel_Advanced_Sales_Dataset_2000__3[[#This Row],[Delivery Status]]="Pending","Follow Up","Ok")</f>
        <v>Ok</v>
      </c>
      <c r="R1364" s="1" t="s">
        <v>36</v>
      </c>
      <c r="S1364">
        <f>Excel_Advanced_Sales_Dataset_2000__3[[#This Row],[Quantity]]*Excel_Advanced_Sales_Dataset_2000__3[[#This Row],[Unit Price]]*Excel_Advanced_Sales_Dataset_2000__3[[#This Row],[Discount %]]/100</f>
        <v>483.84584000000001</v>
      </c>
      <c r="T1364" s="4">
        <f>Excel_Advanced_Sales_Dataset_2000__3[[#This Row],[Quantity]]*Excel_Advanced_Sales_Dataset_2000__3[[#This Row],[Unit Price]]-Excel_Advanced_Sales_Dataset_2000__3[[#This Row],[Discount Amount]]</f>
        <v>35093.05416</v>
      </c>
    </row>
    <row r="1365" spans="1:20" x14ac:dyDescent="0.25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>
        <v>6</v>
      </c>
      <c r="J1365" s="4">
        <v>46462.879999999997</v>
      </c>
      <c r="K1365" s="6">
        <v>4.74</v>
      </c>
      <c r="L1365" s="4">
        <v>265563.24</v>
      </c>
      <c r="M1365" s="4" t="str" cm="1">
        <f t="array" ref="M1365">IF(Excel_Advanced_Sales_Dataset_2000__3[[#This Row],[Total Sales]]&gt;50000,{"Yes"},{"No"})</f>
        <v>Yes</v>
      </c>
      <c r="N1365" s="5">
        <v>46273</v>
      </c>
      <c r="O1365" s="1" t="s">
        <v>113</v>
      </c>
      <c r="P1365" t="s">
        <v>35</v>
      </c>
      <c r="Q1365" t="str">
        <f>IF(Excel_Advanced_Sales_Dataset_2000__3[[#This Row],[Delivery Status]]="Pending","Follow Up","Ok")</f>
        <v>Ok</v>
      </c>
      <c r="R1365" s="1" t="s">
        <v>36</v>
      </c>
      <c r="S1365">
        <f>Excel_Advanced_Sales_Dataset_2000__3[[#This Row],[Quantity]]*Excel_Advanced_Sales_Dataset_2000__3[[#This Row],[Unit Price]]*Excel_Advanced_Sales_Dataset_2000__3[[#This Row],[Discount %]]/100</f>
        <v>13214.043071999999</v>
      </c>
      <c r="T1365" s="4">
        <f>Excel_Advanced_Sales_Dataset_2000__3[[#This Row],[Quantity]]*Excel_Advanced_Sales_Dataset_2000__3[[#This Row],[Unit Price]]-Excel_Advanced_Sales_Dataset_2000__3[[#This Row],[Discount Amount]]</f>
        <v>265563.236928</v>
      </c>
    </row>
    <row r="1366" spans="1:20" x14ac:dyDescent="0.25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>
        <v>23</v>
      </c>
      <c r="J1366" s="4">
        <v>21822.71</v>
      </c>
      <c r="K1366" s="6">
        <v>11.22</v>
      </c>
      <c r="L1366" s="4">
        <v>445606.64</v>
      </c>
      <c r="M1366" s="4" t="str" cm="1">
        <f t="array" ref="M1366">IF(Excel_Advanced_Sales_Dataset_2000__3[[#This Row],[Total Sales]]&gt;50000,{"Yes"},{"No"})</f>
        <v>Yes</v>
      </c>
      <c r="N1366" s="5">
        <v>46119</v>
      </c>
      <c r="O1366" s="1" t="s">
        <v>68</v>
      </c>
      <c r="P1366" t="s">
        <v>35</v>
      </c>
      <c r="Q1366" t="str">
        <f>IF(Excel_Advanced_Sales_Dataset_2000__3[[#This Row],[Delivery Status]]="Pending","Follow Up","Ok")</f>
        <v>Ok</v>
      </c>
      <c r="R1366" s="1" t="s">
        <v>53</v>
      </c>
      <c r="S1366">
        <f>Excel_Advanced_Sales_Dataset_2000__3[[#This Row],[Quantity]]*Excel_Advanced_Sales_Dataset_2000__3[[#This Row],[Unit Price]]*Excel_Advanced_Sales_Dataset_2000__3[[#This Row],[Discount %]]/100</f>
        <v>56315.685426000004</v>
      </c>
      <c r="T1366" s="4">
        <f>Excel_Advanced_Sales_Dataset_2000__3[[#This Row],[Quantity]]*Excel_Advanced_Sales_Dataset_2000__3[[#This Row],[Unit Price]]-Excel_Advanced_Sales_Dataset_2000__3[[#This Row],[Discount Amount]]</f>
        <v>445606.64457399998</v>
      </c>
    </row>
    <row r="1367" spans="1:20" x14ac:dyDescent="0.25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>
        <v>5</v>
      </c>
      <c r="J1367" s="4">
        <v>37318.58</v>
      </c>
      <c r="K1367" s="6">
        <v>18.64</v>
      </c>
      <c r="L1367" s="4">
        <v>151811.98000000001</v>
      </c>
      <c r="M1367" s="4" t="str" cm="1">
        <f t="array" ref="M1367">IF(Excel_Advanced_Sales_Dataset_2000__3[[#This Row],[Total Sales]]&gt;50000,{"Yes"},{"No"})</f>
        <v>Yes</v>
      </c>
      <c r="N1367" s="5">
        <v>46163</v>
      </c>
      <c r="O1367" s="1" t="s">
        <v>68</v>
      </c>
      <c r="P1367" t="s">
        <v>35</v>
      </c>
      <c r="Q1367" t="str">
        <f>IF(Excel_Advanced_Sales_Dataset_2000__3[[#This Row],[Delivery Status]]="Pending","Follow Up","Ok")</f>
        <v>Ok</v>
      </c>
      <c r="R1367" s="1" t="s">
        <v>26</v>
      </c>
      <c r="S1367">
        <f>Excel_Advanced_Sales_Dataset_2000__3[[#This Row],[Quantity]]*Excel_Advanced_Sales_Dataset_2000__3[[#This Row],[Unit Price]]*Excel_Advanced_Sales_Dataset_2000__3[[#This Row],[Discount %]]/100</f>
        <v>34780.916560000005</v>
      </c>
      <c r="T1367" s="4">
        <f>Excel_Advanced_Sales_Dataset_2000__3[[#This Row],[Quantity]]*Excel_Advanced_Sales_Dataset_2000__3[[#This Row],[Unit Price]]-Excel_Advanced_Sales_Dataset_2000__3[[#This Row],[Discount Amount]]</f>
        <v>151811.98344000001</v>
      </c>
    </row>
    <row r="1368" spans="1:20" x14ac:dyDescent="0.25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>
        <v>29</v>
      </c>
      <c r="J1368" s="4">
        <v>21956.17</v>
      </c>
      <c r="K1368" s="6">
        <v>12.15</v>
      </c>
      <c r="L1368" s="4">
        <v>559366.37</v>
      </c>
      <c r="M1368" s="4" t="str" cm="1">
        <f t="array" ref="M1368">IF(Excel_Advanced_Sales_Dataset_2000__3[[#This Row],[Total Sales]]&gt;50000,{"Yes"},{"No"})</f>
        <v>Yes</v>
      </c>
      <c r="N1368" s="5">
        <v>46280</v>
      </c>
      <c r="O1368" s="1" t="s">
        <v>68</v>
      </c>
      <c r="P1368" t="s">
        <v>35</v>
      </c>
      <c r="Q1368" t="str">
        <f>IF(Excel_Advanced_Sales_Dataset_2000__3[[#This Row],[Delivery Status]]="Pending","Follow Up","Ok")</f>
        <v>Ok</v>
      </c>
      <c r="R1368" s="1" t="s">
        <v>36</v>
      </c>
      <c r="S1368">
        <f>Excel_Advanced_Sales_Dataset_2000__3[[#This Row],[Quantity]]*Excel_Advanced_Sales_Dataset_2000__3[[#This Row],[Unit Price]]*Excel_Advanced_Sales_Dataset_2000__3[[#This Row],[Discount %]]/100</f>
        <v>77362.564994999993</v>
      </c>
      <c r="T1368" s="4">
        <f>Excel_Advanced_Sales_Dataset_2000__3[[#This Row],[Quantity]]*Excel_Advanced_Sales_Dataset_2000__3[[#This Row],[Unit Price]]-Excel_Advanced_Sales_Dataset_2000__3[[#This Row],[Discount Amount]]</f>
        <v>559366.36500499991</v>
      </c>
    </row>
    <row r="1369" spans="1:20" x14ac:dyDescent="0.25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>
        <v>37</v>
      </c>
      <c r="J1369" s="4">
        <v>3264.72</v>
      </c>
      <c r="K1369" s="6">
        <v>3.77</v>
      </c>
      <c r="L1369" s="4">
        <v>116240.68</v>
      </c>
      <c r="M1369" s="4" t="str" cm="1">
        <f t="array" ref="M1369">IF(Excel_Advanced_Sales_Dataset_2000__3[[#This Row],[Total Sales]]&gt;50000,{"Yes"},{"No"})</f>
        <v>Yes</v>
      </c>
      <c r="N1369" s="5">
        <v>46244</v>
      </c>
      <c r="O1369" s="1" t="s">
        <v>113</v>
      </c>
      <c r="P1369" t="s">
        <v>35</v>
      </c>
      <c r="Q1369" t="str">
        <f>IF(Excel_Advanced_Sales_Dataset_2000__3[[#This Row],[Delivery Status]]="Pending","Follow Up","Ok")</f>
        <v>Ok</v>
      </c>
      <c r="R1369" s="1" t="s">
        <v>53</v>
      </c>
      <c r="S1369">
        <f>Excel_Advanced_Sales_Dataset_2000__3[[#This Row],[Quantity]]*Excel_Advanced_Sales_Dataset_2000__3[[#This Row],[Unit Price]]*Excel_Advanced_Sales_Dataset_2000__3[[#This Row],[Discount %]]/100</f>
        <v>4553.9579279999998</v>
      </c>
      <c r="T1369" s="4">
        <f>Excel_Advanced_Sales_Dataset_2000__3[[#This Row],[Quantity]]*Excel_Advanced_Sales_Dataset_2000__3[[#This Row],[Unit Price]]-Excel_Advanced_Sales_Dataset_2000__3[[#This Row],[Discount Amount]]</f>
        <v>116240.682072</v>
      </c>
    </row>
    <row r="1370" spans="1:20" x14ac:dyDescent="0.25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>
        <v>9</v>
      </c>
      <c r="J1370" s="4">
        <v>34903.300000000003</v>
      </c>
      <c r="K1370" s="6">
        <v>17.71</v>
      </c>
      <c r="L1370" s="4">
        <v>258497.33</v>
      </c>
      <c r="M1370" s="4" t="str" cm="1">
        <f t="array" ref="M1370">IF(Excel_Advanced_Sales_Dataset_2000__3[[#This Row],[Total Sales]]&gt;50000,{"Yes"},{"No"})</f>
        <v>Yes</v>
      </c>
      <c r="N1370" s="5">
        <v>46137</v>
      </c>
      <c r="O1370" s="1" t="s">
        <v>113</v>
      </c>
      <c r="P1370" t="s">
        <v>35</v>
      </c>
      <c r="Q1370" t="str">
        <f>IF(Excel_Advanced_Sales_Dataset_2000__3[[#This Row],[Delivery Status]]="Pending","Follow Up","Ok")</f>
        <v>Ok</v>
      </c>
      <c r="R1370" s="1" t="s">
        <v>36</v>
      </c>
      <c r="S1370">
        <f>Excel_Advanced_Sales_Dataset_2000__3[[#This Row],[Quantity]]*Excel_Advanced_Sales_Dataset_2000__3[[#This Row],[Unit Price]]*Excel_Advanced_Sales_Dataset_2000__3[[#This Row],[Discount %]]/100</f>
        <v>55632.36987000001</v>
      </c>
      <c r="T1370" s="4">
        <f>Excel_Advanced_Sales_Dataset_2000__3[[#This Row],[Quantity]]*Excel_Advanced_Sales_Dataset_2000__3[[#This Row],[Unit Price]]-Excel_Advanced_Sales_Dataset_2000__3[[#This Row],[Discount Amount]]</f>
        <v>258497.33013000002</v>
      </c>
    </row>
    <row r="1371" spans="1:20" x14ac:dyDescent="0.25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>
        <v>8</v>
      </c>
      <c r="J1371" s="4">
        <v>38371.08</v>
      </c>
      <c r="K1371" s="6">
        <v>6.48</v>
      </c>
      <c r="L1371" s="4">
        <v>287077.07</v>
      </c>
      <c r="M1371" s="4" t="str" cm="1">
        <f t="array" ref="M1371">IF(Excel_Advanced_Sales_Dataset_2000__3[[#This Row],[Total Sales]]&gt;50000,{"Yes"},{"No"})</f>
        <v>Yes</v>
      </c>
      <c r="N1371" s="5">
        <v>46124</v>
      </c>
      <c r="O1371" s="1" t="s">
        <v>45</v>
      </c>
      <c r="P1371" t="s">
        <v>35</v>
      </c>
      <c r="Q1371" t="str">
        <f>IF(Excel_Advanced_Sales_Dataset_2000__3[[#This Row],[Delivery Status]]="Pending","Follow Up","Ok")</f>
        <v>Ok</v>
      </c>
      <c r="R1371" s="1" t="s">
        <v>36</v>
      </c>
      <c r="S1371">
        <f>Excel_Advanced_Sales_Dataset_2000__3[[#This Row],[Quantity]]*Excel_Advanced_Sales_Dataset_2000__3[[#This Row],[Unit Price]]*Excel_Advanced_Sales_Dataset_2000__3[[#This Row],[Discount %]]/100</f>
        <v>19891.567872</v>
      </c>
      <c r="T1371" s="4">
        <f>Excel_Advanced_Sales_Dataset_2000__3[[#This Row],[Quantity]]*Excel_Advanced_Sales_Dataset_2000__3[[#This Row],[Unit Price]]-Excel_Advanced_Sales_Dataset_2000__3[[#This Row],[Discount Amount]]</f>
        <v>287077.07212800003</v>
      </c>
    </row>
    <row r="1372" spans="1:20" x14ac:dyDescent="0.25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>
        <v>18</v>
      </c>
      <c r="J1372" s="4">
        <v>14492.26</v>
      </c>
      <c r="K1372" s="6">
        <v>16.34</v>
      </c>
      <c r="L1372" s="4">
        <v>218236.04</v>
      </c>
      <c r="M1372" s="4" t="str" cm="1">
        <f t="array" ref="M1372">IF(Excel_Advanced_Sales_Dataset_2000__3[[#This Row],[Total Sales]]&gt;50000,{"Yes"},{"No"})</f>
        <v>Yes</v>
      </c>
      <c r="N1372" s="5">
        <v>46368</v>
      </c>
      <c r="O1372" s="1" t="s">
        <v>113</v>
      </c>
      <c r="P1372" t="s">
        <v>35</v>
      </c>
      <c r="Q1372" t="str">
        <f>IF(Excel_Advanced_Sales_Dataset_2000__3[[#This Row],[Delivery Status]]="Pending","Follow Up","Ok")</f>
        <v>Ok</v>
      </c>
      <c r="R1372" s="1" t="s">
        <v>36</v>
      </c>
      <c r="S1372">
        <f>Excel_Advanced_Sales_Dataset_2000__3[[#This Row],[Quantity]]*Excel_Advanced_Sales_Dataset_2000__3[[#This Row],[Unit Price]]*Excel_Advanced_Sales_Dataset_2000__3[[#This Row],[Discount %]]/100</f>
        <v>42624.635111999996</v>
      </c>
      <c r="T1372" s="4">
        <f>Excel_Advanced_Sales_Dataset_2000__3[[#This Row],[Quantity]]*Excel_Advanced_Sales_Dataset_2000__3[[#This Row],[Unit Price]]-Excel_Advanced_Sales_Dataset_2000__3[[#This Row],[Discount Amount]]</f>
        <v>218236.044888</v>
      </c>
    </row>
    <row r="1373" spans="1:20" x14ac:dyDescent="0.25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>
        <v>10</v>
      </c>
      <c r="J1373" s="4">
        <v>10625.88</v>
      </c>
      <c r="K1373" s="6">
        <v>4.9800000000000004</v>
      </c>
      <c r="L1373" s="4">
        <v>100967.11</v>
      </c>
      <c r="M1373" s="4" t="str" cm="1">
        <f t="array" ref="M1373">IF(Excel_Advanced_Sales_Dataset_2000__3[[#This Row],[Total Sales]]&gt;50000,{"Yes"},{"No"})</f>
        <v>Yes</v>
      </c>
      <c r="N1373" s="5">
        <v>46297</v>
      </c>
      <c r="O1373" s="1" t="s">
        <v>24</v>
      </c>
      <c r="P1373" t="s">
        <v>35</v>
      </c>
      <c r="Q1373" t="str">
        <f>IF(Excel_Advanced_Sales_Dataset_2000__3[[#This Row],[Delivery Status]]="Pending","Follow Up","Ok")</f>
        <v>Ok</v>
      </c>
      <c r="R1373" s="1" t="s">
        <v>36</v>
      </c>
      <c r="S1373">
        <f>Excel_Advanced_Sales_Dataset_2000__3[[#This Row],[Quantity]]*Excel_Advanced_Sales_Dataset_2000__3[[#This Row],[Unit Price]]*Excel_Advanced_Sales_Dataset_2000__3[[#This Row],[Discount %]]/100</f>
        <v>5291.6882400000004</v>
      </c>
      <c r="T1373" s="4">
        <f>Excel_Advanced_Sales_Dataset_2000__3[[#This Row],[Quantity]]*Excel_Advanced_Sales_Dataset_2000__3[[#This Row],[Unit Price]]-Excel_Advanced_Sales_Dataset_2000__3[[#This Row],[Discount Amount]]</f>
        <v>100967.11175999999</v>
      </c>
    </row>
    <row r="1374" spans="1:20" x14ac:dyDescent="0.25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>
        <v>50</v>
      </c>
      <c r="J1374" s="4">
        <v>19971.04</v>
      </c>
      <c r="K1374" s="6">
        <v>6.82</v>
      </c>
      <c r="L1374" s="4">
        <v>930450.75</v>
      </c>
      <c r="M1374" s="4" t="str" cm="1">
        <f t="array" ref="M1374">IF(Excel_Advanced_Sales_Dataset_2000__3[[#This Row],[Total Sales]]&gt;50000,{"Yes"},{"No"})</f>
        <v>Yes</v>
      </c>
      <c r="N1374" s="5">
        <v>46369</v>
      </c>
      <c r="O1374" s="1" t="s">
        <v>45</v>
      </c>
      <c r="P1374" t="s">
        <v>35</v>
      </c>
      <c r="Q1374" t="str">
        <f>IF(Excel_Advanced_Sales_Dataset_2000__3[[#This Row],[Delivery Status]]="Pending","Follow Up","Ok")</f>
        <v>Ok</v>
      </c>
      <c r="R1374" s="1" t="s">
        <v>53</v>
      </c>
      <c r="S1374">
        <f>Excel_Advanced_Sales_Dataset_2000__3[[#This Row],[Quantity]]*Excel_Advanced_Sales_Dataset_2000__3[[#This Row],[Unit Price]]*Excel_Advanced_Sales_Dataset_2000__3[[#This Row],[Discount %]]/100</f>
        <v>68101.246400000004</v>
      </c>
      <c r="T1374" s="4">
        <f>Excel_Advanced_Sales_Dataset_2000__3[[#This Row],[Quantity]]*Excel_Advanced_Sales_Dataset_2000__3[[#This Row],[Unit Price]]-Excel_Advanced_Sales_Dataset_2000__3[[#This Row],[Discount Amount]]</f>
        <v>930450.75359999994</v>
      </c>
    </row>
    <row r="1375" spans="1:20" x14ac:dyDescent="0.25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>
        <v>21</v>
      </c>
      <c r="J1375" s="4">
        <v>36965.269999999997</v>
      </c>
      <c r="K1375" s="6">
        <v>17.59</v>
      </c>
      <c r="L1375" s="4">
        <v>639724.66</v>
      </c>
      <c r="M1375" s="4" t="str" cm="1">
        <f t="array" ref="M1375">IF(Excel_Advanced_Sales_Dataset_2000__3[[#This Row],[Total Sales]]&gt;50000,{"Yes"},{"No"})</f>
        <v>Yes</v>
      </c>
      <c r="N1375" s="5">
        <v>46307</v>
      </c>
      <c r="O1375" s="1" t="s">
        <v>113</v>
      </c>
      <c r="P1375" t="s">
        <v>59</v>
      </c>
      <c r="Q1375" t="str">
        <f>IF(Excel_Advanced_Sales_Dataset_2000__3[[#This Row],[Delivery Status]]="Pending","Follow Up","Ok")</f>
        <v>Ok</v>
      </c>
      <c r="R1375" s="1" t="s">
        <v>53</v>
      </c>
      <c r="S1375">
        <f>Excel_Advanced_Sales_Dataset_2000__3[[#This Row],[Quantity]]*Excel_Advanced_Sales_Dataset_2000__3[[#This Row],[Unit Price]]*Excel_Advanced_Sales_Dataset_2000__3[[#This Row],[Discount %]]/100</f>
        <v>136546.01085299999</v>
      </c>
      <c r="T1375" s="4">
        <f>Excel_Advanced_Sales_Dataset_2000__3[[#This Row],[Quantity]]*Excel_Advanced_Sales_Dataset_2000__3[[#This Row],[Unit Price]]-Excel_Advanced_Sales_Dataset_2000__3[[#This Row],[Discount Amount]]</f>
        <v>639724.65914699994</v>
      </c>
    </row>
    <row r="1376" spans="1:20" x14ac:dyDescent="0.25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>
        <v>18</v>
      </c>
      <c r="J1376" s="4">
        <v>2874.81</v>
      </c>
      <c r="K1376" s="6">
        <v>4.29</v>
      </c>
      <c r="L1376" s="4">
        <v>49526.65</v>
      </c>
      <c r="M1376" s="4" t="str" cm="1">
        <f t="array" ref="M1376">IF(Excel_Advanced_Sales_Dataset_2000__3[[#This Row],[Total Sales]]&gt;50000,{"Yes"},{"No"})</f>
        <v>No</v>
      </c>
      <c r="N1376" s="5">
        <v>46179</v>
      </c>
      <c r="O1376" s="1" t="s">
        <v>24</v>
      </c>
      <c r="P1376" t="s">
        <v>35</v>
      </c>
      <c r="Q1376" t="str">
        <f>IF(Excel_Advanced_Sales_Dataset_2000__3[[#This Row],[Delivery Status]]="Pending","Follow Up","Ok")</f>
        <v>Ok</v>
      </c>
      <c r="R1376" s="1" t="s">
        <v>53</v>
      </c>
      <c r="S1376">
        <f>Excel_Advanced_Sales_Dataset_2000__3[[#This Row],[Quantity]]*Excel_Advanced_Sales_Dataset_2000__3[[#This Row],[Unit Price]]*Excel_Advanced_Sales_Dataset_2000__3[[#This Row],[Discount %]]/100</f>
        <v>2219.9282820000003</v>
      </c>
      <c r="T1376" s="4">
        <f>Excel_Advanced_Sales_Dataset_2000__3[[#This Row],[Quantity]]*Excel_Advanced_Sales_Dataset_2000__3[[#This Row],[Unit Price]]-Excel_Advanced_Sales_Dataset_2000__3[[#This Row],[Discount Amount]]</f>
        <v>49526.651718000001</v>
      </c>
    </row>
    <row r="1377" spans="1:20" x14ac:dyDescent="0.25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>
        <v>32</v>
      </c>
      <c r="J1377" s="4">
        <v>22681.08</v>
      </c>
      <c r="K1377" s="6">
        <v>13.41</v>
      </c>
      <c r="L1377" s="4">
        <v>628465.51</v>
      </c>
      <c r="M1377" s="4" t="str" cm="1">
        <f t="array" ref="M1377">IF(Excel_Advanced_Sales_Dataset_2000__3[[#This Row],[Total Sales]]&gt;50000,{"Yes"},{"No"})</f>
        <v>Yes</v>
      </c>
      <c r="N1377" s="5">
        <v>46049</v>
      </c>
      <c r="O1377" s="1" t="s">
        <v>45</v>
      </c>
      <c r="P1377" t="s">
        <v>35</v>
      </c>
      <c r="Q1377" t="str">
        <f>IF(Excel_Advanced_Sales_Dataset_2000__3[[#This Row],[Delivery Status]]="Pending","Follow Up","Ok")</f>
        <v>Ok</v>
      </c>
      <c r="R1377" s="1" t="s">
        <v>53</v>
      </c>
      <c r="S1377">
        <f>Excel_Advanced_Sales_Dataset_2000__3[[#This Row],[Quantity]]*Excel_Advanced_Sales_Dataset_2000__3[[#This Row],[Unit Price]]*Excel_Advanced_Sales_Dataset_2000__3[[#This Row],[Discount %]]/100</f>
        <v>97329.050496000011</v>
      </c>
      <c r="T1377" s="4">
        <f>Excel_Advanced_Sales_Dataset_2000__3[[#This Row],[Quantity]]*Excel_Advanced_Sales_Dataset_2000__3[[#This Row],[Unit Price]]-Excel_Advanced_Sales_Dataset_2000__3[[#This Row],[Discount Amount]]</f>
        <v>628465.50950400007</v>
      </c>
    </row>
    <row r="1378" spans="1:20" x14ac:dyDescent="0.25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>
        <v>8</v>
      </c>
      <c r="J1378" s="4">
        <v>19687.490000000002</v>
      </c>
      <c r="K1378" s="6">
        <v>13.39</v>
      </c>
      <c r="L1378" s="4">
        <v>136410.68</v>
      </c>
      <c r="M1378" s="4" t="str" cm="1">
        <f t="array" ref="M1378">IF(Excel_Advanced_Sales_Dataset_2000__3[[#This Row],[Total Sales]]&gt;50000,{"Yes"},{"No"})</f>
        <v>Yes</v>
      </c>
      <c r="N1378" s="5">
        <v>46102</v>
      </c>
      <c r="O1378" s="1" t="s">
        <v>24</v>
      </c>
      <c r="P1378" t="s">
        <v>35</v>
      </c>
      <c r="Q1378" t="str">
        <f>IF(Excel_Advanced_Sales_Dataset_2000__3[[#This Row],[Delivery Status]]="Pending","Follow Up","Ok")</f>
        <v>Ok</v>
      </c>
      <c r="R1378" s="1" t="s">
        <v>26</v>
      </c>
      <c r="S1378">
        <f>Excel_Advanced_Sales_Dataset_2000__3[[#This Row],[Quantity]]*Excel_Advanced_Sales_Dataset_2000__3[[#This Row],[Unit Price]]*Excel_Advanced_Sales_Dataset_2000__3[[#This Row],[Discount %]]/100</f>
        <v>21089.239288000004</v>
      </c>
      <c r="T1378" s="4">
        <f>Excel_Advanced_Sales_Dataset_2000__3[[#This Row],[Quantity]]*Excel_Advanced_Sales_Dataset_2000__3[[#This Row],[Unit Price]]-Excel_Advanced_Sales_Dataset_2000__3[[#This Row],[Discount Amount]]</f>
        <v>136410.680712</v>
      </c>
    </row>
    <row r="1379" spans="1:20" x14ac:dyDescent="0.25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>
        <v>30</v>
      </c>
      <c r="J1379" s="4">
        <v>13527.21</v>
      </c>
      <c r="K1379" s="6">
        <v>17.829999999999998</v>
      </c>
      <c r="L1379" s="4">
        <v>333459.25</v>
      </c>
      <c r="M1379" s="4" t="str" cm="1">
        <f t="array" ref="M1379">IF(Excel_Advanced_Sales_Dataset_2000__3[[#This Row],[Total Sales]]&gt;50000,{"Yes"},{"No"})</f>
        <v>Yes</v>
      </c>
      <c r="N1379" s="5">
        <v>46288</v>
      </c>
      <c r="O1379" s="1" t="s">
        <v>58</v>
      </c>
      <c r="P1379" t="s">
        <v>35</v>
      </c>
      <c r="Q1379" t="str">
        <f>IF(Excel_Advanced_Sales_Dataset_2000__3[[#This Row],[Delivery Status]]="Pending","Follow Up","Ok")</f>
        <v>Ok</v>
      </c>
      <c r="R1379" s="1" t="s">
        <v>26</v>
      </c>
      <c r="S1379">
        <f>Excel_Advanced_Sales_Dataset_2000__3[[#This Row],[Quantity]]*Excel_Advanced_Sales_Dataset_2000__3[[#This Row],[Unit Price]]*Excel_Advanced_Sales_Dataset_2000__3[[#This Row],[Discount %]]/100</f>
        <v>72357.046289999984</v>
      </c>
      <c r="T1379" s="4">
        <f>Excel_Advanced_Sales_Dataset_2000__3[[#This Row],[Quantity]]*Excel_Advanced_Sales_Dataset_2000__3[[#This Row],[Unit Price]]-Excel_Advanced_Sales_Dataset_2000__3[[#This Row],[Discount Amount]]</f>
        <v>333459.25371000002</v>
      </c>
    </row>
    <row r="1380" spans="1:20" x14ac:dyDescent="0.25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>
        <v>36</v>
      </c>
      <c r="J1380" s="4">
        <v>11138.05</v>
      </c>
      <c r="K1380" s="6">
        <v>4.63</v>
      </c>
      <c r="L1380" s="4">
        <v>382404.9</v>
      </c>
      <c r="M1380" s="4" t="str" cm="1">
        <f t="array" ref="M1380">IF(Excel_Advanced_Sales_Dataset_2000__3[[#This Row],[Total Sales]]&gt;50000,{"Yes"},{"No"})</f>
        <v>Yes</v>
      </c>
      <c r="N1380" s="5">
        <v>46286</v>
      </c>
      <c r="O1380" s="1" t="s">
        <v>68</v>
      </c>
      <c r="P1380" t="s">
        <v>35</v>
      </c>
      <c r="Q1380" t="str">
        <f>IF(Excel_Advanced_Sales_Dataset_2000__3[[#This Row],[Delivery Status]]="Pending","Follow Up","Ok")</f>
        <v>Ok</v>
      </c>
      <c r="R1380" s="1" t="s">
        <v>36</v>
      </c>
      <c r="S1380">
        <f>Excel_Advanced_Sales_Dataset_2000__3[[#This Row],[Quantity]]*Excel_Advanced_Sales_Dataset_2000__3[[#This Row],[Unit Price]]*Excel_Advanced_Sales_Dataset_2000__3[[#This Row],[Discount %]]/100</f>
        <v>18564.901739999998</v>
      </c>
      <c r="T1380" s="4">
        <f>Excel_Advanced_Sales_Dataset_2000__3[[#This Row],[Quantity]]*Excel_Advanced_Sales_Dataset_2000__3[[#This Row],[Unit Price]]-Excel_Advanced_Sales_Dataset_2000__3[[#This Row],[Discount Amount]]</f>
        <v>382404.89825999999</v>
      </c>
    </row>
    <row r="1381" spans="1:20" x14ac:dyDescent="0.25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>
        <v>23</v>
      </c>
      <c r="J1381" s="4">
        <v>31734.73</v>
      </c>
      <c r="K1381" s="6">
        <v>1.99</v>
      </c>
      <c r="L1381" s="4">
        <v>715373.8</v>
      </c>
      <c r="M1381" s="4" t="str" cm="1">
        <f t="array" ref="M1381">IF(Excel_Advanced_Sales_Dataset_2000__3[[#This Row],[Total Sales]]&gt;50000,{"Yes"},{"No"})</f>
        <v>Yes</v>
      </c>
      <c r="N1381" s="5">
        <v>46158</v>
      </c>
      <c r="O1381" s="1" t="s">
        <v>113</v>
      </c>
      <c r="P1381" t="s">
        <v>35</v>
      </c>
      <c r="Q1381" t="str">
        <f>IF(Excel_Advanced_Sales_Dataset_2000__3[[#This Row],[Delivery Status]]="Pending","Follow Up","Ok")</f>
        <v>Ok</v>
      </c>
      <c r="R1381" s="1" t="s">
        <v>26</v>
      </c>
      <c r="S1381">
        <f>Excel_Advanced_Sales_Dataset_2000__3[[#This Row],[Quantity]]*Excel_Advanced_Sales_Dataset_2000__3[[#This Row],[Unit Price]]*Excel_Advanced_Sales_Dataset_2000__3[[#This Row],[Discount %]]/100</f>
        <v>14524.985921</v>
      </c>
      <c r="T1381" s="4">
        <f>Excel_Advanced_Sales_Dataset_2000__3[[#This Row],[Quantity]]*Excel_Advanced_Sales_Dataset_2000__3[[#This Row],[Unit Price]]-Excel_Advanced_Sales_Dataset_2000__3[[#This Row],[Discount Amount]]</f>
        <v>715373.80407900002</v>
      </c>
    </row>
    <row r="1382" spans="1:20" x14ac:dyDescent="0.25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>
        <v>4</v>
      </c>
      <c r="J1382" s="4">
        <v>7368.52</v>
      </c>
      <c r="K1382" s="6">
        <v>2.4300000000000002</v>
      </c>
      <c r="L1382" s="4">
        <v>28757.86</v>
      </c>
      <c r="M1382" s="4" t="str" cm="1">
        <f t="array" ref="M1382">IF(Excel_Advanced_Sales_Dataset_2000__3[[#This Row],[Total Sales]]&gt;50000,{"Yes"},{"No"})</f>
        <v>No</v>
      </c>
      <c r="N1382" s="5">
        <v>46083</v>
      </c>
      <c r="O1382" s="1" t="s">
        <v>68</v>
      </c>
      <c r="P1382" t="s">
        <v>35</v>
      </c>
      <c r="Q1382" t="str">
        <f>IF(Excel_Advanced_Sales_Dataset_2000__3[[#This Row],[Delivery Status]]="Pending","Follow Up","Ok")</f>
        <v>Ok</v>
      </c>
      <c r="R1382" s="1" t="s">
        <v>26</v>
      </c>
      <c r="S1382">
        <f>Excel_Advanced_Sales_Dataset_2000__3[[#This Row],[Quantity]]*Excel_Advanced_Sales_Dataset_2000__3[[#This Row],[Unit Price]]*Excel_Advanced_Sales_Dataset_2000__3[[#This Row],[Discount %]]/100</f>
        <v>716.22014400000012</v>
      </c>
      <c r="T1382" s="4">
        <f>Excel_Advanced_Sales_Dataset_2000__3[[#This Row],[Quantity]]*Excel_Advanced_Sales_Dataset_2000__3[[#This Row],[Unit Price]]-Excel_Advanced_Sales_Dataset_2000__3[[#This Row],[Discount Amount]]</f>
        <v>28757.859856000003</v>
      </c>
    </row>
    <row r="1383" spans="1:20" x14ac:dyDescent="0.25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>
        <v>28</v>
      </c>
      <c r="J1383" s="4">
        <v>23899.5</v>
      </c>
      <c r="K1383" s="6">
        <v>3.97</v>
      </c>
      <c r="L1383" s="4">
        <v>642619.31999999995</v>
      </c>
      <c r="M1383" s="4" t="str" cm="1">
        <f t="array" ref="M1383">IF(Excel_Advanced_Sales_Dataset_2000__3[[#This Row],[Total Sales]]&gt;50000,{"Yes"},{"No"})</f>
        <v>Yes</v>
      </c>
      <c r="N1383" s="5">
        <v>46214</v>
      </c>
      <c r="O1383" s="1" t="s">
        <v>58</v>
      </c>
      <c r="P1383" t="s">
        <v>35</v>
      </c>
      <c r="Q1383" t="str">
        <f>IF(Excel_Advanced_Sales_Dataset_2000__3[[#This Row],[Delivery Status]]="Pending","Follow Up","Ok")</f>
        <v>Ok</v>
      </c>
      <c r="R1383" s="1" t="s">
        <v>36</v>
      </c>
      <c r="S1383">
        <f>Excel_Advanced_Sales_Dataset_2000__3[[#This Row],[Quantity]]*Excel_Advanced_Sales_Dataset_2000__3[[#This Row],[Unit Price]]*Excel_Advanced_Sales_Dataset_2000__3[[#This Row],[Discount %]]/100</f>
        <v>26566.6842</v>
      </c>
      <c r="T1383" s="4">
        <f>Excel_Advanced_Sales_Dataset_2000__3[[#This Row],[Quantity]]*Excel_Advanced_Sales_Dataset_2000__3[[#This Row],[Unit Price]]-Excel_Advanced_Sales_Dataset_2000__3[[#This Row],[Discount Amount]]</f>
        <v>642619.31579999998</v>
      </c>
    </row>
    <row r="1384" spans="1:20" x14ac:dyDescent="0.25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>
        <v>40</v>
      </c>
      <c r="J1384" s="4">
        <v>29951.22</v>
      </c>
      <c r="K1384" s="6">
        <v>9.41</v>
      </c>
      <c r="L1384" s="4">
        <v>1085312.4099999999</v>
      </c>
      <c r="M1384" s="4" t="str" cm="1">
        <f t="array" ref="M1384">IF(Excel_Advanced_Sales_Dataset_2000__3[[#This Row],[Total Sales]]&gt;50000,{"Yes"},{"No"})</f>
        <v>Yes</v>
      </c>
      <c r="N1384" s="5">
        <v>46031</v>
      </c>
      <c r="O1384" s="1" t="s">
        <v>45</v>
      </c>
      <c r="P1384" t="s">
        <v>35</v>
      </c>
      <c r="Q1384" t="str">
        <f>IF(Excel_Advanced_Sales_Dataset_2000__3[[#This Row],[Delivery Status]]="Pending","Follow Up","Ok")</f>
        <v>Ok</v>
      </c>
      <c r="R1384" s="1" t="s">
        <v>36</v>
      </c>
      <c r="S1384">
        <f>Excel_Advanced_Sales_Dataset_2000__3[[#This Row],[Quantity]]*Excel_Advanced_Sales_Dataset_2000__3[[#This Row],[Unit Price]]*Excel_Advanced_Sales_Dataset_2000__3[[#This Row],[Discount %]]/100</f>
        <v>112736.39208000001</v>
      </c>
      <c r="T1384" s="4">
        <f>Excel_Advanced_Sales_Dataset_2000__3[[#This Row],[Quantity]]*Excel_Advanced_Sales_Dataset_2000__3[[#This Row],[Unit Price]]-Excel_Advanced_Sales_Dataset_2000__3[[#This Row],[Discount Amount]]</f>
        <v>1085312.4079200001</v>
      </c>
    </row>
    <row r="1385" spans="1:20" x14ac:dyDescent="0.25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>
        <v>34</v>
      </c>
      <c r="J1385" s="4">
        <v>48229.279999999999</v>
      </c>
      <c r="K1385" s="6">
        <v>7.4</v>
      </c>
      <c r="L1385" s="4">
        <v>1518450.65</v>
      </c>
      <c r="M1385" s="4" t="str" cm="1">
        <f t="array" ref="M1385">IF(Excel_Advanced_Sales_Dataset_2000__3[[#This Row],[Total Sales]]&gt;50000,{"Yes"},{"No"})</f>
        <v>Yes</v>
      </c>
      <c r="N1385" s="5">
        <v>46352</v>
      </c>
      <c r="O1385" s="1" t="s">
        <v>68</v>
      </c>
      <c r="P1385" t="s">
        <v>35</v>
      </c>
      <c r="Q1385" t="str">
        <f>IF(Excel_Advanced_Sales_Dataset_2000__3[[#This Row],[Delivery Status]]="Pending","Follow Up","Ok")</f>
        <v>Ok</v>
      </c>
      <c r="R1385" s="1" t="s">
        <v>26</v>
      </c>
      <c r="S1385">
        <f>Excel_Advanced_Sales_Dataset_2000__3[[#This Row],[Quantity]]*Excel_Advanced_Sales_Dataset_2000__3[[#This Row],[Unit Price]]*Excel_Advanced_Sales_Dataset_2000__3[[#This Row],[Discount %]]/100</f>
        <v>121344.86848</v>
      </c>
      <c r="T1385" s="4">
        <f>Excel_Advanced_Sales_Dataset_2000__3[[#This Row],[Quantity]]*Excel_Advanced_Sales_Dataset_2000__3[[#This Row],[Unit Price]]-Excel_Advanced_Sales_Dataset_2000__3[[#This Row],[Discount Amount]]</f>
        <v>1518450.6515200001</v>
      </c>
    </row>
    <row r="1386" spans="1:20" x14ac:dyDescent="0.25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>
        <v>43</v>
      </c>
      <c r="J1386" s="4">
        <v>37735.050000000003</v>
      </c>
      <c r="K1386" s="6">
        <v>3.08</v>
      </c>
      <c r="L1386" s="4">
        <v>1572630.85</v>
      </c>
      <c r="M1386" s="4" t="str" cm="1">
        <f t="array" ref="M1386">IF(Excel_Advanced_Sales_Dataset_2000__3[[#This Row],[Total Sales]]&gt;50000,{"Yes"},{"No"})</f>
        <v>Yes</v>
      </c>
      <c r="N1386" s="5">
        <v>46300</v>
      </c>
      <c r="O1386" s="1" t="s">
        <v>113</v>
      </c>
      <c r="P1386" t="s">
        <v>25</v>
      </c>
      <c r="Q1386" t="str">
        <f>IF(Excel_Advanced_Sales_Dataset_2000__3[[#This Row],[Delivery Status]]="Pending","Follow Up","Ok")</f>
        <v>Follow Up</v>
      </c>
      <c r="R1386" s="1" t="s">
        <v>26</v>
      </c>
      <c r="S1386">
        <f>Excel_Advanced_Sales_Dataset_2000__3[[#This Row],[Quantity]]*Excel_Advanced_Sales_Dataset_2000__3[[#This Row],[Unit Price]]*Excel_Advanced_Sales_Dataset_2000__3[[#This Row],[Discount %]]/100</f>
        <v>49976.300220000005</v>
      </c>
      <c r="T1386" s="4">
        <f>Excel_Advanced_Sales_Dataset_2000__3[[#This Row],[Quantity]]*Excel_Advanced_Sales_Dataset_2000__3[[#This Row],[Unit Price]]-Excel_Advanced_Sales_Dataset_2000__3[[#This Row],[Discount Amount]]</f>
        <v>1572630.84978</v>
      </c>
    </row>
    <row r="1387" spans="1:20" x14ac:dyDescent="0.25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>
        <v>36</v>
      </c>
      <c r="J1387" s="4">
        <v>47695.83</v>
      </c>
      <c r="K1387" s="6">
        <v>9.18</v>
      </c>
      <c r="L1387" s="4">
        <v>1559424.7</v>
      </c>
      <c r="M1387" s="4" t="str" cm="1">
        <f t="array" ref="M1387">IF(Excel_Advanced_Sales_Dataset_2000__3[[#This Row],[Total Sales]]&gt;50000,{"Yes"},{"No"})</f>
        <v>Yes</v>
      </c>
      <c r="N1387" s="5">
        <v>46161</v>
      </c>
      <c r="O1387" s="1" t="s">
        <v>24</v>
      </c>
      <c r="P1387" t="s">
        <v>35</v>
      </c>
      <c r="Q1387" t="str">
        <f>IF(Excel_Advanced_Sales_Dataset_2000__3[[#This Row],[Delivery Status]]="Pending","Follow Up","Ok")</f>
        <v>Ok</v>
      </c>
      <c r="R1387" s="1" t="s">
        <v>36</v>
      </c>
      <c r="S1387">
        <f>Excel_Advanced_Sales_Dataset_2000__3[[#This Row],[Quantity]]*Excel_Advanced_Sales_Dataset_2000__3[[#This Row],[Unit Price]]*Excel_Advanced_Sales_Dataset_2000__3[[#This Row],[Discount %]]/100</f>
        <v>157625.178984</v>
      </c>
      <c r="T1387" s="4">
        <f>Excel_Advanced_Sales_Dataset_2000__3[[#This Row],[Quantity]]*Excel_Advanced_Sales_Dataset_2000__3[[#This Row],[Unit Price]]-Excel_Advanced_Sales_Dataset_2000__3[[#This Row],[Discount Amount]]</f>
        <v>1559424.701016</v>
      </c>
    </row>
    <row r="1388" spans="1:20" x14ac:dyDescent="0.25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>
        <v>31</v>
      </c>
      <c r="J1388" s="4">
        <v>16044.57</v>
      </c>
      <c r="K1388" s="6">
        <v>15.1</v>
      </c>
      <c r="L1388" s="4">
        <v>422277.04</v>
      </c>
      <c r="M1388" s="4" t="str" cm="1">
        <f t="array" ref="M1388">IF(Excel_Advanced_Sales_Dataset_2000__3[[#This Row],[Total Sales]]&gt;50000,{"Yes"},{"No"})</f>
        <v>Yes</v>
      </c>
      <c r="N1388" s="5">
        <v>46363</v>
      </c>
      <c r="O1388" s="1" t="s">
        <v>68</v>
      </c>
      <c r="P1388" t="s">
        <v>35</v>
      </c>
      <c r="Q1388" t="str">
        <f>IF(Excel_Advanced_Sales_Dataset_2000__3[[#This Row],[Delivery Status]]="Pending","Follow Up","Ok")</f>
        <v>Ok</v>
      </c>
      <c r="R1388" s="1" t="s">
        <v>53</v>
      </c>
      <c r="S1388">
        <f>Excel_Advanced_Sales_Dataset_2000__3[[#This Row],[Quantity]]*Excel_Advanced_Sales_Dataset_2000__3[[#This Row],[Unit Price]]*Excel_Advanced_Sales_Dataset_2000__3[[#This Row],[Discount %]]/100</f>
        <v>75104.632169999997</v>
      </c>
      <c r="T1388" s="4">
        <f>Excel_Advanced_Sales_Dataset_2000__3[[#This Row],[Quantity]]*Excel_Advanced_Sales_Dataset_2000__3[[#This Row],[Unit Price]]-Excel_Advanced_Sales_Dataset_2000__3[[#This Row],[Discount Amount]]</f>
        <v>422277.03782999999</v>
      </c>
    </row>
    <row r="1389" spans="1:20" x14ac:dyDescent="0.25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>
        <v>38</v>
      </c>
      <c r="J1389" s="4">
        <v>46448.07</v>
      </c>
      <c r="K1389" s="6">
        <v>0.13</v>
      </c>
      <c r="L1389" s="4">
        <v>1762732.13</v>
      </c>
      <c r="M1389" s="4" t="str" cm="1">
        <f t="array" ref="M1389">IF(Excel_Advanced_Sales_Dataset_2000__3[[#This Row],[Total Sales]]&gt;50000,{"Yes"},{"No"})</f>
        <v>Yes</v>
      </c>
      <c r="N1389" s="5">
        <v>46286</v>
      </c>
      <c r="O1389" s="1" t="s">
        <v>58</v>
      </c>
      <c r="P1389" t="s">
        <v>59</v>
      </c>
      <c r="Q1389" t="str">
        <f>IF(Excel_Advanced_Sales_Dataset_2000__3[[#This Row],[Delivery Status]]="Pending","Follow Up","Ok")</f>
        <v>Ok</v>
      </c>
      <c r="R1389" s="1" t="s">
        <v>53</v>
      </c>
      <c r="S1389">
        <f>Excel_Advanced_Sales_Dataset_2000__3[[#This Row],[Quantity]]*Excel_Advanced_Sales_Dataset_2000__3[[#This Row],[Unit Price]]*Excel_Advanced_Sales_Dataset_2000__3[[#This Row],[Discount %]]/100</f>
        <v>2294.534658</v>
      </c>
      <c r="T1389" s="4">
        <f>Excel_Advanced_Sales_Dataset_2000__3[[#This Row],[Quantity]]*Excel_Advanced_Sales_Dataset_2000__3[[#This Row],[Unit Price]]-Excel_Advanced_Sales_Dataset_2000__3[[#This Row],[Discount Amount]]</f>
        <v>1762732.1253419998</v>
      </c>
    </row>
    <row r="1390" spans="1:20" x14ac:dyDescent="0.25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>
        <v>22</v>
      </c>
      <c r="J1390" s="4">
        <v>9334.02</v>
      </c>
      <c r="K1390" s="6">
        <v>18.440000000000001</v>
      </c>
      <c r="L1390" s="4">
        <v>167482.19</v>
      </c>
      <c r="M1390" s="4" t="str" cm="1">
        <f t="array" ref="M1390">IF(Excel_Advanced_Sales_Dataset_2000__3[[#This Row],[Total Sales]]&gt;50000,{"Yes"},{"No"})</f>
        <v>Yes</v>
      </c>
      <c r="N1390" s="5">
        <v>46267</v>
      </c>
      <c r="O1390" s="1" t="s">
        <v>113</v>
      </c>
      <c r="P1390" t="s">
        <v>35</v>
      </c>
      <c r="Q1390" t="str">
        <f>IF(Excel_Advanced_Sales_Dataset_2000__3[[#This Row],[Delivery Status]]="Pending","Follow Up","Ok")</f>
        <v>Ok</v>
      </c>
      <c r="R1390" s="1" t="s">
        <v>53</v>
      </c>
      <c r="S1390">
        <f>Excel_Advanced_Sales_Dataset_2000__3[[#This Row],[Quantity]]*Excel_Advanced_Sales_Dataset_2000__3[[#This Row],[Unit Price]]*Excel_Advanced_Sales_Dataset_2000__3[[#This Row],[Discount %]]/100</f>
        <v>37866.252336000005</v>
      </c>
      <c r="T1390" s="4">
        <f>Excel_Advanced_Sales_Dataset_2000__3[[#This Row],[Quantity]]*Excel_Advanced_Sales_Dataset_2000__3[[#This Row],[Unit Price]]-Excel_Advanced_Sales_Dataset_2000__3[[#This Row],[Discount Amount]]</f>
        <v>167482.187664</v>
      </c>
    </row>
    <row r="1391" spans="1:20" x14ac:dyDescent="0.25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>
        <v>17</v>
      </c>
      <c r="J1391" s="4">
        <v>46799.28</v>
      </c>
      <c r="K1391" s="6">
        <v>3.49</v>
      </c>
      <c r="L1391" s="4">
        <v>767821.75</v>
      </c>
      <c r="M1391" s="4" t="str" cm="1">
        <f t="array" ref="M1391">IF(Excel_Advanced_Sales_Dataset_2000__3[[#This Row],[Total Sales]]&gt;50000,{"Yes"},{"No"})</f>
        <v>Yes</v>
      </c>
      <c r="N1391" s="5">
        <v>46148</v>
      </c>
      <c r="O1391" s="1" t="s">
        <v>24</v>
      </c>
      <c r="P1391" t="s">
        <v>35</v>
      </c>
      <c r="Q1391" t="str">
        <f>IF(Excel_Advanced_Sales_Dataset_2000__3[[#This Row],[Delivery Status]]="Pending","Follow Up","Ok")</f>
        <v>Ok</v>
      </c>
      <c r="R1391" s="1" t="s">
        <v>26</v>
      </c>
      <c r="S1391">
        <f>Excel_Advanced_Sales_Dataset_2000__3[[#This Row],[Quantity]]*Excel_Advanced_Sales_Dataset_2000__3[[#This Row],[Unit Price]]*Excel_Advanced_Sales_Dataset_2000__3[[#This Row],[Discount %]]/100</f>
        <v>27766.012824000005</v>
      </c>
      <c r="T1391" s="4">
        <f>Excel_Advanced_Sales_Dataset_2000__3[[#This Row],[Quantity]]*Excel_Advanced_Sales_Dataset_2000__3[[#This Row],[Unit Price]]-Excel_Advanced_Sales_Dataset_2000__3[[#This Row],[Discount Amount]]</f>
        <v>767821.74717600003</v>
      </c>
    </row>
    <row r="1392" spans="1:20" x14ac:dyDescent="0.25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>
        <v>4</v>
      </c>
      <c r="J1392" s="4">
        <v>19160.46</v>
      </c>
      <c r="K1392" s="6">
        <v>15.61</v>
      </c>
      <c r="L1392" s="4">
        <v>64678.05</v>
      </c>
      <c r="M1392" s="4" t="str" cm="1">
        <f t="array" ref="M1392">IF(Excel_Advanced_Sales_Dataset_2000__3[[#This Row],[Total Sales]]&gt;50000,{"Yes"},{"No"})</f>
        <v>Yes</v>
      </c>
      <c r="N1392" s="5">
        <v>46379</v>
      </c>
      <c r="O1392" s="1" t="s">
        <v>68</v>
      </c>
      <c r="P1392" t="s">
        <v>35</v>
      </c>
      <c r="Q1392" t="str">
        <f>IF(Excel_Advanced_Sales_Dataset_2000__3[[#This Row],[Delivery Status]]="Pending","Follow Up","Ok")</f>
        <v>Ok</v>
      </c>
      <c r="R1392" s="1" t="s">
        <v>26</v>
      </c>
      <c r="S1392">
        <f>Excel_Advanced_Sales_Dataset_2000__3[[#This Row],[Quantity]]*Excel_Advanced_Sales_Dataset_2000__3[[#This Row],[Unit Price]]*Excel_Advanced_Sales_Dataset_2000__3[[#This Row],[Discount %]]/100</f>
        <v>11963.791224000001</v>
      </c>
      <c r="T1392" s="4">
        <f>Excel_Advanced_Sales_Dataset_2000__3[[#This Row],[Quantity]]*Excel_Advanced_Sales_Dataset_2000__3[[#This Row],[Unit Price]]-Excel_Advanced_Sales_Dataset_2000__3[[#This Row],[Discount Amount]]</f>
        <v>64678.048775999996</v>
      </c>
    </row>
    <row r="1393" spans="1:20" x14ac:dyDescent="0.25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>
        <v>30</v>
      </c>
      <c r="J1393" s="4">
        <v>22003.48</v>
      </c>
      <c r="K1393" s="6">
        <v>7.72</v>
      </c>
      <c r="L1393" s="4">
        <v>609144.34</v>
      </c>
      <c r="M1393" s="4" t="str" cm="1">
        <f t="array" ref="M1393">IF(Excel_Advanced_Sales_Dataset_2000__3[[#This Row],[Total Sales]]&gt;50000,{"Yes"},{"No"})</f>
        <v>Yes</v>
      </c>
      <c r="N1393" s="5">
        <v>46304</v>
      </c>
      <c r="O1393" s="1" t="s">
        <v>45</v>
      </c>
      <c r="P1393" t="s">
        <v>35</v>
      </c>
      <c r="Q1393" t="str">
        <f>IF(Excel_Advanced_Sales_Dataset_2000__3[[#This Row],[Delivery Status]]="Pending","Follow Up","Ok")</f>
        <v>Ok</v>
      </c>
      <c r="R1393" s="1" t="s">
        <v>36</v>
      </c>
      <c r="S1393">
        <f>Excel_Advanced_Sales_Dataset_2000__3[[#This Row],[Quantity]]*Excel_Advanced_Sales_Dataset_2000__3[[#This Row],[Unit Price]]*Excel_Advanced_Sales_Dataset_2000__3[[#This Row],[Discount %]]/100</f>
        <v>50960.059680000006</v>
      </c>
      <c r="T1393" s="4">
        <f>Excel_Advanced_Sales_Dataset_2000__3[[#This Row],[Quantity]]*Excel_Advanced_Sales_Dataset_2000__3[[#This Row],[Unit Price]]-Excel_Advanced_Sales_Dataset_2000__3[[#This Row],[Discount Amount]]</f>
        <v>609144.34031999996</v>
      </c>
    </row>
    <row r="1394" spans="1:20" x14ac:dyDescent="0.25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>
        <v>35</v>
      </c>
      <c r="J1394" s="4">
        <v>23296.09</v>
      </c>
      <c r="K1394" s="6">
        <v>14.65</v>
      </c>
      <c r="L1394" s="4">
        <v>695912.45</v>
      </c>
      <c r="M1394" s="4" t="str" cm="1">
        <f t="array" ref="M1394">IF(Excel_Advanced_Sales_Dataset_2000__3[[#This Row],[Total Sales]]&gt;50000,{"Yes"},{"No"})</f>
        <v>Yes</v>
      </c>
      <c r="N1394" s="5">
        <v>46200</v>
      </c>
      <c r="O1394" s="1" t="s">
        <v>113</v>
      </c>
      <c r="P1394" t="s">
        <v>35</v>
      </c>
      <c r="Q1394" t="str">
        <f>IF(Excel_Advanced_Sales_Dataset_2000__3[[#This Row],[Delivery Status]]="Pending","Follow Up","Ok")</f>
        <v>Ok</v>
      </c>
      <c r="R1394" s="1" t="s">
        <v>53</v>
      </c>
      <c r="S1394">
        <f>Excel_Advanced_Sales_Dataset_2000__3[[#This Row],[Quantity]]*Excel_Advanced_Sales_Dataset_2000__3[[#This Row],[Unit Price]]*Excel_Advanced_Sales_Dataset_2000__3[[#This Row],[Discount %]]/100</f>
        <v>119450.70147500001</v>
      </c>
      <c r="T1394" s="4">
        <f>Excel_Advanced_Sales_Dataset_2000__3[[#This Row],[Quantity]]*Excel_Advanced_Sales_Dataset_2000__3[[#This Row],[Unit Price]]-Excel_Advanced_Sales_Dataset_2000__3[[#This Row],[Discount Amount]]</f>
        <v>695912.44852500001</v>
      </c>
    </row>
    <row r="1395" spans="1:20" x14ac:dyDescent="0.25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>
        <v>26</v>
      </c>
      <c r="J1395" s="4">
        <v>15004.27</v>
      </c>
      <c r="K1395" s="6">
        <v>14.76</v>
      </c>
      <c r="L1395" s="4">
        <v>332530.63</v>
      </c>
      <c r="M1395" s="4" t="str" cm="1">
        <f t="array" ref="M1395">IF(Excel_Advanced_Sales_Dataset_2000__3[[#This Row],[Total Sales]]&gt;50000,{"Yes"},{"No"})</f>
        <v>Yes</v>
      </c>
      <c r="N1395" s="5">
        <v>46262</v>
      </c>
      <c r="O1395" s="1" t="s">
        <v>45</v>
      </c>
      <c r="P1395" t="s">
        <v>35</v>
      </c>
      <c r="Q1395" t="str">
        <f>IF(Excel_Advanced_Sales_Dataset_2000__3[[#This Row],[Delivery Status]]="Pending","Follow Up","Ok")</f>
        <v>Ok</v>
      </c>
      <c r="R1395" s="1" t="s">
        <v>53</v>
      </c>
      <c r="S1395">
        <f>Excel_Advanced_Sales_Dataset_2000__3[[#This Row],[Quantity]]*Excel_Advanced_Sales_Dataset_2000__3[[#This Row],[Unit Price]]*Excel_Advanced_Sales_Dataset_2000__3[[#This Row],[Discount %]]/100</f>
        <v>57580.386551999996</v>
      </c>
      <c r="T1395" s="4">
        <f>Excel_Advanced_Sales_Dataset_2000__3[[#This Row],[Quantity]]*Excel_Advanced_Sales_Dataset_2000__3[[#This Row],[Unit Price]]-Excel_Advanced_Sales_Dataset_2000__3[[#This Row],[Discount Amount]]</f>
        <v>332530.63344800001</v>
      </c>
    </row>
    <row r="1396" spans="1:20" x14ac:dyDescent="0.25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>
        <v>35</v>
      </c>
      <c r="J1396" s="4">
        <v>41692.300000000003</v>
      </c>
      <c r="K1396" s="6">
        <v>7.81</v>
      </c>
      <c r="L1396" s="4">
        <v>1345264.6</v>
      </c>
      <c r="M1396" s="4" t="str" cm="1">
        <f t="array" ref="M1396">IF(Excel_Advanced_Sales_Dataset_2000__3[[#This Row],[Total Sales]]&gt;50000,{"Yes"},{"No"})</f>
        <v>Yes</v>
      </c>
      <c r="N1396" s="5">
        <v>46189</v>
      </c>
      <c r="O1396" s="1" t="s">
        <v>45</v>
      </c>
      <c r="P1396" t="s">
        <v>35</v>
      </c>
      <c r="Q1396" t="str">
        <f>IF(Excel_Advanced_Sales_Dataset_2000__3[[#This Row],[Delivery Status]]="Pending","Follow Up","Ok")</f>
        <v>Ok</v>
      </c>
      <c r="R1396" s="1" t="s">
        <v>53</v>
      </c>
      <c r="S1396">
        <f>Excel_Advanced_Sales_Dataset_2000__3[[#This Row],[Quantity]]*Excel_Advanced_Sales_Dataset_2000__3[[#This Row],[Unit Price]]*Excel_Advanced_Sales_Dataset_2000__3[[#This Row],[Discount %]]/100</f>
        <v>113965.90205</v>
      </c>
      <c r="T1396" s="4">
        <f>Excel_Advanced_Sales_Dataset_2000__3[[#This Row],[Quantity]]*Excel_Advanced_Sales_Dataset_2000__3[[#This Row],[Unit Price]]-Excel_Advanced_Sales_Dataset_2000__3[[#This Row],[Discount Amount]]</f>
        <v>1345264.5979500001</v>
      </c>
    </row>
    <row r="1397" spans="1:20" x14ac:dyDescent="0.25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>
        <v>15</v>
      </c>
      <c r="J1397" s="4">
        <v>10150.16</v>
      </c>
      <c r="K1397" s="6">
        <v>17.47</v>
      </c>
      <c r="L1397" s="4">
        <v>125653.91</v>
      </c>
      <c r="M1397" s="4" t="str" cm="1">
        <f t="array" ref="M1397">IF(Excel_Advanced_Sales_Dataset_2000__3[[#This Row],[Total Sales]]&gt;50000,{"Yes"},{"No"})</f>
        <v>Yes</v>
      </c>
      <c r="N1397" s="5">
        <v>46228</v>
      </c>
      <c r="O1397" s="1" t="s">
        <v>45</v>
      </c>
      <c r="P1397" t="s">
        <v>59</v>
      </c>
      <c r="Q1397" t="str">
        <f>IF(Excel_Advanced_Sales_Dataset_2000__3[[#This Row],[Delivery Status]]="Pending","Follow Up","Ok")</f>
        <v>Ok</v>
      </c>
      <c r="R1397" s="1" t="s">
        <v>36</v>
      </c>
      <c r="S1397">
        <f>Excel_Advanced_Sales_Dataset_2000__3[[#This Row],[Quantity]]*Excel_Advanced_Sales_Dataset_2000__3[[#This Row],[Unit Price]]*Excel_Advanced_Sales_Dataset_2000__3[[#This Row],[Discount %]]/100</f>
        <v>26598.494279999999</v>
      </c>
      <c r="T1397" s="4">
        <f>Excel_Advanced_Sales_Dataset_2000__3[[#This Row],[Quantity]]*Excel_Advanced_Sales_Dataset_2000__3[[#This Row],[Unit Price]]-Excel_Advanced_Sales_Dataset_2000__3[[#This Row],[Discount Amount]]</f>
        <v>125653.90572</v>
      </c>
    </row>
    <row r="1398" spans="1:20" x14ac:dyDescent="0.25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>
        <v>37</v>
      </c>
      <c r="J1398" s="4">
        <v>22793.18</v>
      </c>
      <c r="K1398" s="6">
        <v>15.51</v>
      </c>
      <c r="L1398" s="4">
        <v>712544.44</v>
      </c>
      <c r="M1398" s="4" t="str" cm="1">
        <f t="array" ref="M1398">IF(Excel_Advanced_Sales_Dataset_2000__3[[#This Row],[Total Sales]]&gt;50000,{"Yes"},{"No"})</f>
        <v>Yes</v>
      </c>
      <c r="N1398" s="5">
        <v>46256</v>
      </c>
      <c r="O1398" s="1" t="s">
        <v>68</v>
      </c>
      <c r="P1398" t="s">
        <v>35</v>
      </c>
      <c r="Q1398" t="str">
        <f>IF(Excel_Advanced_Sales_Dataset_2000__3[[#This Row],[Delivery Status]]="Pending","Follow Up","Ok")</f>
        <v>Ok</v>
      </c>
      <c r="R1398" s="1" t="s">
        <v>36</v>
      </c>
      <c r="S1398">
        <f>Excel_Advanced_Sales_Dataset_2000__3[[#This Row],[Quantity]]*Excel_Advanced_Sales_Dataset_2000__3[[#This Row],[Unit Price]]*Excel_Advanced_Sales_Dataset_2000__3[[#This Row],[Discount %]]/100</f>
        <v>130803.22206600002</v>
      </c>
      <c r="T1398" s="4">
        <f>Excel_Advanced_Sales_Dataset_2000__3[[#This Row],[Quantity]]*Excel_Advanced_Sales_Dataset_2000__3[[#This Row],[Unit Price]]-Excel_Advanced_Sales_Dataset_2000__3[[#This Row],[Discount Amount]]</f>
        <v>712544.43793400005</v>
      </c>
    </row>
    <row r="1399" spans="1:20" x14ac:dyDescent="0.25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>
        <v>9</v>
      </c>
      <c r="J1399" s="4">
        <v>24610.46</v>
      </c>
      <c r="K1399" s="6">
        <v>11.15</v>
      </c>
      <c r="L1399" s="4">
        <v>196797.54</v>
      </c>
      <c r="M1399" s="4" t="str" cm="1">
        <f t="array" ref="M1399">IF(Excel_Advanced_Sales_Dataset_2000__3[[#This Row],[Total Sales]]&gt;50000,{"Yes"},{"No"})</f>
        <v>Yes</v>
      </c>
      <c r="N1399" s="5">
        <v>46127</v>
      </c>
      <c r="O1399" s="1" t="s">
        <v>24</v>
      </c>
      <c r="P1399" t="s">
        <v>35</v>
      </c>
      <c r="Q1399" t="str">
        <f>IF(Excel_Advanced_Sales_Dataset_2000__3[[#This Row],[Delivery Status]]="Pending","Follow Up","Ok")</f>
        <v>Ok</v>
      </c>
      <c r="R1399" s="1" t="s">
        <v>26</v>
      </c>
      <c r="S1399">
        <f>Excel_Advanced_Sales_Dataset_2000__3[[#This Row],[Quantity]]*Excel_Advanced_Sales_Dataset_2000__3[[#This Row],[Unit Price]]*Excel_Advanced_Sales_Dataset_2000__3[[#This Row],[Discount %]]/100</f>
        <v>24696.596609999997</v>
      </c>
      <c r="T1399" s="4">
        <f>Excel_Advanced_Sales_Dataset_2000__3[[#This Row],[Quantity]]*Excel_Advanced_Sales_Dataset_2000__3[[#This Row],[Unit Price]]-Excel_Advanced_Sales_Dataset_2000__3[[#This Row],[Discount Amount]]</f>
        <v>196797.54338999998</v>
      </c>
    </row>
    <row r="1400" spans="1:20" x14ac:dyDescent="0.25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>
        <v>39</v>
      </c>
      <c r="J1400" s="4">
        <v>43219.98</v>
      </c>
      <c r="K1400" s="6">
        <v>13.9</v>
      </c>
      <c r="L1400" s="4">
        <v>1451283.71</v>
      </c>
      <c r="M1400" s="4" t="str" cm="1">
        <f t="array" ref="M1400">IF(Excel_Advanced_Sales_Dataset_2000__3[[#This Row],[Total Sales]]&gt;50000,{"Yes"},{"No"})</f>
        <v>Yes</v>
      </c>
      <c r="N1400" s="5">
        <v>46137</v>
      </c>
      <c r="O1400" s="1" t="s">
        <v>68</v>
      </c>
      <c r="P1400" t="s">
        <v>35</v>
      </c>
      <c r="Q1400" t="str">
        <f>IF(Excel_Advanced_Sales_Dataset_2000__3[[#This Row],[Delivery Status]]="Pending","Follow Up","Ok")</f>
        <v>Ok</v>
      </c>
      <c r="R1400" s="1" t="s">
        <v>26</v>
      </c>
      <c r="S1400">
        <f>Excel_Advanced_Sales_Dataset_2000__3[[#This Row],[Quantity]]*Excel_Advanced_Sales_Dataset_2000__3[[#This Row],[Unit Price]]*Excel_Advanced_Sales_Dataset_2000__3[[#This Row],[Discount %]]/100</f>
        <v>234295.51158000005</v>
      </c>
      <c r="T1400" s="4">
        <f>Excel_Advanced_Sales_Dataset_2000__3[[#This Row],[Quantity]]*Excel_Advanced_Sales_Dataset_2000__3[[#This Row],[Unit Price]]-Excel_Advanced_Sales_Dataset_2000__3[[#This Row],[Discount Amount]]</f>
        <v>1451283.70842</v>
      </c>
    </row>
    <row r="1401" spans="1:20" x14ac:dyDescent="0.25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>
        <v>23</v>
      </c>
      <c r="J1401" s="4">
        <v>34923.480000000003</v>
      </c>
      <c r="K1401" s="6">
        <v>17.84</v>
      </c>
      <c r="L1401" s="4">
        <v>659942.02</v>
      </c>
      <c r="M1401" s="4" t="str" cm="1">
        <f t="array" ref="M1401">IF(Excel_Advanced_Sales_Dataset_2000__3[[#This Row],[Total Sales]]&gt;50000,{"Yes"},{"No"})</f>
        <v>Yes</v>
      </c>
      <c r="N1401" s="5">
        <v>46061</v>
      </c>
      <c r="O1401" s="1" t="s">
        <v>58</v>
      </c>
      <c r="P1401" t="s">
        <v>35</v>
      </c>
      <c r="Q1401" t="str">
        <f>IF(Excel_Advanced_Sales_Dataset_2000__3[[#This Row],[Delivery Status]]="Pending","Follow Up","Ok")</f>
        <v>Ok</v>
      </c>
      <c r="R1401" s="1" t="s">
        <v>53</v>
      </c>
      <c r="S1401">
        <f>Excel_Advanced_Sales_Dataset_2000__3[[#This Row],[Quantity]]*Excel_Advanced_Sales_Dataset_2000__3[[#This Row],[Unit Price]]*Excel_Advanced_Sales_Dataset_2000__3[[#This Row],[Discount %]]/100</f>
        <v>143298.023136</v>
      </c>
      <c r="T1401" s="4">
        <f>Excel_Advanced_Sales_Dataset_2000__3[[#This Row],[Quantity]]*Excel_Advanced_Sales_Dataset_2000__3[[#This Row],[Unit Price]]-Excel_Advanced_Sales_Dataset_2000__3[[#This Row],[Discount Amount]]</f>
        <v>659942.016864</v>
      </c>
    </row>
    <row r="1402" spans="1:20" x14ac:dyDescent="0.25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>
        <v>31</v>
      </c>
      <c r="J1402" s="4">
        <v>6160.54</v>
      </c>
      <c r="K1402" s="6">
        <v>15.67</v>
      </c>
      <c r="L1402" s="4">
        <v>161050.68</v>
      </c>
      <c r="M1402" s="4" t="str" cm="1">
        <f t="array" ref="M1402">IF(Excel_Advanced_Sales_Dataset_2000__3[[#This Row],[Total Sales]]&gt;50000,{"Yes"},{"No"})</f>
        <v>Yes</v>
      </c>
      <c r="N1402" s="5">
        <v>46375</v>
      </c>
      <c r="O1402" s="1" t="s">
        <v>24</v>
      </c>
      <c r="P1402" t="s">
        <v>35</v>
      </c>
      <c r="Q1402" t="str">
        <f>IF(Excel_Advanced_Sales_Dataset_2000__3[[#This Row],[Delivery Status]]="Pending","Follow Up","Ok")</f>
        <v>Ok</v>
      </c>
      <c r="R1402" s="1" t="s">
        <v>53</v>
      </c>
      <c r="S1402">
        <f>Excel_Advanced_Sales_Dataset_2000__3[[#This Row],[Quantity]]*Excel_Advanced_Sales_Dataset_2000__3[[#This Row],[Unit Price]]*Excel_Advanced_Sales_Dataset_2000__3[[#This Row],[Discount %]]/100</f>
        <v>29926.055157999996</v>
      </c>
      <c r="T1402" s="4">
        <f>Excel_Advanced_Sales_Dataset_2000__3[[#This Row],[Quantity]]*Excel_Advanced_Sales_Dataset_2000__3[[#This Row],[Unit Price]]-Excel_Advanced_Sales_Dataset_2000__3[[#This Row],[Discount Amount]]</f>
        <v>161050.68484199999</v>
      </c>
    </row>
    <row r="1403" spans="1:20" x14ac:dyDescent="0.25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>
        <v>17</v>
      </c>
      <c r="J1403" s="4">
        <v>29555.21</v>
      </c>
      <c r="K1403" s="6">
        <v>7.38</v>
      </c>
      <c r="L1403" s="4">
        <v>465358.6</v>
      </c>
      <c r="M1403" s="4" t="str" cm="1">
        <f t="array" ref="M1403">IF(Excel_Advanced_Sales_Dataset_2000__3[[#This Row],[Total Sales]]&gt;50000,{"Yes"},{"No"})</f>
        <v>Yes</v>
      </c>
      <c r="N1403" s="5">
        <v>46363</v>
      </c>
      <c r="O1403" s="1" t="s">
        <v>45</v>
      </c>
      <c r="P1403" t="s">
        <v>35</v>
      </c>
      <c r="Q1403" t="str">
        <f>IF(Excel_Advanced_Sales_Dataset_2000__3[[#This Row],[Delivery Status]]="Pending","Follow Up","Ok")</f>
        <v>Ok</v>
      </c>
      <c r="R1403" s="1" t="s">
        <v>36</v>
      </c>
      <c r="S1403">
        <f>Excel_Advanced_Sales_Dataset_2000__3[[#This Row],[Quantity]]*Excel_Advanced_Sales_Dataset_2000__3[[#This Row],[Unit Price]]*Excel_Advanced_Sales_Dataset_2000__3[[#This Row],[Discount %]]/100</f>
        <v>37079.966465999998</v>
      </c>
      <c r="T1403" s="4">
        <f>Excel_Advanced_Sales_Dataset_2000__3[[#This Row],[Quantity]]*Excel_Advanced_Sales_Dataset_2000__3[[#This Row],[Unit Price]]-Excel_Advanced_Sales_Dataset_2000__3[[#This Row],[Discount Amount]]</f>
        <v>465358.60353399999</v>
      </c>
    </row>
    <row r="1404" spans="1:20" x14ac:dyDescent="0.25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>
        <v>34</v>
      </c>
      <c r="J1404" s="4">
        <v>15735.18</v>
      </c>
      <c r="K1404" s="6">
        <v>3.91</v>
      </c>
      <c r="L1404" s="4">
        <v>514077.77</v>
      </c>
      <c r="M1404" s="4" t="str" cm="1">
        <f t="array" ref="M1404">IF(Excel_Advanced_Sales_Dataset_2000__3[[#This Row],[Total Sales]]&gt;50000,{"Yes"},{"No"})</f>
        <v>Yes</v>
      </c>
      <c r="N1404" s="5">
        <v>46358</v>
      </c>
      <c r="O1404" s="1" t="s">
        <v>68</v>
      </c>
      <c r="P1404" t="s">
        <v>35</v>
      </c>
      <c r="Q1404" t="str">
        <f>IF(Excel_Advanced_Sales_Dataset_2000__3[[#This Row],[Delivery Status]]="Pending","Follow Up","Ok")</f>
        <v>Ok</v>
      </c>
      <c r="R1404" s="1" t="s">
        <v>36</v>
      </c>
      <c r="S1404">
        <f>Excel_Advanced_Sales_Dataset_2000__3[[#This Row],[Quantity]]*Excel_Advanced_Sales_Dataset_2000__3[[#This Row],[Unit Price]]*Excel_Advanced_Sales_Dataset_2000__3[[#This Row],[Discount %]]/100</f>
        <v>20918.348291999999</v>
      </c>
      <c r="T1404" s="4">
        <f>Excel_Advanced_Sales_Dataset_2000__3[[#This Row],[Quantity]]*Excel_Advanced_Sales_Dataset_2000__3[[#This Row],[Unit Price]]-Excel_Advanced_Sales_Dataset_2000__3[[#This Row],[Discount Amount]]</f>
        <v>514077.77170799999</v>
      </c>
    </row>
    <row r="1405" spans="1:20" x14ac:dyDescent="0.25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>
        <v>33</v>
      </c>
      <c r="J1405" s="4">
        <v>33668.800000000003</v>
      </c>
      <c r="K1405" s="6">
        <v>17.29</v>
      </c>
      <c r="L1405" s="4">
        <v>918966.33</v>
      </c>
      <c r="M1405" s="4" t="str" cm="1">
        <f t="array" ref="M1405">IF(Excel_Advanced_Sales_Dataset_2000__3[[#This Row],[Total Sales]]&gt;50000,{"Yes"},{"No"})</f>
        <v>Yes</v>
      </c>
      <c r="N1405" s="5">
        <v>46334</v>
      </c>
      <c r="O1405" s="1" t="s">
        <v>68</v>
      </c>
      <c r="P1405" t="s">
        <v>35</v>
      </c>
      <c r="Q1405" t="str">
        <f>IF(Excel_Advanced_Sales_Dataset_2000__3[[#This Row],[Delivery Status]]="Pending","Follow Up","Ok")</f>
        <v>Ok</v>
      </c>
      <c r="R1405" s="1" t="s">
        <v>53</v>
      </c>
      <c r="S1405">
        <f>Excel_Advanced_Sales_Dataset_2000__3[[#This Row],[Quantity]]*Excel_Advanced_Sales_Dataset_2000__3[[#This Row],[Unit Price]]*Excel_Advanced_Sales_Dataset_2000__3[[#This Row],[Discount %]]/100</f>
        <v>192104.07216000001</v>
      </c>
      <c r="T1405" s="4">
        <f>Excel_Advanced_Sales_Dataset_2000__3[[#This Row],[Quantity]]*Excel_Advanced_Sales_Dataset_2000__3[[#This Row],[Unit Price]]-Excel_Advanced_Sales_Dataset_2000__3[[#This Row],[Discount Amount]]</f>
        <v>918966.32784000016</v>
      </c>
    </row>
    <row r="1406" spans="1:20" x14ac:dyDescent="0.25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>
        <v>17</v>
      </c>
      <c r="J1406" s="4">
        <v>19980.48</v>
      </c>
      <c r="K1406" s="6">
        <v>12.27</v>
      </c>
      <c r="L1406" s="4">
        <v>297990.88</v>
      </c>
      <c r="M1406" s="4" t="str" cm="1">
        <f t="array" ref="M1406">IF(Excel_Advanced_Sales_Dataset_2000__3[[#This Row],[Total Sales]]&gt;50000,{"Yes"},{"No"})</f>
        <v>Yes</v>
      </c>
      <c r="N1406" s="5">
        <v>46292</v>
      </c>
      <c r="O1406" s="1" t="s">
        <v>24</v>
      </c>
      <c r="P1406" t="s">
        <v>25</v>
      </c>
      <c r="Q1406" t="str">
        <f>IF(Excel_Advanced_Sales_Dataset_2000__3[[#This Row],[Delivery Status]]="Pending","Follow Up","Ok")</f>
        <v>Follow Up</v>
      </c>
      <c r="R1406" s="1" t="s">
        <v>53</v>
      </c>
      <c r="S1406">
        <f>Excel_Advanced_Sales_Dataset_2000__3[[#This Row],[Quantity]]*Excel_Advanced_Sales_Dataset_2000__3[[#This Row],[Unit Price]]*Excel_Advanced_Sales_Dataset_2000__3[[#This Row],[Discount %]]/100</f>
        <v>41677.283231999994</v>
      </c>
      <c r="T1406" s="4">
        <f>Excel_Advanced_Sales_Dataset_2000__3[[#This Row],[Quantity]]*Excel_Advanced_Sales_Dataset_2000__3[[#This Row],[Unit Price]]-Excel_Advanced_Sales_Dataset_2000__3[[#This Row],[Discount Amount]]</f>
        <v>297990.87676799996</v>
      </c>
    </row>
    <row r="1407" spans="1:20" x14ac:dyDescent="0.25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>
        <v>50</v>
      </c>
      <c r="J1407" s="4">
        <v>13657.95</v>
      </c>
      <c r="K1407" s="6">
        <v>6.63</v>
      </c>
      <c r="L1407" s="4">
        <v>637621.4</v>
      </c>
      <c r="M1407" s="4" t="str" cm="1">
        <f t="array" ref="M1407">IF(Excel_Advanced_Sales_Dataset_2000__3[[#This Row],[Total Sales]]&gt;50000,{"Yes"},{"No"})</f>
        <v>Yes</v>
      </c>
      <c r="N1407" s="5">
        <v>46298</v>
      </c>
      <c r="O1407" s="1" t="s">
        <v>45</v>
      </c>
      <c r="P1407" t="s">
        <v>35</v>
      </c>
      <c r="Q1407" t="str">
        <f>IF(Excel_Advanced_Sales_Dataset_2000__3[[#This Row],[Delivery Status]]="Pending","Follow Up","Ok")</f>
        <v>Ok</v>
      </c>
      <c r="R1407" s="1" t="s">
        <v>26</v>
      </c>
      <c r="S1407">
        <f>Excel_Advanced_Sales_Dataset_2000__3[[#This Row],[Quantity]]*Excel_Advanced_Sales_Dataset_2000__3[[#This Row],[Unit Price]]*Excel_Advanced_Sales_Dataset_2000__3[[#This Row],[Discount %]]/100</f>
        <v>45276.104249999997</v>
      </c>
      <c r="T1407" s="4">
        <f>Excel_Advanced_Sales_Dataset_2000__3[[#This Row],[Quantity]]*Excel_Advanced_Sales_Dataset_2000__3[[#This Row],[Unit Price]]-Excel_Advanced_Sales_Dataset_2000__3[[#This Row],[Discount Amount]]</f>
        <v>637621.39575000003</v>
      </c>
    </row>
    <row r="1408" spans="1:20" x14ac:dyDescent="0.25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>
        <v>50</v>
      </c>
      <c r="J1408" s="4">
        <v>12684.12</v>
      </c>
      <c r="K1408" s="6">
        <v>11.4</v>
      </c>
      <c r="L1408" s="4">
        <v>561906.52</v>
      </c>
      <c r="M1408" s="4" t="str" cm="1">
        <f t="array" ref="M1408">IF(Excel_Advanced_Sales_Dataset_2000__3[[#This Row],[Total Sales]]&gt;50000,{"Yes"},{"No"})</f>
        <v>Yes</v>
      </c>
      <c r="N1408" s="5">
        <v>46355</v>
      </c>
      <c r="O1408" s="1" t="s">
        <v>45</v>
      </c>
      <c r="P1408" t="s">
        <v>35</v>
      </c>
      <c r="Q1408" t="str">
        <f>IF(Excel_Advanced_Sales_Dataset_2000__3[[#This Row],[Delivery Status]]="Pending","Follow Up","Ok")</f>
        <v>Ok</v>
      </c>
      <c r="R1408" s="1" t="s">
        <v>53</v>
      </c>
      <c r="S1408">
        <f>Excel_Advanced_Sales_Dataset_2000__3[[#This Row],[Quantity]]*Excel_Advanced_Sales_Dataset_2000__3[[#This Row],[Unit Price]]*Excel_Advanced_Sales_Dataset_2000__3[[#This Row],[Discount %]]/100</f>
        <v>72299.483999999997</v>
      </c>
      <c r="T1408" s="4">
        <f>Excel_Advanced_Sales_Dataset_2000__3[[#This Row],[Quantity]]*Excel_Advanced_Sales_Dataset_2000__3[[#This Row],[Unit Price]]-Excel_Advanced_Sales_Dataset_2000__3[[#This Row],[Discount Amount]]</f>
        <v>561906.51600000006</v>
      </c>
    </row>
    <row r="1409" spans="1:20" x14ac:dyDescent="0.25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>
        <v>31</v>
      </c>
      <c r="J1409" s="4">
        <v>31170.66</v>
      </c>
      <c r="K1409" s="6">
        <v>6.36</v>
      </c>
      <c r="L1409" s="4">
        <v>904834.39</v>
      </c>
      <c r="M1409" s="4" t="str" cm="1">
        <f t="array" ref="M1409">IF(Excel_Advanced_Sales_Dataset_2000__3[[#This Row],[Total Sales]]&gt;50000,{"Yes"},{"No"})</f>
        <v>Yes</v>
      </c>
      <c r="N1409" s="5">
        <v>46304</v>
      </c>
      <c r="O1409" s="1" t="s">
        <v>24</v>
      </c>
      <c r="P1409" t="s">
        <v>35</v>
      </c>
      <c r="Q1409" t="str">
        <f>IF(Excel_Advanced_Sales_Dataset_2000__3[[#This Row],[Delivery Status]]="Pending","Follow Up","Ok")</f>
        <v>Ok</v>
      </c>
      <c r="R1409" s="1" t="s">
        <v>53</v>
      </c>
      <c r="S1409">
        <f>Excel_Advanced_Sales_Dataset_2000__3[[#This Row],[Quantity]]*Excel_Advanced_Sales_Dataset_2000__3[[#This Row],[Unit Price]]*Excel_Advanced_Sales_Dataset_2000__3[[#This Row],[Discount %]]/100</f>
        <v>61456.073256000003</v>
      </c>
      <c r="T1409" s="4">
        <f>Excel_Advanced_Sales_Dataset_2000__3[[#This Row],[Quantity]]*Excel_Advanced_Sales_Dataset_2000__3[[#This Row],[Unit Price]]-Excel_Advanced_Sales_Dataset_2000__3[[#This Row],[Discount Amount]]</f>
        <v>904834.38674400002</v>
      </c>
    </row>
    <row r="1410" spans="1:20" x14ac:dyDescent="0.25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>
        <v>28</v>
      </c>
      <c r="J1410" s="4">
        <v>15601.02</v>
      </c>
      <c r="K1410" s="6">
        <v>3.36</v>
      </c>
      <c r="L1410" s="4">
        <v>422151.12</v>
      </c>
      <c r="M1410" s="4" t="str" cm="1">
        <f t="array" ref="M1410">IF(Excel_Advanced_Sales_Dataset_2000__3[[#This Row],[Total Sales]]&gt;50000,{"Yes"},{"No"})</f>
        <v>Yes</v>
      </c>
      <c r="N1410" s="5">
        <v>46100</v>
      </c>
      <c r="O1410" s="1" t="s">
        <v>68</v>
      </c>
      <c r="P1410" t="s">
        <v>35</v>
      </c>
      <c r="Q1410" t="str">
        <f>IF(Excel_Advanced_Sales_Dataset_2000__3[[#This Row],[Delivery Status]]="Pending","Follow Up","Ok")</f>
        <v>Ok</v>
      </c>
      <c r="R1410" s="1" t="s">
        <v>53</v>
      </c>
      <c r="S1410">
        <f>Excel_Advanced_Sales_Dataset_2000__3[[#This Row],[Quantity]]*Excel_Advanced_Sales_Dataset_2000__3[[#This Row],[Unit Price]]*Excel_Advanced_Sales_Dataset_2000__3[[#This Row],[Discount %]]/100</f>
        <v>14677.439616</v>
      </c>
      <c r="T1410" s="4">
        <f>Excel_Advanced_Sales_Dataset_2000__3[[#This Row],[Quantity]]*Excel_Advanced_Sales_Dataset_2000__3[[#This Row],[Unit Price]]-Excel_Advanced_Sales_Dataset_2000__3[[#This Row],[Discount Amount]]</f>
        <v>422151.12038400001</v>
      </c>
    </row>
    <row r="1411" spans="1:20" x14ac:dyDescent="0.25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>
        <v>34</v>
      </c>
      <c r="J1411" s="4">
        <v>17999.79</v>
      </c>
      <c r="K1411" s="6">
        <v>19.36</v>
      </c>
      <c r="L1411" s="4">
        <v>493511.04</v>
      </c>
      <c r="M1411" s="4" t="str" cm="1">
        <f t="array" ref="M1411">IF(Excel_Advanced_Sales_Dataset_2000__3[[#This Row],[Total Sales]]&gt;50000,{"Yes"},{"No"})</f>
        <v>Yes</v>
      </c>
      <c r="N1411" s="5">
        <v>46184</v>
      </c>
      <c r="O1411" s="1" t="s">
        <v>68</v>
      </c>
      <c r="P1411" t="s">
        <v>35</v>
      </c>
      <c r="Q1411" t="str">
        <f>IF(Excel_Advanced_Sales_Dataset_2000__3[[#This Row],[Delivery Status]]="Pending","Follow Up","Ok")</f>
        <v>Ok</v>
      </c>
      <c r="R1411" s="1" t="s">
        <v>26</v>
      </c>
      <c r="S1411">
        <f>Excel_Advanced_Sales_Dataset_2000__3[[#This Row],[Quantity]]*Excel_Advanced_Sales_Dataset_2000__3[[#This Row],[Unit Price]]*Excel_Advanced_Sales_Dataset_2000__3[[#This Row],[Discount %]]/100</f>
        <v>118481.817696</v>
      </c>
      <c r="T1411" s="4">
        <f>Excel_Advanced_Sales_Dataset_2000__3[[#This Row],[Quantity]]*Excel_Advanced_Sales_Dataset_2000__3[[#This Row],[Unit Price]]-Excel_Advanced_Sales_Dataset_2000__3[[#This Row],[Discount Amount]]</f>
        <v>493511.042304</v>
      </c>
    </row>
    <row r="1412" spans="1:20" x14ac:dyDescent="0.25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>
        <v>17</v>
      </c>
      <c r="J1412" s="4">
        <v>10283.719999999999</v>
      </c>
      <c r="K1412" s="6">
        <v>17.3</v>
      </c>
      <c r="L1412" s="4">
        <v>144578.82</v>
      </c>
      <c r="M1412" s="4" t="str" cm="1">
        <f t="array" ref="M1412">IF(Excel_Advanced_Sales_Dataset_2000__3[[#This Row],[Total Sales]]&gt;50000,{"Yes"},{"No"})</f>
        <v>Yes</v>
      </c>
      <c r="N1412" s="5">
        <v>46131</v>
      </c>
      <c r="O1412" s="1" t="s">
        <v>45</v>
      </c>
      <c r="P1412" t="s">
        <v>35</v>
      </c>
      <c r="Q1412" t="str">
        <f>IF(Excel_Advanced_Sales_Dataset_2000__3[[#This Row],[Delivery Status]]="Pending","Follow Up","Ok")</f>
        <v>Ok</v>
      </c>
      <c r="R1412" s="1" t="s">
        <v>36</v>
      </c>
      <c r="S1412">
        <f>Excel_Advanced_Sales_Dataset_2000__3[[#This Row],[Quantity]]*Excel_Advanced_Sales_Dataset_2000__3[[#This Row],[Unit Price]]*Excel_Advanced_Sales_Dataset_2000__3[[#This Row],[Discount %]]/100</f>
        <v>30244.42052</v>
      </c>
      <c r="T1412" s="4">
        <f>Excel_Advanced_Sales_Dataset_2000__3[[#This Row],[Quantity]]*Excel_Advanced_Sales_Dataset_2000__3[[#This Row],[Unit Price]]-Excel_Advanced_Sales_Dataset_2000__3[[#This Row],[Discount Amount]]</f>
        <v>144578.81948000001</v>
      </c>
    </row>
    <row r="1413" spans="1:20" x14ac:dyDescent="0.25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>
        <v>13</v>
      </c>
      <c r="J1413" s="4">
        <v>37874.769999999997</v>
      </c>
      <c r="K1413" s="6">
        <v>1.1000000000000001</v>
      </c>
      <c r="L1413" s="4">
        <v>486955.92</v>
      </c>
      <c r="M1413" s="4" t="str" cm="1">
        <f t="array" ref="M1413">IF(Excel_Advanced_Sales_Dataset_2000__3[[#This Row],[Total Sales]]&gt;50000,{"Yes"},{"No"})</f>
        <v>Yes</v>
      </c>
      <c r="N1413" s="5">
        <v>46195</v>
      </c>
      <c r="O1413" s="1" t="s">
        <v>45</v>
      </c>
      <c r="P1413" t="s">
        <v>35</v>
      </c>
      <c r="Q1413" t="str">
        <f>IF(Excel_Advanced_Sales_Dataset_2000__3[[#This Row],[Delivery Status]]="Pending","Follow Up","Ok")</f>
        <v>Ok</v>
      </c>
      <c r="R1413" s="1" t="s">
        <v>26</v>
      </c>
      <c r="S1413">
        <f>Excel_Advanced_Sales_Dataset_2000__3[[#This Row],[Quantity]]*Excel_Advanced_Sales_Dataset_2000__3[[#This Row],[Unit Price]]*Excel_Advanced_Sales_Dataset_2000__3[[#This Row],[Discount %]]/100</f>
        <v>5416.0921100000005</v>
      </c>
      <c r="T1413" s="4">
        <f>Excel_Advanced_Sales_Dataset_2000__3[[#This Row],[Quantity]]*Excel_Advanced_Sales_Dataset_2000__3[[#This Row],[Unit Price]]-Excel_Advanced_Sales_Dataset_2000__3[[#This Row],[Discount Amount]]</f>
        <v>486955.91788999992</v>
      </c>
    </row>
    <row r="1414" spans="1:20" x14ac:dyDescent="0.25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>
        <v>33</v>
      </c>
      <c r="J1414" s="4">
        <v>36327.69</v>
      </c>
      <c r="K1414" s="6">
        <v>5.97</v>
      </c>
      <c r="L1414" s="4">
        <v>1127244.5900000001</v>
      </c>
      <c r="M1414" s="4" t="str" cm="1">
        <f t="array" ref="M1414">IF(Excel_Advanced_Sales_Dataset_2000__3[[#This Row],[Total Sales]]&gt;50000,{"Yes"},{"No"})</f>
        <v>Yes</v>
      </c>
      <c r="N1414" s="5">
        <v>46026</v>
      </c>
      <c r="O1414" s="1" t="s">
        <v>68</v>
      </c>
      <c r="P1414" t="s">
        <v>35</v>
      </c>
      <c r="Q1414" t="str">
        <f>IF(Excel_Advanced_Sales_Dataset_2000__3[[#This Row],[Delivery Status]]="Pending","Follow Up","Ok")</f>
        <v>Ok</v>
      </c>
      <c r="R1414" s="1" t="s">
        <v>53</v>
      </c>
      <c r="S1414">
        <f>Excel_Advanced_Sales_Dataset_2000__3[[#This Row],[Quantity]]*Excel_Advanced_Sales_Dataset_2000__3[[#This Row],[Unit Price]]*Excel_Advanced_Sales_Dataset_2000__3[[#This Row],[Discount %]]/100</f>
        <v>71569.182069000002</v>
      </c>
      <c r="T1414" s="4">
        <f>Excel_Advanced_Sales_Dataset_2000__3[[#This Row],[Quantity]]*Excel_Advanced_Sales_Dataset_2000__3[[#This Row],[Unit Price]]-Excel_Advanced_Sales_Dataset_2000__3[[#This Row],[Discount Amount]]</f>
        <v>1127244.5879309999</v>
      </c>
    </row>
    <row r="1415" spans="1:20" x14ac:dyDescent="0.25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>
        <v>29</v>
      </c>
      <c r="J1415" s="4">
        <v>20554.919999999998</v>
      </c>
      <c r="K1415" s="6">
        <v>10.97</v>
      </c>
      <c r="L1415" s="4">
        <v>530701.31000000006</v>
      </c>
      <c r="M1415" s="4" t="str" cm="1">
        <f t="array" ref="M1415">IF(Excel_Advanced_Sales_Dataset_2000__3[[#This Row],[Total Sales]]&gt;50000,{"Yes"},{"No"})</f>
        <v>Yes</v>
      </c>
      <c r="N1415" s="5">
        <v>46314</v>
      </c>
      <c r="O1415" s="1" t="s">
        <v>24</v>
      </c>
      <c r="P1415" t="s">
        <v>35</v>
      </c>
      <c r="Q1415" t="str">
        <f>IF(Excel_Advanced_Sales_Dataset_2000__3[[#This Row],[Delivery Status]]="Pending","Follow Up","Ok")</f>
        <v>Ok</v>
      </c>
      <c r="R1415" s="1" t="s">
        <v>26</v>
      </c>
      <c r="S1415">
        <f>Excel_Advanced_Sales_Dataset_2000__3[[#This Row],[Quantity]]*Excel_Advanced_Sales_Dataset_2000__3[[#This Row],[Unit Price]]*Excel_Advanced_Sales_Dataset_2000__3[[#This Row],[Discount %]]/100</f>
        <v>65391.366995999997</v>
      </c>
      <c r="T1415" s="4">
        <f>Excel_Advanced_Sales_Dataset_2000__3[[#This Row],[Quantity]]*Excel_Advanced_Sales_Dataset_2000__3[[#This Row],[Unit Price]]-Excel_Advanced_Sales_Dataset_2000__3[[#This Row],[Discount Amount]]</f>
        <v>530701.31300399988</v>
      </c>
    </row>
    <row r="1416" spans="1:20" x14ac:dyDescent="0.25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>
        <v>10</v>
      </c>
      <c r="J1416" s="4">
        <v>20993.18</v>
      </c>
      <c r="K1416" s="6">
        <v>2.54</v>
      </c>
      <c r="L1416" s="4">
        <v>204599.53</v>
      </c>
      <c r="M1416" s="4" t="str" cm="1">
        <f t="array" ref="M1416">IF(Excel_Advanced_Sales_Dataset_2000__3[[#This Row],[Total Sales]]&gt;50000,{"Yes"},{"No"})</f>
        <v>Yes</v>
      </c>
      <c r="N1416" s="5">
        <v>46128</v>
      </c>
      <c r="O1416" s="1" t="s">
        <v>113</v>
      </c>
      <c r="P1416" t="s">
        <v>35</v>
      </c>
      <c r="Q1416" t="str">
        <f>IF(Excel_Advanced_Sales_Dataset_2000__3[[#This Row],[Delivery Status]]="Pending","Follow Up","Ok")</f>
        <v>Ok</v>
      </c>
      <c r="R1416" s="1" t="s">
        <v>53</v>
      </c>
      <c r="S1416">
        <f>Excel_Advanced_Sales_Dataset_2000__3[[#This Row],[Quantity]]*Excel_Advanced_Sales_Dataset_2000__3[[#This Row],[Unit Price]]*Excel_Advanced_Sales_Dataset_2000__3[[#This Row],[Discount %]]/100</f>
        <v>5332.2677199999998</v>
      </c>
      <c r="T1416" s="4">
        <f>Excel_Advanced_Sales_Dataset_2000__3[[#This Row],[Quantity]]*Excel_Advanced_Sales_Dataset_2000__3[[#This Row],[Unit Price]]-Excel_Advanced_Sales_Dataset_2000__3[[#This Row],[Discount Amount]]</f>
        <v>204599.53227999998</v>
      </c>
    </row>
    <row r="1417" spans="1:20" x14ac:dyDescent="0.25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>
        <v>10</v>
      </c>
      <c r="J1417" s="4">
        <v>49019.51</v>
      </c>
      <c r="K1417" s="6">
        <v>15.62</v>
      </c>
      <c r="L1417" s="4">
        <v>413626.63</v>
      </c>
      <c r="M1417" s="4" t="str" cm="1">
        <f t="array" ref="M1417">IF(Excel_Advanced_Sales_Dataset_2000__3[[#This Row],[Total Sales]]&gt;50000,{"Yes"},{"No"})</f>
        <v>Yes</v>
      </c>
      <c r="N1417" s="5">
        <v>46032</v>
      </c>
      <c r="O1417" s="1" t="s">
        <v>45</v>
      </c>
      <c r="P1417" t="s">
        <v>35</v>
      </c>
      <c r="Q1417" t="str">
        <f>IF(Excel_Advanced_Sales_Dataset_2000__3[[#This Row],[Delivery Status]]="Pending","Follow Up","Ok")</f>
        <v>Ok</v>
      </c>
      <c r="R1417" s="1" t="s">
        <v>53</v>
      </c>
      <c r="S1417">
        <f>Excel_Advanced_Sales_Dataset_2000__3[[#This Row],[Quantity]]*Excel_Advanced_Sales_Dataset_2000__3[[#This Row],[Unit Price]]*Excel_Advanced_Sales_Dataset_2000__3[[#This Row],[Discount %]]/100</f>
        <v>76568.474620000008</v>
      </c>
      <c r="T1417" s="4">
        <f>Excel_Advanced_Sales_Dataset_2000__3[[#This Row],[Quantity]]*Excel_Advanced_Sales_Dataset_2000__3[[#This Row],[Unit Price]]-Excel_Advanced_Sales_Dataset_2000__3[[#This Row],[Discount Amount]]</f>
        <v>413626.62538000004</v>
      </c>
    </row>
    <row r="1418" spans="1:20" x14ac:dyDescent="0.25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>
        <v>35</v>
      </c>
      <c r="J1418" s="4">
        <v>16986.62</v>
      </c>
      <c r="K1418" s="6">
        <v>18.12</v>
      </c>
      <c r="L1418" s="4">
        <v>486802.56</v>
      </c>
      <c r="M1418" s="4" t="str" cm="1">
        <f t="array" ref="M1418">IF(Excel_Advanced_Sales_Dataset_2000__3[[#This Row],[Total Sales]]&gt;50000,{"Yes"},{"No"})</f>
        <v>Yes</v>
      </c>
      <c r="N1418" s="5">
        <v>46158</v>
      </c>
      <c r="O1418" s="1" t="s">
        <v>24</v>
      </c>
      <c r="P1418" t="s">
        <v>35</v>
      </c>
      <c r="Q1418" t="str">
        <f>IF(Excel_Advanced_Sales_Dataset_2000__3[[#This Row],[Delivery Status]]="Pending","Follow Up","Ok")</f>
        <v>Ok</v>
      </c>
      <c r="R1418" s="1" t="s">
        <v>53</v>
      </c>
      <c r="S1418">
        <f>Excel_Advanced_Sales_Dataset_2000__3[[#This Row],[Quantity]]*Excel_Advanced_Sales_Dataset_2000__3[[#This Row],[Unit Price]]*Excel_Advanced_Sales_Dataset_2000__3[[#This Row],[Discount %]]/100</f>
        <v>107729.14403999998</v>
      </c>
      <c r="T1418" s="4">
        <f>Excel_Advanced_Sales_Dataset_2000__3[[#This Row],[Quantity]]*Excel_Advanced_Sales_Dataset_2000__3[[#This Row],[Unit Price]]-Excel_Advanced_Sales_Dataset_2000__3[[#This Row],[Discount Amount]]</f>
        <v>486802.55595999997</v>
      </c>
    </row>
    <row r="1419" spans="1:20" x14ac:dyDescent="0.25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>
        <v>3</v>
      </c>
      <c r="J1419" s="4">
        <v>47943.27</v>
      </c>
      <c r="K1419" s="6">
        <v>9.8699999999999992</v>
      </c>
      <c r="L1419" s="4">
        <v>129633.81</v>
      </c>
      <c r="M1419" s="4" t="str" cm="1">
        <f t="array" ref="M1419">IF(Excel_Advanced_Sales_Dataset_2000__3[[#This Row],[Total Sales]]&gt;50000,{"Yes"},{"No"})</f>
        <v>Yes</v>
      </c>
      <c r="N1419" s="5">
        <v>46266</v>
      </c>
      <c r="O1419" s="1" t="s">
        <v>24</v>
      </c>
      <c r="P1419" t="s">
        <v>35</v>
      </c>
      <c r="Q1419" t="str">
        <f>IF(Excel_Advanced_Sales_Dataset_2000__3[[#This Row],[Delivery Status]]="Pending","Follow Up","Ok")</f>
        <v>Ok</v>
      </c>
      <c r="R1419" s="1" t="s">
        <v>53</v>
      </c>
      <c r="S1419">
        <f>Excel_Advanced_Sales_Dataset_2000__3[[#This Row],[Quantity]]*Excel_Advanced_Sales_Dataset_2000__3[[#This Row],[Unit Price]]*Excel_Advanced_Sales_Dataset_2000__3[[#This Row],[Discount %]]/100</f>
        <v>14196.002246999999</v>
      </c>
      <c r="T1419" s="4">
        <f>Excel_Advanced_Sales_Dataset_2000__3[[#This Row],[Quantity]]*Excel_Advanced_Sales_Dataset_2000__3[[#This Row],[Unit Price]]-Excel_Advanced_Sales_Dataset_2000__3[[#This Row],[Discount Amount]]</f>
        <v>129633.807753</v>
      </c>
    </row>
    <row r="1420" spans="1:20" x14ac:dyDescent="0.25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>
        <v>13</v>
      </c>
      <c r="J1420" s="4">
        <v>47579.47</v>
      </c>
      <c r="K1420" s="6">
        <v>15.44</v>
      </c>
      <c r="L1420" s="4">
        <v>523031.6</v>
      </c>
      <c r="M1420" s="4" t="str" cm="1">
        <f t="array" ref="M1420">IF(Excel_Advanced_Sales_Dataset_2000__3[[#This Row],[Total Sales]]&gt;50000,{"Yes"},{"No"})</f>
        <v>Yes</v>
      </c>
      <c r="N1420" s="5">
        <v>46376</v>
      </c>
      <c r="O1420" s="1" t="s">
        <v>45</v>
      </c>
      <c r="P1420" t="s">
        <v>35</v>
      </c>
      <c r="Q1420" t="str">
        <f>IF(Excel_Advanced_Sales_Dataset_2000__3[[#This Row],[Delivery Status]]="Pending","Follow Up","Ok")</f>
        <v>Ok</v>
      </c>
      <c r="R1420" s="1" t="s">
        <v>26</v>
      </c>
      <c r="S1420">
        <f>Excel_Advanced_Sales_Dataset_2000__3[[#This Row],[Quantity]]*Excel_Advanced_Sales_Dataset_2000__3[[#This Row],[Unit Price]]*Excel_Advanced_Sales_Dataset_2000__3[[#This Row],[Discount %]]/100</f>
        <v>95501.512183999992</v>
      </c>
      <c r="T1420" s="4">
        <f>Excel_Advanced_Sales_Dataset_2000__3[[#This Row],[Quantity]]*Excel_Advanced_Sales_Dataset_2000__3[[#This Row],[Unit Price]]-Excel_Advanced_Sales_Dataset_2000__3[[#This Row],[Discount Amount]]</f>
        <v>523031.59781599999</v>
      </c>
    </row>
    <row r="1421" spans="1:20" x14ac:dyDescent="0.25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>
        <v>30</v>
      </c>
      <c r="J1421" s="4">
        <v>38335.25</v>
      </c>
      <c r="K1421" s="6">
        <v>6.52</v>
      </c>
      <c r="L1421" s="4">
        <v>1075073.75</v>
      </c>
      <c r="M1421" s="4" t="str" cm="1">
        <f t="array" ref="M1421">IF(Excel_Advanced_Sales_Dataset_2000__3[[#This Row],[Total Sales]]&gt;50000,{"Yes"},{"No"})</f>
        <v>Yes</v>
      </c>
      <c r="N1421" s="5">
        <v>46155</v>
      </c>
      <c r="O1421" s="1" t="s">
        <v>58</v>
      </c>
      <c r="P1421" t="s">
        <v>35</v>
      </c>
      <c r="Q1421" t="str">
        <f>IF(Excel_Advanced_Sales_Dataset_2000__3[[#This Row],[Delivery Status]]="Pending","Follow Up","Ok")</f>
        <v>Ok</v>
      </c>
      <c r="R1421" s="1" t="s">
        <v>53</v>
      </c>
      <c r="S1421">
        <f>Excel_Advanced_Sales_Dataset_2000__3[[#This Row],[Quantity]]*Excel_Advanced_Sales_Dataset_2000__3[[#This Row],[Unit Price]]*Excel_Advanced_Sales_Dataset_2000__3[[#This Row],[Discount %]]/100</f>
        <v>74983.748999999996</v>
      </c>
      <c r="T1421" s="4">
        <f>Excel_Advanced_Sales_Dataset_2000__3[[#This Row],[Quantity]]*Excel_Advanced_Sales_Dataset_2000__3[[#This Row],[Unit Price]]-Excel_Advanced_Sales_Dataset_2000__3[[#This Row],[Discount Amount]]</f>
        <v>1075073.7509999999</v>
      </c>
    </row>
    <row r="1422" spans="1:20" x14ac:dyDescent="0.25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>
        <v>48</v>
      </c>
      <c r="J1422" s="4">
        <v>15578.99</v>
      </c>
      <c r="K1422" s="6">
        <v>5.15</v>
      </c>
      <c r="L1422" s="4">
        <v>709280.26</v>
      </c>
      <c r="M1422" s="4" t="str" cm="1">
        <f t="array" ref="M1422">IF(Excel_Advanced_Sales_Dataset_2000__3[[#This Row],[Total Sales]]&gt;50000,{"Yes"},{"No"})</f>
        <v>Yes</v>
      </c>
      <c r="N1422" s="5">
        <v>46276</v>
      </c>
      <c r="O1422" s="1" t="s">
        <v>113</v>
      </c>
      <c r="P1422" t="s">
        <v>35</v>
      </c>
      <c r="Q1422" t="str">
        <f>IF(Excel_Advanced_Sales_Dataset_2000__3[[#This Row],[Delivery Status]]="Pending","Follow Up","Ok")</f>
        <v>Ok</v>
      </c>
      <c r="R1422" s="1" t="s">
        <v>36</v>
      </c>
      <c r="S1422">
        <f>Excel_Advanced_Sales_Dataset_2000__3[[#This Row],[Quantity]]*Excel_Advanced_Sales_Dataset_2000__3[[#This Row],[Unit Price]]*Excel_Advanced_Sales_Dataset_2000__3[[#This Row],[Discount %]]/100</f>
        <v>38511.263279999999</v>
      </c>
      <c r="T1422" s="4">
        <f>Excel_Advanced_Sales_Dataset_2000__3[[#This Row],[Quantity]]*Excel_Advanced_Sales_Dataset_2000__3[[#This Row],[Unit Price]]-Excel_Advanced_Sales_Dataset_2000__3[[#This Row],[Discount Amount]]</f>
        <v>709280.25672000006</v>
      </c>
    </row>
    <row r="1423" spans="1:20" x14ac:dyDescent="0.25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>
        <v>1</v>
      </c>
      <c r="J1423" s="4">
        <v>21475.33</v>
      </c>
      <c r="K1423" s="6">
        <v>15.66</v>
      </c>
      <c r="L1423" s="4">
        <v>18112.29</v>
      </c>
      <c r="M1423" s="4" t="str" cm="1">
        <f t="array" ref="M1423">IF(Excel_Advanced_Sales_Dataset_2000__3[[#This Row],[Total Sales]]&gt;50000,{"Yes"},{"No"})</f>
        <v>No</v>
      </c>
      <c r="N1423" s="5">
        <v>46377</v>
      </c>
      <c r="O1423" s="1" t="s">
        <v>45</v>
      </c>
      <c r="P1423" t="s">
        <v>35</v>
      </c>
      <c r="Q1423" t="str">
        <f>IF(Excel_Advanced_Sales_Dataset_2000__3[[#This Row],[Delivery Status]]="Pending","Follow Up","Ok")</f>
        <v>Ok</v>
      </c>
      <c r="R1423" s="1" t="s">
        <v>53</v>
      </c>
      <c r="S1423">
        <f>Excel_Advanced_Sales_Dataset_2000__3[[#This Row],[Quantity]]*Excel_Advanced_Sales_Dataset_2000__3[[#This Row],[Unit Price]]*Excel_Advanced_Sales_Dataset_2000__3[[#This Row],[Discount %]]/100</f>
        <v>3363.0366780000004</v>
      </c>
      <c r="T1423" s="4">
        <f>Excel_Advanced_Sales_Dataset_2000__3[[#This Row],[Quantity]]*Excel_Advanced_Sales_Dataset_2000__3[[#This Row],[Unit Price]]-Excel_Advanced_Sales_Dataset_2000__3[[#This Row],[Discount Amount]]</f>
        <v>18112.293322000001</v>
      </c>
    </row>
    <row r="1424" spans="1:20" x14ac:dyDescent="0.25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>
        <v>26</v>
      </c>
      <c r="J1424" s="4">
        <v>33654.28</v>
      </c>
      <c r="K1424" s="6">
        <v>14.18</v>
      </c>
      <c r="L1424" s="4">
        <v>750934.68</v>
      </c>
      <c r="M1424" s="4" t="str" cm="1">
        <f t="array" ref="M1424">IF(Excel_Advanced_Sales_Dataset_2000__3[[#This Row],[Total Sales]]&gt;50000,{"Yes"},{"No"})</f>
        <v>Yes</v>
      </c>
      <c r="N1424" s="5">
        <v>46295</v>
      </c>
      <c r="O1424" s="1" t="s">
        <v>68</v>
      </c>
      <c r="P1424" t="s">
        <v>35</v>
      </c>
      <c r="Q1424" t="str">
        <f>IF(Excel_Advanced_Sales_Dataset_2000__3[[#This Row],[Delivery Status]]="Pending","Follow Up","Ok")</f>
        <v>Ok</v>
      </c>
      <c r="R1424" s="1" t="s">
        <v>53</v>
      </c>
      <c r="S1424">
        <f>Excel_Advanced_Sales_Dataset_2000__3[[#This Row],[Quantity]]*Excel_Advanced_Sales_Dataset_2000__3[[#This Row],[Unit Price]]*Excel_Advanced_Sales_Dataset_2000__3[[#This Row],[Discount %]]/100</f>
        <v>124076.599504</v>
      </c>
      <c r="T1424" s="4">
        <f>Excel_Advanced_Sales_Dataset_2000__3[[#This Row],[Quantity]]*Excel_Advanced_Sales_Dataset_2000__3[[#This Row],[Unit Price]]-Excel_Advanced_Sales_Dataset_2000__3[[#This Row],[Discount Amount]]</f>
        <v>750934.68049599999</v>
      </c>
    </row>
    <row r="1425" spans="1:20" x14ac:dyDescent="0.25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>
        <v>45</v>
      </c>
      <c r="J1425" s="4">
        <v>14977.03</v>
      </c>
      <c r="K1425" s="6">
        <v>7.8</v>
      </c>
      <c r="L1425" s="4">
        <v>621396.97</v>
      </c>
      <c r="M1425" s="4" t="str" cm="1">
        <f t="array" ref="M1425">IF(Excel_Advanced_Sales_Dataset_2000__3[[#This Row],[Total Sales]]&gt;50000,{"Yes"},{"No"})</f>
        <v>Yes</v>
      </c>
      <c r="N1425" s="5">
        <v>46344</v>
      </c>
      <c r="O1425" s="1" t="s">
        <v>45</v>
      </c>
      <c r="P1425" t="s">
        <v>35</v>
      </c>
      <c r="Q1425" t="str">
        <f>IF(Excel_Advanced_Sales_Dataset_2000__3[[#This Row],[Delivery Status]]="Pending","Follow Up","Ok")</f>
        <v>Ok</v>
      </c>
      <c r="R1425" s="1" t="s">
        <v>26</v>
      </c>
      <c r="S1425">
        <f>Excel_Advanced_Sales_Dataset_2000__3[[#This Row],[Quantity]]*Excel_Advanced_Sales_Dataset_2000__3[[#This Row],[Unit Price]]*Excel_Advanced_Sales_Dataset_2000__3[[#This Row],[Discount %]]/100</f>
        <v>52569.375299999992</v>
      </c>
      <c r="T1425" s="4">
        <f>Excel_Advanced_Sales_Dataset_2000__3[[#This Row],[Quantity]]*Excel_Advanced_Sales_Dataset_2000__3[[#This Row],[Unit Price]]-Excel_Advanced_Sales_Dataset_2000__3[[#This Row],[Discount Amount]]</f>
        <v>621396.97470000002</v>
      </c>
    </row>
    <row r="1426" spans="1:20" x14ac:dyDescent="0.25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>
        <v>27</v>
      </c>
      <c r="J1426" s="4">
        <v>32666.97</v>
      </c>
      <c r="K1426" s="6">
        <v>9.82</v>
      </c>
      <c r="L1426" s="4">
        <v>795394.99</v>
      </c>
      <c r="M1426" s="4" t="str" cm="1">
        <f t="array" ref="M1426">IF(Excel_Advanced_Sales_Dataset_2000__3[[#This Row],[Total Sales]]&gt;50000,{"Yes"},{"No"})</f>
        <v>Yes</v>
      </c>
      <c r="N1426" s="5">
        <v>46104</v>
      </c>
      <c r="O1426" s="1" t="s">
        <v>68</v>
      </c>
      <c r="P1426" t="s">
        <v>35</v>
      </c>
      <c r="Q1426" t="str">
        <f>IF(Excel_Advanced_Sales_Dataset_2000__3[[#This Row],[Delivery Status]]="Pending","Follow Up","Ok")</f>
        <v>Ok</v>
      </c>
      <c r="R1426" s="1" t="s">
        <v>36</v>
      </c>
      <c r="S1426">
        <f>Excel_Advanced_Sales_Dataset_2000__3[[#This Row],[Quantity]]*Excel_Advanced_Sales_Dataset_2000__3[[#This Row],[Unit Price]]*Excel_Advanced_Sales_Dataset_2000__3[[#This Row],[Discount %]]/100</f>
        <v>86613.204258000012</v>
      </c>
      <c r="T1426" s="4">
        <f>Excel_Advanced_Sales_Dataset_2000__3[[#This Row],[Quantity]]*Excel_Advanced_Sales_Dataset_2000__3[[#This Row],[Unit Price]]-Excel_Advanced_Sales_Dataset_2000__3[[#This Row],[Discount Amount]]</f>
        <v>795394.98574200005</v>
      </c>
    </row>
    <row r="1427" spans="1:20" x14ac:dyDescent="0.25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>
        <v>21</v>
      </c>
      <c r="J1427" s="4">
        <v>12948.18</v>
      </c>
      <c r="K1427" s="6">
        <v>17.32</v>
      </c>
      <c r="L1427" s="4">
        <v>224816.66</v>
      </c>
      <c r="M1427" s="4" t="str" cm="1">
        <f t="array" ref="M1427">IF(Excel_Advanced_Sales_Dataset_2000__3[[#This Row],[Total Sales]]&gt;50000,{"Yes"},{"No"})</f>
        <v>Yes</v>
      </c>
      <c r="N1427" s="5">
        <v>46369</v>
      </c>
      <c r="O1427" s="1" t="s">
        <v>68</v>
      </c>
      <c r="P1427" t="s">
        <v>35</v>
      </c>
      <c r="Q1427" t="str">
        <f>IF(Excel_Advanced_Sales_Dataset_2000__3[[#This Row],[Delivery Status]]="Pending","Follow Up","Ok")</f>
        <v>Ok</v>
      </c>
      <c r="R1427" s="1" t="s">
        <v>53</v>
      </c>
      <c r="S1427">
        <f>Excel_Advanced_Sales_Dataset_2000__3[[#This Row],[Quantity]]*Excel_Advanced_Sales_Dataset_2000__3[[#This Row],[Unit Price]]*Excel_Advanced_Sales_Dataset_2000__3[[#This Row],[Discount %]]/100</f>
        <v>47095.120296000008</v>
      </c>
      <c r="T1427" s="4">
        <f>Excel_Advanced_Sales_Dataset_2000__3[[#This Row],[Quantity]]*Excel_Advanced_Sales_Dataset_2000__3[[#This Row],[Unit Price]]-Excel_Advanced_Sales_Dataset_2000__3[[#This Row],[Discount Amount]]</f>
        <v>224816.65970400002</v>
      </c>
    </row>
    <row r="1428" spans="1:20" x14ac:dyDescent="0.25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>
        <v>5</v>
      </c>
      <c r="J1428" s="4">
        <v>11083.93</v>
      </c>
      <c r="K1428" s="6">
        <v>15.94</v>
      </c>
      <c r="L1428" s="4">
        <v>46585.760000000002</v>
      </c>
      <c r="M1428" s="4" t="str" cm="1">
        <f t="array" ref="M1428">IF(Excel_Advanced_Sales_Dataset_2000__3[[#This Row],[Total Sales]]&gt;50000,{"Yes"},{"No"})</f>
        <v>No</v>
      </c>
      <c r="N1428" s="5">
        <v>46351</v>
      </c>
      <c r="O1428" s="1" t="s">
        <v>113</v>
      </c>
      <c r="P1428" t="s">
        <v>35</v>
      </c>
      <c r="Q1428" t="str">
        <f>IF(Excel_Advanced_Sales_Dataset_2000__3[[#This Row],[Delivery Status]]="Pending","Follow Up","Ok")</f>
        <v>Ok</v>
      </c>
      <c r="R1428" s="1" t="s">
        <v>36</v>
      </c>
      <c r="S1428">
        <f>Excel_Advanced_Sales_Dataset_2000__3[[#This Row],[Quantity]]*Excel_Advanced_Sales_Dataset_2000__3[[#This Row],[Unit Price]]*Excel_Advanced_Sales_Dataset_2000__3[[#This Row],[Discount %]]/100</f>
        <v>8833.89221</v>
      </c>
      <c r="T1428" s="4">
        <f>Excel_Advanced_Sales_Dataset_2000__3[[#This Row],[Quantity]]*Excel_Advanced_Sales_Dataset_2000__3[[#This Row],[Unit Price]]-Excel_Advanced_Sales_Dataset_2000__3[[#This Row],[Discount Amount]]</f>
        <v>46585.757790000003</v>
      </c>
    </row>
    <row r="1429" spans="1:20" x14ac:dyDescent="0.25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>
        <v>37</v>
      </c>
      <c r="J1429" s="4">
        <v>9790.7800000000007</v>
      </c>
      <c r="K1429" s="6">
        <v>9.89</v>
      </c>
      <c r="L1429" s="4">
        <v>326431.46000000002</v>
      </c>
      <c r="M1429" s="4" t="str" cm="1">
        <f t="array" ref="M1429">IF(Excel_Advanced_Sales_Dataset_2000__3[[#This Row],[Total Sales]]&gt;50000,{"Yes"},{"No"})</f>
        <v>Yes</v>
      </c>
      <c r="N1429" s="5">
        <v>46168</v>
      </c>
      <c r="O1429" s="1" t="s">
        <v>45</v>
      </c>
      <c r="P1429" t="s">
        <v>35</v>
      </c>
      <c r="Q1429" t="str">
        <f>IF(Excel_Advanced_Sales_Dataset_2000__3[[#This Row],[Delivery Status]]="Pending","Follow Up","Ok")</f>
        <v>Ok</v>
      </c>
      <c r="R1429" s="1" t="s">
        <v>36</v>
      </c>
      <c r="S1429">
        <f>Excel_Advanced_Sales_Dataset_2000__3[[#This Row],[Quantity]]*Excel_Advanced_Sales_Dataset_2000__3[[#This Row],[Unit Price]]*Excel_Advanced_Sales_Dataset_2000__3[[#This Row],[Discount %]]/100</f>
        <v>35827.401254000004</v>
      </c>
      <c r="T1429" s="4">
        <f>Excel_Advanced_Sales_Dataset_2000__3[[#This Row],[Quantity]]*Excel_Advanced_Sales_Dataset_2000__3[[#This Row],[Unit Price]]-Excel_Advanced_Sales_Dataset_2000__3[[#This Row],[Discount Amount]]</f>
        <v>326431.45874600002</v>
      </c>
    </row>
    <row r="1430" spans="1:20" x14ac:dyDescent="0.25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>
        <v>22</v>
      </c>
      <c r="J1430" s="4">
        <v>1991.5</v>
      </c>
      <c r="K1430" s="6">
        <v>3.31</v>
      </c>
      <c r="L1430" s="4">
        <v>42362.79</v>
      </c>
      <c r="M1430" s="4" t="str" cm="1">
        <f t="array" ref="M1430">IF(Excel_Advanced_Sales_Dataset_2000__3[[#This Row],[Total Sales]]&gt;50000,{"Yes"},{"No"})</f>
        <v>No</v>
      </c>
      <c r="N1430" s="5">
        <v>46191</v>
      </c>
      <c r="O1430" s="1" t="s">
        <v>113</v>
      </c>
      <c r="P1430" t="s">
        <v>35</v>
      </c>
      <c r="Q1430" t="str">
        <f>IF(Excel_Advanced_Sales_Dataset_2000__3[[#This Row],[Delivery Status]]="Pending","Follow Up","Ok")</f>
        <v>Ok</v>
      </c>
      <c r="R1430" s="1" t="s">
        <v>53</v>
      </c>
      <c r="S1430">
        <f>Excel_Advanced_Sales_Dataset_2000__3[[#This Row],[Quantity]]*Excel_Advanced_Sales_Dataset_2000__3[[#This Row],[Unit Price]]*Excel_Advanced_Sales_Dataset_2000__3[[#This Row],[Discount %]]/100</f>
        <v>1450.2103</v>
      </c>
      <c r="T1430" s="4">
        <f>Excel_Advanced_Sales_Dataset_2000__3[[#This Row],[Quantity]]*Excel_Advanced_Sales_Dataset_2000__3[[#This Row],[Unit Price]]-Excel_Advanced_Sales_Dataset_2000__3[[#This Row],[Discount Amount]]</f>
        <v>42362.789700000001</v>
      </c>
    </row>
    <row r="1431" spans="1:20" x14ac:dyDescent="0.25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>
        <v>9</v>
      </c>
      <c r="J1431" s="4">
        <v>17879.89</v>
      </c>
      <c r="K1431" s="6">
        <v>3.68</v>
      </c>
      <c r="L1431" s="4">
        <v>154997.19</v>
      </c>
      <c r="M1431" s="4" t="str" cm="1">
        <f t="array" ref="M1431">IF(Excel_Advanced_Sales_Dataset_2000__3[[#This Row],[Total Sales]]&gt;50000,{"Yes"},{"No"})</f>
        <v>Yes</v>
      </c>
      <c r="N1431" s="5">
        <v>46359</v>
      </c>
      <c r="O1431" s="1" t="s">
        <v>24</v>
      </c>
      <c r="P1431" t="s">
        <v>35</v>
      </c>
      <c r="Q1431" t="str">
        <f>IF(Excel_Advanced_Sales_Dataset_2000__3[[#This Row],[Delivery Status]]="Pending","Follow Up","Ok")</f>
        <v>Ok</v>
      </c>
      <c r="R1431" s="1" t="s">
        <v>26</v>
      </c>
      <c r="S1431">
        <f>Excel_Advanced_Sales_Dataset_2000__3[[#This Row],[Quantity]]*Excel_Advanced_Sales_Dataset_2000__3[[#This Row],[Unit Price]]*Excel_Advanced_Sales_Dataset_2000__3[[#This Row],[Discount %]]/100</f>
        <v>5921.8195680000008</v>
      </c>
      <c r="T1431" s="4">
        <f>Excel_Advanced_Sales_Dataset_2000__3[[#This Row],[Quantity]]*Excel_Advanced_Sales_Dataset_2000__3[[#This Row],[Unit Price]]-Excel_Advanced_Sales_Dataset_2000__3[[#This Row],[Discount Amount]]</f>
        <v>154997.190432</v>
      </c>
    </row>
    <row r="1432" spans="1:20" x14ac:dyDescent="0.25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>
        <v>36</v>
      </c>
      <c r="J1432" s="4">
        <v>49054.57</v>
      </c>
      <c r="K1432" s="6">
        <v>15.48</v>
      </c>
      <c r="L1432" s="4">
        <v>1492593.21</v>
      </c>
      <c r="M1432" s="4" t="str" cm="1">
        <f t="array" ref="M1432">IF(Excel_Advanced_Sales_Dataset_2000__3[[#This Row],[Total Sales]]&gt;50000,{"Yes"},{"No"})</f>
        <v>Yes</v>
      </c>
      <c r="N1432" s="5">
        <v>46306</v>
      </c>
      <c r="O1432" s="1" t="s">
        <v>24</v>
      </c>
      <c r="P1432" t="s">
        <v>35</v>
      </c>
      <c r="Q1432" t="str">
        <f>IF(Excel_Advanced_Sales_Dataset_2000__3[[#This Row],[Delivery Status]]="Pending","Follow Up","Ok")</f>
        <v>Ok</v>
      </c>
      <c r="R1432" s="1" t="s">
        <v>53</v>
      </c>
      <c r="S1432">
        <f>Excel_Advanced_Sales_Dataset_2000__3[[#This Row],[Quantity]]*Excel_Advanced_Sales_Dataset_2000__3[[#This Row],[Unit Price]]*Excel_Advanced_Sales_Dataset_2000__3[[#This Row],[Discount %]]/100</f>
        <v>273371.30769599997</v>
      </c>
      <c r="T1432" s="4">
        <f>Excel_Advanced_Sales_Dataset_2000__3[[#This Row],[Quantity]]*Excel_Advanced_Sales_Dataset_2000__3[[#This Row],[Unit Price]]-Excel_Advanced_Sales_Dataset_2000__3[[#This Row],[Discount Amount]]</f>
        <v>1492593.212304</v>
      </c>
    </row>
    <row r="1433" spans="1:20" x14ac:dyDescent="0.25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>
        <v>29</v>
      </c>
      <c r="J1433" s="4">
        <v>26274.34</v>
      </c>
      <c r="K1433" s="6">
        <v>10.85</v>
      </c>
      <c r="L1433" s="4">
        <v>679283.65</v>
      </c>
      <c r="M1433" s="4" t="str" cm="1">
        <f t="array" ref="M1433">IF(Excel_Advanced_Sales_Dataset_2000__3[[#This Row],[Total Sales]]&gt;50000,{"Yes"},{"No"})</f>
        <v>Yes</v>
      </c>
      <c r="N1433" s="5">
        <v>46184</v>
      </c>
      <c r="O1433" s="1" t="s">
        <v>58</v>
      </c>
      <c r="P1433" t="s">
        <v>35</v>
      </c>
      <c r="Q1433" t="str">
        <f>IF(Excel_Advanced_Sales_Dataset_2000__3[[#This Row],[Delivery Status]]="Pending","Follow Up","Ok")</f>
        <v>Ok</v>
      </c>
      <c r="R1433" s="1" t="s">
        <v>36</v>
      </c>
      <c r="S1433">
        <f>Excel_Advanced_Sales_Dataset_2000__3[[#This Row],[Quantity]]*Excel_Advanced_Sales_Dataset_2000__3[[#This Row],[Unit Price]]*Excel_Advanced_Sales_Dataset_2000__3[[#This Row],[Discount %]]/100</f>
        <v>82672.21080999999</v>
      </c>
      <c r="T1433" s="4">
        <f>Excel_Advanced_Sales_Dataset_2000__3[[#This Row],[Quantity]]*Excel_Advanced_Sales_Dataset_2000__3[[#This Row],[Unit Price]]-Excel_Advanced_Sales_Dataset_2000__3[[#This Row],[Discount Amount]]</f>
        <v>679283.64919000003</v>
      </c>
    </row>
    <row r="1434" spans="1:20" x14ac:dyDescent="0.25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>
        <v>24</v>
      </c>
      <c r="J1434" s="4">
        <v>25738.22</v>
      </c>
      <c r="K1434" s="6">
        <v>4.4800000000000004</v>
      </c>
      <c r="L1434" s="4">
        <v>590043.55000000005</v>
      </c>
      <c r="M1434" s="4" t="str" cm="1">
        <f t="array" ref="M1434">IF(Excel_Advanced_Sales_Dataset_2000__3[[#This Row],[Total Sales]]&gt;50000,{"Yes"},{"No"})</f>
        <v>Yes</v>
      </c>
      <c r="N1434" s="5">
        <v>46257</v>
      </c>
      <c r="O1434" s="1" t="s">
        <v>113</v>
      </c>
      <c r="P1434" t="s">
        <v>35</v>
      </c>
      <c r="Q1434" t="str">
        <f>IF(Excel_Advanced_Sales_Dataset_2000__3[[#This Row],[Delivery Status]]="Pending","Follow Up","Ok")</f>
        <v>Ok</v>
      </c>
      <c r="R1434" s="1" t="s">
        <v>53</v>
      </c>
      <c r="S1434">
        <f>Excel_Advanced_Sales_Dataset_2000__3[[#This Row],[Quantity]]*Excel_Advanced_Sales_Dataset_2000__3[[#This Row],[Unit Price]]*Excel_Advanced_Sales_Dataset_2000__3[[#This Row],[Discount %]]/100</f>
        <v>27673.734144000005</v>
      </c>
      <c r="T1434" s="4">
        <f>Excel_Advanced_Sales_Dataset_2000__3[[#This Row],[Quantity]]*Excel_Advanced_Sales_Dataset_2000__3[[#This Row],[Unit Price]]-Excel_Advanced_Sales_Dataset_2000__3[[#This Row],[Discount Amount]]</f>
        <v>590043.54585600004</v>
      </c>
    </row>
    <row r="1435" spans="1:20" x14ac:dyDescent="0.25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>
        <v>44</v>
      </c>
      <c r="J1435" s="4">
        <v>49618.86</v>
      </c>
      <c r="K1435" s="6">
        <v>8.83</v>
      </c>
      <c r="L1435" s="4">
        <v>1990450.65</v>
      </c>
      <c r="M1435" s="4" t="str" cm="1">
        <f t="array" ref="M1435">IF(Excel_Advanced_Sales_Dataset_2000__3[[#This Row],[Total Sales]]&gt;50000,{"Yes"},{"No"})</f>
        <v>Yes</v>
      </c>
      <c r="N1435" s="5">
        <v>46221</v>
      </c>
      <c r="O1435" s="1" t="s">
        <v>68</v>
      </c>
      <c r="P1435" t="s">
        <v>35</v>
      </c>
      <c r="Q1435" t="str">
        <f>IF(Excel_Advanced_Sales_Dataset_2000__3[[#This Row],[Delivery Status]]="Pending","Follow Up","Ok")</f>
        <v>Ok</v>
      </c>
      <c r="R1435" s="1" t="s">
        <v>26</v>
      </c>
      <c r="S1435">
        <f>Excel_Advanced_Sales_Dataset_2000__3[[#This Row],[Quantity]]*Excel_Advanced_Sales_Dataset_2000__3[[#This Row],[Unit Price]]*Excel_Advanced_Sales_Dataset_2000__3[[#This Row],[Discount %]]/100</f>
        <v>192779.19487199999</v>
      </c>
      <c r="T1435" s="4">
        <f>Excel_Advanced_Sales_Dataset_2000__3[[#This Row],[Quantity]]*Excel_Advanced_Sales_Dataset_2000__3[[#This Row],[Unit Price]]-Excel_Advanced_Sales_Dataset_2000__3[[#This Row],[Discount Amount]]</f>
        <v>1990450.6451279998</v>
      </c>
    </row>
    <row r="1436" spans="1:20" x14ac:dyDescent="0.25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>
        <v>41</v>
      </c>
      <c r="J1436" s="4">
        <v>34695.97</v>
      </c>
      <c r="K1436" s="6">
        <v>3.34</v>
      </c>
      <c r="L1436" s="4">
        <v>1375022.11</v>
      </c>
      <c r="M1436" s="4" t="str" cm="1">
        <f t="array" ref="M1436">IF(Excel_Advanced_Sales_Dataset_2000__3[[#This Row],[Total Sales]]&gt;50000,{"Yes"},{"No"})</f>
        <v>Yes</v>
      </c>
      <c r="N1436" s="5">
        <v>46300</v>
      </c>
      <c r="O1436" s="1" t="s">
        <v>113</v>
      </c>
      <c r="P1436" t="s">
        <v>35</v>
      </c>
      <c r="Q1436" t="str">
        <f>IF(Excel_Advanced_Sales_Dataset_2000__3[[#This Row],[Delivery Status]]="Pending","Follow Up","Ok")</f>
        <v>Ok</v>
      </c>
      <c r="R1436" s="1" t="s">
        <v>26</v>
      </c>
      <c r="S1436">
        <f>Excel_Advanced_Sales_Dataset_2000__3[[#This Row],[Quantity]]*Excel_Advanced_Sales_Dataset_2000__3[[#This Row],[Unit Price]]*Excel_Advanced_Sales_Dataset_2000__3[[#This Row],[Discount %]]/100</f>
        <v>47512.661317999999</v>
      </c>
      <c r="T1436" s="4">
        <f>Excel_Advanced_Sales_Dataset_2000__3[[#This Row],[Quantity]]*Excel_Advanced_Sales_Dataset_2000__3[[#This Row],[Unit Price]]-Excel_Advanced_Sales_Dataset_2000__3[[#This Row],[Discount Amount]]</f>
        <v>1375022.1086820001</v>
      </c>
    </row>
    <row r="1437" spans="1:20" x14ac:dyDescent="0.25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>
        <v>13</v>
      </c>
      <c r="J1437" s="4">
        <v>27593.33</v>
      </c>
      <c r="K1437" s="6">
        <v>18.579999999999998</v>
      </c>
      <c r="L1437" s="4">
        <v>292064.36</v>
      </c>
      <c r="M1437" s="4" t="str" cm="1">
        <f t="array" ref="M1437">IF(Excel_Advanced_Sales_Dataset_2000__3[[#This Row],[Total Sales]]&gt;50000,{"Yes"},{"No"})</f>
        <v>Yes</v>
      </c>
      <c r="N1437" s="5">
        <v>46242</v>
      </c>
      <c r="O1437" s="1" t="s">
        <v>58</v>
      </c>
      <c r="P1437" t="s">
        <v>35</v>
      </c>
      <c r="Q1437" t="str">
        <f>IF(Excel_Advanced_Sales_Dataset_2000__3[[#This Row],[Delivery Status]]="Pending","Follow Up","Ok")</f>
        <v>Ok</v>
      </c>
      <c r="R1437" s="1" t="s">
        <v>26</v>
      </c>
      <c r="S1437">
        <f>Excel_Advanced_Sales_Dataset_2000__3[[#This Row],[Quantity]]*Excel_Advanced_Sales_Dataset_2000__3[[#This Row],[Unit Price]]*Excel_Advanced_Sales_Dataset_2000__3[[#This Row],[Discount %]]/100</f>
        <v>66648.929281999997</v>
      </c>
      <c r="T1437" s="4">
        <f>Excel_Advanced_Sales_Dataset_2000__3[[#This Row],[Quantity]]*Excel_Advanced_Sales_Dataset_2000__3[[#This Row],[Unit Price]]-Excel_Advanced_Sales_Dataset_2000__3[[#This Row],[Discount Amount]]</f>
        <v>292064.36071800004</v>
      </c>
    </row>
    <row r="1438" spans="1:20" x14ac:dyDescent="0.25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>
        <v>7</v>
      </c>
      <c r="J1438" s="4">
        <v>28481.82</v>
      </c>
      <c r="K1438" s="6">
        <v>10.53</v>
      </c>
      <c r="L1438" s="4">
        <v>178378.79</v>
      </c>
      <c r="M1438" s="4" t="str" cm="1">
        <f t="array" ref="M1438">IF(Excel_Advanced_Sales_Dataset_2000__3[[#This Row],[Total Sales]]&gt;50000,{"Yes"},{"No"})</f>
        <v>Yes</v>
      </c>
      <c r="N1438" s="5">
        <v>46101</v>
      </c>
      <c r="O1438" s="1" t="s">
        <v>45</v>
      </c>
      <c r="P1438" t="s">
        <v>35</v>
      </c>
      <c r="Q1438" t="str">
        <f>IF(Excel_Advanced_Sales_Dataset_2000__3[[#This Row],[Delivery Status]]="Pending","Follow Up","Ok")</f>
        <v>Ok</v>
      </c>
      <c r="R1438" s="1" t="s">
        <v>36</v>
      </c>
      <c r="S1438">
        <f>Excel_Advanced_Sales_Dataset_2000__3[[#This Row],[Quantity]]*Excel_Advanced_Sales_Dataset_2000__3[[#This Row],[Unit Price]]*Excel_Advanced_Sales_Dataset_2000__3[[#This Row],[Discount %]]/100</f>
        <v>20993.949521999995</v>
      </c>
      <c r="T1438" s="4">
        <f>Excel_Advanced_Sales_Dataset_2000__3[[#This Row],[Quantity]]*Excel_Advanced_Sales_Dataset_2000__3[[#This Row],[Unit Price]]-Excel_Advanced_Sales_Dataset_2000__3[[#This Row],[Discount Amount]]</f>
        <v>178378.79047800001</v>
      </c>
    </row>
    <row r="1439" spans="1:20" x14ac:dyDescent="0.25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>
        <v>47</v>
      </c>
      <c r="J1439" s="4">
        <v>4368.01</v>
      </c>
      <c r="K1439" s="6">
        <v>19.79</v>
      </c>
      <c r="L1439" s="4">
        <v>164668.29999999999</v>
      </c>
      <c r="M1439" s="4" t="str" cm="1">
        <f t="array" ref="M1439">IF(Excel_Advanced_Sales_Dataset_2000__3[[#This Row],[Total Sales]]&gt;50000,{"Yes"},{"No"})</f>
        <v>Yes</v>
      </c>
      <c r="N1439" s="5">
        <v>46044</v>
      </c>
      <c r="O1439" s="1" t="s">
        <v>113</v>
      </c>
      <c r="P1439" t="s">
        <v>35</v>
      </c>
      <c r="Q1439" t="str">
        <f>IF(Excel_Advanced_Sales_Dataset_2000__3[[#This Row],[Delivery Status]]="Pending","Follow Up","Ok")</f>
        <v>Ok</v>
      </c>
      <c r="R1439" s="1" t="s">
        <v>53</v>
      </c>
      <c r="S1439">
        <f>Excel_Advanced_Sales_Dataset_2000__3[[#This Row],[Quantity]]*Excel_Advanced_Sales_Dataset_2000__3[[#This Row],[Unit Price]]*Excel_Advanced_Sales_Dataset_2000__3[[#This Row],[Discount %]]/100</f>
        <v>40628.171412999996</v>
      </c>
      <c r="T1439" s="4">
        <f>Excel_Advanced_Sales_Dataset_2000__3[[#This Row],[Quantity]]*Excel_Advanced_Sales_Dataset_2000__3[[#This Row],[Unit Price]]-Excel_Advanced_Sales_Dataset_2000__3[[#This Row],[Discount Amount]]</f>
        <v>164668.298587</v>
      </c>
    </row>
    <row r="1440" spans="1:20" x14ac:dyDescent="0.25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>
        <v>19</v>
      </c>
      <c r="J1440" s="4">
        <v>26748.37</v>
      </c>
      <c r="K1440" s="6">
        <v>11.19</v>
      </c>
      <c r="L1440" s="4">
        <v>451349.32</v>
      </c>
      <c r="M1440" s="4" t="str" cm="1">
        <f t="array" ref="M1440">IF(Excel_Advanced_Sales_Dataset_2000__3[[#This Row],[Total Sales]]&gt;50000,{"Yes"},{"No"})</f>
        <v>Yes</v>
      </c>
      <c r="N1440" s="5">
        <v>46155</v>
      </c>
      <c r="O1440" s="1" t="s">
        <v>68</v>
      </c>
      <c r="P1440" t="s">
        <v>35</v>
      </c>
      <c r="Q1440" t="str">
        <f>IF(Excel_Advanced_Sales_Dataset_2000__3[[#This Row],[Delivery Status]]="Pending","Follow Up","Ok")</f>
        <v>Ok</v>
      </c>
      <c r="R1440" s="1" t="s">
        <v>36</v>
      </c>
      <c r="S1440">
        <f>Excel_Advanced_Sales_Dataset_2000__3[[#This Row],[Quantity]]*Excel_Advanced_Sales_Dataset_2000__3[[#This Row],[Unit Price]]*Excel_Advanced_Sales_Dataset_2000__3[[#This Row],[Discount %]]/100</f>
        <v>56869.70945699999</v>
      </c>
      <c r="T1440" s="4">
        <f>Excel_Advanced_Sales_Dataset_2000__3[[#This Row],[Quantity]]*Excel_Advanced_Sales_Dataset_2000__3[[#This Row],[Unit Price]]-Excel_Advanced_Sales_Dataset_2000__3[[#This Row],[Discount Amount]]</f>
        <v>451349.32054300001</v>
      </c>
    </row>
    <row r="1441" spans="1:20" x14ac:dyDescent="0.25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>
        <v>2</v>
      </c>
      <c r="J1441" s="4">
        <v>23888.87</v>
      </c>
      <c r="K1441" s="6">
        <v>3.67</v>
      </c>
      <c r="L1441" s="4">
        <v>46024.3</v>
      </c>
      <c r="M1441" s="4" t="str" cm="1">
        <f t="array" ref="M1441">IF(Excel_Advanced_Sales_Dataset_2000__3[[#This Row],[Total Sales]]&gt;50000,{"Yes"},{"No"})</f>
        <v>No</v>
      </c>
      <c r="N1441" s="5">
        <v>46280</v>
      </c>
      <c r="O1441" s="1" t="s">
        <v>113</v>
      </c>
      <c r="P1441" t="s">
        <v>35</v>
      </c>
      <c r="Q1441" t="str">
        <f>IF(Excel_Advanced_Sales_Dataset_2000__3[[#This Row],[Delivery Status]]="Pending","Follow Up","Ok")</f>
        <v>Ok</v>
      </c>
      <c r="R1441" s="1" t="s">
        <v>53</v>
      </c>
      <c r="S1441">
        <f>Excel_Advanced_Sales_Dataset_2000__3[[#This Row],[Quantity]]*Excel_Advanced_Sales_Dataset_2000__3[[#This Row],[Unit Price]]*Excel_Advanced_Sales_Dataset_2000__3[[#This Row],[Discount %]]/100</f>
        <v>1753.4430580000001</v>
      </c>
      <c r="T1441" s="4">
        <f>Excel_Advanced_Sales_Dataset_2000__3[[#This Row],[Quantity]]*Excel_Advanced_Sales_Dataset_2000__3[[#This Row],[Unit Price]]-Excel_Advanced_Sales_Dataset_2000__3[[#This Row],[Discount Amount]]</f>
        <v>46024.296942000001</v>
      </c>
    </row>
    <row r="1442" spans="1:20" x14ac:dyDescent="0.25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>
        <v>6</v>
      </c>
      <c r="J1442" s="4">
        <v>38537.160000000003</v>
      </c>
      <c r="K1442" s="6">
        <v>16.91</v>
      </c>
      <c r="L1442" s="4">
        <v>192123.16</v>
      </c>
      <c r="M1442" s="4" t="str" cm="1">
        <f t="array" ref="M1442">IF(Excel_Advanced_Sales_Dataset_2000__3[[#This Row],[Total Sales]]&gt;50000,{"Yes"},{"No"})</f>
        <v>Yes</v>
      </c>
      <c r="N1442" s="5">
        <v>46336</v>
      </c>
      <c r="O1442" s="1" t="s">
        <v>45</v>
      </c>
      <c r="P1442" t="s">
        <v>35</v>
      </c>
      <c r="Q1442" t="str">
        <f>IF(Excel_Advanced_Sales_Dataset_2000__3[[#This Row],[Delivery Status]]="Pending","Follow Up","Ok")</f>
        <v>Ok</v>
      </c>
      <c r="R1442" s="1" t="s">
        <v>53</v>
      </c>
      <c r="S1442">
        <f>Excel_Advanced_Sales_Dataset_2000__3[[#This Row],[Quantity]]*Excel_Advanced_Sales_Dataset_2000__3[[#This Row],[Unit Price]]*Excel_Advanced_Sales_Dataset_2000__3[[#This Row],[Discount %]]/100</f>
        <v>39099.802536000003</v>
      </c>
      <c r="T1442" s="4">
        <f>Excel_Advanced_Sales_Dataset_2000__3[[#This Row],[Quantity]]*Excel_Advanced_Sales_Dataset_2000__3[[#This Row],[Unit Price]]-Excel_Advanced_Sales_Dataset_2000__3[[#This Row],[Discount Amount]]</f>
        <v>192123.15746400002</v>
      </c>
    </row>
    <row r="1443" spans="1:20" x14ac:dyDescent="0.25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>
        <v>40</v>
      </c>
      <c r="J1443" s="4">
        <v>44948.4</v>
      </c>
      <c r="K1443" s="6">
        <v>3.46</v>
      </c>
      <c r="L1443" s="4">
        <v>1735727.41</v>
      </c>
      <c r="M1443" s="4" t="str" cm="1">
        <f t="array" ref="M1443">IF(Excel_Advanced_Sales_Dataset_2000__3[[#This Row],[Total Sales]]&gt;50000,{"Yes"},{"No"})</f>
        <v>Yes</v>
      </c>
      <c r="N1443" s="5">
        <v>46128</v>
      </c>
      <c r="O1443" s="1" t="s">
        <v>58</v>
      </c>
      <c r="P1443" t="s">
        <v>35</v>
      </c>
      <c r="Q1443" t="str">
        <f>IF(Excel_Advanced_Sales_Dataset_2000__3[[#This Row],[Delivery Status]]="Pending","Follow Up","Ok")</f>
        <v>Ok</v>
      </c>
      <c r="R1443" s="1" t="s">
        <v>26</v>
      </c>
      <c r="S1443">
        <f>Excel_Advanced_Sales_Dataset_2000__3[[#This Row],[Quantity]]*Excel_Advanced_Sales_Dataset_2000__3[[#This Row],[Unit Price]]*Excel_Advanced_Sales_Dataset_2000__3[[#This Row],[Discount %]]/100</f>
        <v>62208.585599999999</v>
      </c>
      <c r="T1443" s="4">
        <f>Excel_Advanced_Sales_Dataset_2000__3[[#This Row],[Quantity]]*Excel_Advanced_Sales_Dataset_2000__3[[#This Row],[Unit Price]]-Excel_Advanced_Sales_Dataset_2000__3[[#This Row],[Discount Amount]]</f>
        <v>1735727.4143999999</v>
      </c>
    </row>
    <row r="1444" spans="1:20" x14ac:dyDescent="0.25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>
        <v>50</v>
      </c>
      <c r="J1444" s="4">
        <v>26820.32</v>
      </c>
      <c r="K1444" s="6">
        <v>7.56</v>
      </c>
      <c r="L1444" s="4">
        <v>1239635.19</v>
      </c>
      <c r="M1444" s="4" t="str" cm="1">
        <f t="array" ref="M1444">IF(Excel_Advanced_Sales_Dataset_2000__3[[#This Row],[Total Sales]]&gt;50000,{"Yes"},{"No"})</f>
        <v>Yes</v>
      </c>
      <c r="N1444" s="5">
        <v>46248</v>
      </c>
      <c r="O1444" s="1" t="s">
        <v>68</v>
      </c>
      <c r="P1444" t="s">
        <v>35</v>
      </c>
      <c r="Q1444" t="str">
        <f>IF(Excel_Advanced_Sales_Dataset_2000__3[[#This Row],[Delivery Status]]="Pending","Follow Up","Ok")</f>
        <v>Ok</v>
      </c>
      <c r="R1444" s="1" t="s">
        <v>26</v>
      </c>
      <c r="S1444">
        <f>Excel_Advanced_Sales_Dataset_2000__3[[#This Row],[Quantity]]*Excel_Advanced_Sales_Dataset_2000__3[[#This Row],[Unit Price]]*Excel_Advanced_Sales_Dataset_2000__3[[#This Row],[Discount %]]/100</f>
        <v>101380.80959999999</v>
      </c>
      <c r="T1444" s="4">
        <f>Excel_Advanced_Sales_Dataset_2000__3[[#This Row],[Quantity]]*Excel_Advanced_Sales_Dataset_2000__3[[#This Row],[Unit Price]]-Excel_Advanced_Sales_Dataset_2000__3[[#This Row],[Discount Amount]]</f>
        <v>1239635.1904</v>
      </c>
    </row>
    <row r="1445" spans="1:20" x14ac:dyDescent="0.25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>
        <v>16</v>
      </c>
      <c r="J1445" s="4">
        <v>46288.480000000003</v>
      </c>
      <c r="K1445" s="6">
        <v>13.14</v>
      </c>
      <c r="L1445" s="4">
        <v>643298.78</v>
      </c>
      <c r="M1445" s="4" t="str" cm="1">
        <f t="array" ref="M1445">IF(Excel_Advanced_Sales_Dataset_2000__3[[#This Row],[Total Sales]]&gt;50000,{"Yes"},{"No"})</f>
        <v>Yes</v>
      </c>
      <c r="N1445" s="5">
        <v>46316</v>
      </c>
      <c r="O1445" s="1" t="s">
        <v>58</v>
      </c>
      <c r="P1445" t="s">
        <v>35</v>
      </c>
      <c r="Q1445" t="str">
        <f>IF(Excel_Advanced_Sales_Dataset_2000__3[[#This Row],[Delivery Status]]="Pending","Follow Up","Ok")</f>
        <v>Ok</v>
      </c>
      <c r="R1445" s="1" t="s">
        <v>53</v>
      </c>
      <c r="S1445">
        <f>Excel_Advanced_Sales_Dataset_2000__3[[#This Row],[Quantity]]*Excel_Advanced_Sales_Dataset_2000__3[[#This Row],[Unit Price]]*Excel_Advanced_Sales_Dataset_2000__3[[#This Row],[Discount %]]/100</f>
        <v>97316.900352000011</v>
      </c>
      <c r="T1445" s="4">
        <f>Excel_Advanced_Sales_Dataset_2000__3[[#This Row],[Quantity]]*Excel_Advanced_Sales_Dataset_2000__3[[#This Row],[Unit Price]]-Excel_Advanced_Sales_Dataset_2000__3[[#This Row],[Discount Amount]]</f>
        <v>643298.77964800003</v>
      </c>
    </row>
    <row r="1446" spans="1:20" x14ac:dyDescent="0.25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>
        <v>25</v>
      </c>
      <c r="J1446" s="4">
        <v>12921.03</v>
      </c>
      <c r="K1446" s="6">
        <v>2.93</v>
      </c>
      <c r="L1446" s="4">
        <v>313561.09999999998</v>
      </c>
      <c r="M1446" s="4" t="str" cm="1">
        <f t="array" ref="M1446">IF(Excel_Advanced_Sales_Dataset_2000__3[[#This Row],[Total Sales]]&gt;50000,{"Yes"},{"No"})</f>
        <v>Yes</v>
      </c>
      <c r="N1446" s="5">
        <v>46341</v>
      </c>
      <c r="O1446" s="1" t="s">
        <v>113</v>
      </c>
      <c r="P1446" t="s">
        <v>35</v>
      </c>
      <c r="Q1446" t="str">
        <f>IF(Excel_Advanced_Sales_Dataset_2000__3[[#This Row],[Delivery Status]]="Pending","Follow Up","Ok")</f>
        <v>Ok</v>
      </c>
      <c r="R1446" s="1" t="s">
        <v>53</v>
      </c>
      <c r="S1446">
        <f>Excel_Advanced_Sales_Dataset_2000__3[[#This Row],[Quantity]]*Excel_Advanced_Sales_Dataset_2000__3[[#This Row],[Unit Price]]*Excel_Advanced_Sales_Dataset_2000__3[[#This Row],[Discount %]]/100</f>
        <v>9464.6544749999994</v>
      </c>
      <c r="T1446" s="4">
        <f>Excel_Advanced_Sales_Dataset_2000__3[[#This Row],[Quantity]]*Excel_Advanced_Sales_Dataset_2000__3[[#This Row],[Unit Price]]-Excel_Advanced_Sales_Dataset_2000__3[[#This Row],[Discount Amount]]</f>
        <v>313561.09552500001</v>
      </c>
    </row>
    <row r="1447" spans="1:20" x14ac:dyDescent="0.25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>
        <v>50</v>
      </c>
      <c r="J1447" s="4">
        <v>40378.26</v>
      </c>
      <c r="K1447" s="6">
        <v>14.58</v>
      </c>
      <c r="L1447" s="4">
        <v>1724555.48</v>
      </c>
      <c r="M1447" s="4" t="str" cm="1">
        <f t="array" ref="M1447">IF(Excel_Advanced_Sales_Dataset_2000__3[[#This Row],[Total Sales]]&gt;50000,{"Yes"},{"No"})</f>
        <v>Yes</v>
      </c>
      <c r="N1447" s="5">
        <v>46254</v>
      </c>
      <c r="O1447" s="1" t="s">
        <v>24</v>
      </c>
      <c r="P1447" t="s">
        <v>25</v>
      </c>
      <c r="Q1447" t="str">
        <f>IF(Excel_Advanced_Sales_Dataset_2000__3[[#This Row],[Delivery Status]]="Pending","Follow Up","Ok")</f>
        <v>Follow Up</v>
      </c>
      <c r="R1447" s="1" t="s">
        <v>26</v>
      </c>
      <c r="S1447">
        <f>Excel_Advanced_Sales_Dataset_2000__3[[#This Row],[Quantity]]*Excel_Advanced_Sales_Dataset_2000__3[[#This Row],[Unit Price]]*Excel_Advanced_Sales_Dataset_2000__3[[#This Row],[Discount %]]/100</f>
        <v>294357.51539999997</v>
      </c>
      <c r="T1447" s="4">
        <f>Excel_Advanced_Sales_Dataset_2000__3[[#This Row],[Quantity]]*Excel_Advanced_Sales_Dataset_2000__3[[#This Row],[Unit Price]]-Excel_Advanced_Sales_Dataset_2000__3[[#This Row],[Discount Amount]]</f>
        <v>1724555.4846000001</v>
      </c>
    </row>
    <row r="1448" spans="1:20" x14ac:dyDescent="0.25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>
        <v>44</v>
      </c>
      <c r="J1448" s="4">
        <v>8895.4</v>
      </c>
      <c r="K1448" s="6">
        <v>5.86</v>
      </c>
      <c r="L1448" s="4">
        <v>368461.7</v>
      </c>
      <c r="M1448" s="4" t="str" cm="1">
        <f t="array" ref="M1448">IF(Excel_Advanced_Sales_Dataset_2000__3[[#This Row],[Total Sales]]&gt;50000,{"Yes"},{"No"})</f>
        <v>Yes</v>
      </c>
      <c r="N1448" s="5">
        <v>46359</v>
      </c>
      <c r="O1448" s="1" t="s">
        <v>68</v>
      </c>
      <c r="P1448" t="s">
        <v>35</v>
      </c>
      <c r="Q1448" t="str">
        <f>IF(Excel_Advanced_Sales_Dataset_2000__3[[#This Row],[Delivery Status]]="Pending","Follow Up","Ok")</f>
        <v>Ok</v>
      </c>
      <c r="R1448" s="1" t="s">
        <v>53</v>
      </c>
      <c r="S1448">
        <f>Excel_Advanced_Sales_Dataset_2000__3[[#This Row],[Quantity]]*Excel_Advanced_Sales_Dataset_2000__3[[#This Row],[Unit Price]]*Excel_Advanced_Sales_Dataset_2000__3[[#This Row],[Discount %]]/100</f>
        <v>22935.899360000003</v>
      </c>
      <c r="T1448" s="4">
        <f>Excel_Advanced_Sales_Dataset_2000__3[[#This Row],[Quantity]]*Excel_Advanced_Sales_Dataset_2000__3[[#This Row],[Unit Price]]-Excel_Advanced_Sales_Dataset_2000__3[[#This Row],[Discount Amount]]</f>
        <v>368461.70064</v>
      </c>
    </row>
    <row r="1449" spans="1:20" x14ac:dyDescent="0.25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>
        <v>22</v>
      </c>
      <c r="J1449" s="4">
        <v>24123.08</v>
      </c>
      <c r="K1449" s="6">
        <v>6.86</v>
      </c>
      <c r="L1449" s="4">
        <v>494301.21</v>
      </c>
      <c r="M1449" s="4" t="str" cm="1">
        <f t="array" ref="M1449">IF(Excel_Advanced_Sales_Dataset_2000__3[[#This Row],[Total Sales]]&gt;50000,{"Yes"},{"No"})</f>
        <v>Yes</v>
      </c>
      <c r="N1449" s="5">
        <v>46112</v>
      </c>
      <c r="O1449" s="1" t="s">
        <v>58</v>
      </c>
      <c r="P1449" t="s">
        <v>59</v>
      </c>
      <c r="Q1449" t="str">
        <f>IF(Excel_Advanced_Sales_Dataset_2000__3[[#This Row],[Delivery Status]]="Pending","Follow Up","Ok")</f>
        <v>Ok</v>
      </c>
      <c r="R1449" s="1" t="s">
        <v>36</v>
      </c>
      <c r="S1449">
        <f>Excel_Advanced_Sales_Dataset_2000__3[[#This Row],[Quantity]]*Excel_Advanced_Sales_Dataset_2000__3[[#This Row],[Unit Price]]*Excel_Advanced_Sales_Dataset_2000__3[[#This Row],[Discount %]]/100</f>
        <v>36406.552336000001</v>
      </c>
      <c r="T1449" s="4">
        <f>Excel_Advanced_Sales_Dataset_2000__3[[#This Row],[Quantity]]*Excel_Advanced_Sales_Dataset_2000__3[[#This Row],[Unit Price]]-Excel_Advanced_Sales_Dataset_2000__3[[#This Row],[Discount Amount]]</f>
        <v>494301.20766399999</v>
      </c>
    </row>
    <row r="1450" spans="1:20" x14ac:dyDescent="0.25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>
        <v>33</v>
      </c>
      <c r="J1450" s="4">
        <v>6021.76</v>
      </c>
      <c r="K1450" s="6">
        <v>16.23</v>
      </c>
      <c r="L1450" s="4">
        <v>166466.14000000001</v>
      </c>
      <c r="M1450" s="4" t="str" cm="1">
        <f t="array" ref="M1450">IF(Excel_Advanced_Sales_Dataset_2000__3[[#This Row],[Total Sales]]&gt;50000,{"Yes"},{"No"})</f>
        <v>Yes</v>
      </c>
      <c r="N1450" s="5">
        <v>46092</v>
      </c>
      <c r="O1450" s="1" t="s">
        <v>113</v>
      </c>
      <c r="P1450" t="s">
        <v>35</v>
      </c>
      <c r="Q1450" t="str">
        <f>IF(Excel_Advanced_Sales_Dataset_2000__3[[#This Row],[Delivery Status]]="Pending","Follow Up","Ok")</f>
        <v>Ok</v>
      </c>
      <c r="R1450" s="1" t="s">
        <v>26</v>
      </c>
      <c r="S1450">
        <f>Excel_Advanced_Sales_Dataset_2000__3[[#This Row],[Quantity]]*Excel_Advanced_Sales_Dataset_2000__3[[#This Row],[Unit Price]]*Excel_Advanced_Sales_Dataset_2000__3[[#This Row],[Discount %]]/100</f>
        <v>32251.944384000002</v>
      </c>
      <c r="T1450" s="4">
        <f>Excel_Advanced_Sales_Dataset_2000__3[[#This Row],[Quantity]]*Excel_Advanced_Sales_Dataset_2000__3[[#This Row],[Unit Price]]-Excel_Advanced_Sales_Dataset_2000__3[[#This Row],[Discount Amount]]</f>
        <v>166466.13561600001</v>
      </c>
    </row>
    <row r="1451" spans="1:20" x14ac:dyDescent="0.25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>
        <v>19</v>
      </c>
      <c r="J1451" s="4">
        <v>27690.1</v>
      </c>
      <c r="K1451" s="6">
        <v>18.04</v>
      </c>
      <c r="L1451" s="4">
        <v>431201.31</v>
      </c>
      <c r="M1451" s="4" t="str" cm="1">
        <f t="array" ref="M1451">IF(Excel_Advanced_Sales_Dataset_2000__3[[#This Row],[Total Sales]]&gt;50000,{"Yes"},{"No"})</f>
        <v>Yes</v>
      </c>
      <c r="N1451" s="5">
        <v>46129</v>
      </c>
      <c r="O1451" s="1" t="s">
        <v>58</v>
      </c>
      <c r="P1451" t="s">
        <v>35</v>
      </c>
      <c r="Q1451" t="str">
        <f>IF(Excel_Advanced_Sales_Dataset_2000__3[[#This Row],[Delivery Status]]="Pending","Follow Up","Ok")</f>
        <v>Ok</v>
      </c>
      <c r="R1451" s="1" t="s">
        <v>36</v>
      </c>
      <c r="S1451">
        <f>Excel_Advanced_Sales_Dataset_2000__3[[#This Row],[Quantity]]*Excel_Advanced_Sales_Dataset_2000__3[[#This Row],[Unit Price]]*Excel_Advanced_Sales_Dataset_2000__3[[#This Row],[Discount %]]/100</f>
        <v>94910.586759999991</v>
      </c>
      <c r="T1451" s="4">
        <f>Excel_Advanced_Sales_Dataset_2000__3[[#This Row],[Quantity]]*Excel_Advanced_Sales_Dataset_2000__3[[#This Row],[Unit Price]]-Excel_Advanced_Sales_Dataset_2000__3[[#This Row],[Discount Amount]]</f>
        <v>431201.31324000005</v>
      </c>
    </row>
    <row r="1452" spans="1:20" x14ac:dyDescent="0.25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>
        <v>36</v>
      </c>
      <c r="J1452" s="4">
        <v>37133.54</v>
      </c>
      <c r="K1452" s="6">
        <v>16.34</v>
      </c>
      <c r="L1452" s="4">
        <v>1118373.1000000001</v>
      </c>
      <c r="M1452" s="4" t="str" cm="1">
        <f t="array" ref="M1452">IF(Excel_Advanced_Sales_Dataset_2000__3[[#This Row],[Total Sales]]&gt;50000,{"Yes"},{"No"})</f>
        <v>Yes</v>
      </c>
      <c r="N1452" s="5">
        <v>46134</v>
      </c>
      <c r="O1452" s="1" t="s">
        <v>58</v>
      </c>
      <c r="P1452" t="s">
        <v>25</v>
      </c>
      <c r="Q1452" t="str">
        <f>IF(Excel_Advanced_Sales_Dataset_2000__3[[#This Row],[Delivery Status]]="Pending","Follow Up","Ok")</f>
        <v>Follow Up</v>
      </c>
      <c r="R1452" s="1" t="s">
        <v>26</v>
      </c>
      <c r="S1452">
        <f>Excel_Advanced_Sales_Dataset_2000__3[[#This Row],[Quantity]]*Excel_Advanced_Sales_Dataset_2000__3[[#This Row],[Unit Price]]*Excel_Advanced_Sales_Dataset_2000__3[[#This Row],[Discount %]]/100</f>
        <v>218434.33569599997</v>
      </c>
      <c r="T1452" s="4">
        <f>Excel_Advanced_Sales_Dataset_2000__3[[#This Row],[Quantity]]*Excel_Advanced_Sales_Dataset_2000__3[[#This Row],[Unit Price]]-Excel_Advanced_Sales_Dataset_2000__3[[#This Row],[Discount Amount]]</f>
        <v>1118373.104304</v>
      </c>
    </row>
    <row r="1453" spans="1:20" x14ac:dyDescent="0.25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>
        <v>34</v>
      </c>
      <c r="J1453" s="4">
        <v>43074.3</v>
      </c>
      <c r="K1453" s="6">
        <v>11.21</v>
      </c>
      <c r="L1453" s="4">
        <v>1300352.81</v>
      </c>
      <c r="M1453" s="4" t="str" cm="1">
        <f t="array" ref="M1453">IF(Excel_Advanced_Sales_Dataset_2000__3[[#This Row],[Total Sales]]&gt;50000,{"Yes"},{"No"})</f>
        <v>Yes</v>
      </c>
      <c r="N1453" s="5">
        <v>46110</v>
      </c>
      <c r="O1453" s="1" t="s">
        <v>45</v>
      </c>
      <c r="P1453" t="s">
        <v>35</v>
      </c>
      <c r="Q1453" t="str">
        <f>IF(Excel_Advanced_Sales_Dataset_2000__3[[#This Row],[Delivery Status]]="Pending","Follow Up","Ok")</f>
        <v>Ok</v>
      </c>
      <c r="R1453" s="1" t="s">
        <v>53</v>
      </c>
      <c r="S1453">
        <f>Excel_Advanced_Sales_Dataset_2000__3[[#This Row],[Quantity]]*Excel_Advanced_Sales_Dataset_2000__3[[#This Row],[Unit Price]]*Excel_Advanced_Sales_Dataset_2000__3[[#This Row],[Discount %]]/100</f>
        <v>164173.38702000002</v>
      </c>
      <c r="T1453" s="4">
        <f>Excel_Advanced_Sales_Dataset_2000__3[[#This Row],[Quantity]]*Excel_Advanced_Sales_Dataset_2000__3[[#This Row],[Unit Price]]-Excel_Advanced_Sales_Dataset_2000__3[[#This Row],[Discount Amount]]</f>
        <v>1300352.8129800002</v>
      </c>
    </row>
    <row r="1454" spans="1:20" x14ac:dyDescent="0.25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>
        <v>12</v>
      </c>
      <c r="J1454" s="4">
        <v>21242.77</v>
      </c>
      <c r="K1454" s="6">
        <v>15.67</v>
      </c>
      <c r="L1454" s="4">
        <v>214968.34</v>
      </c>
      <c r="M1454" s="4" t="str" cm="1">
        <f t="array" ref="M1454">IF(Excel_Advanced_Sales_Dataset_2000__3[[#This Row],[Total Sales]]&gt;50000,{"Yes"},{"No"})</f>
        <v>Yes</v>
      </c>
      <c r="N1454" s="5">
        <v>46063</v>
      </c>
      <c r="O1454" s="1" t="s">
        <v>113</v>
      </c>
      <c r="P1454" t="s">
        <v>35</v>
      </c>
      <c r="Q1454" t="str">
        <f>IF(Excel_Advanced_Sales_Dataset_2000__3[[#This Row],[Delivery Status]]="Pending","Follow Up","Ok")</f>
        <v>Ok</v>
      </c>
      <c r="R1454" s="1" t="s">
        <v>53</v>
      </c>
      <c r="S1454">
        <f>Excel_Advanced_Sales_Dataset_2000__3[[#This Row],[Quantity]]*Excel_Advanced_Sales_Dataset_2000__3[[#This Row],[Unit Price]]*Excel_Advanced_Sales_Dataset_2000__3[[#This Row],[Discount %]]/100</f>
        <v>39944.904707999995</v>
      </c>
      <c r="T1454" s="4">
        <f>Excel_Advanced_Sales_Dataset_2000__3[[#This Row],[Quantity]]*Excel_Advanced_Sales_Dataset_2000__3[[#This Row],[Unit Price]]-Excel_Advanced_Sales_Dataset_2000__3[[#This Row],[Discount Amount]]</f>
        <v>214968.335292</v>
      </c>
    </row>
    <row r="1455" spans="1:20" x14ac:dyDescent="0.25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>
        <v>19</v>
      </c>
      <c r="J1455" s="4">
        <v>40973.519999999997</v>
      </c>
      <c r="K1455" s="6">
        <v>16.09</v>
      </c>
      <c r="L1455" s="4">
        <v>653236.73</v>
      </c>
      <c r="M1455" s="4" t="str" cm="1">
        <f t="array" ref="M1455">IF(Excel_Advanced_Sales_Dataset_2000__3[[#This Row],[Total Sales]]&gt;50000,{"Yes"},{"No"})</f>
        <v>Yes</v>
      </c>
      <c r="N1455" s="5">
        <v>46202</v>
      </c>
      <c r="O1455" s="1" t="s">
        <v>113</v>
      </c>
      <c r="P1455" t="s">
        <v>35</v>
      </c>
      <c r="Q1455" t="str">
        <f>IF(Excel_Advanced_Sales_Dataset_2000__3[[#This Row],[Delivery Status]]="Pending","Follow Up","Ok")</f>
        <v>Ok</v>
      </c>
      <c r="R1455" s="1" t="s">
        <v>36</v>
      </c>
      <c r="S1455">
        <f>Excel_Advanced_Sales_Dataset_2000__3[[#This Row],[Quantity]]*Excel_Advanced_Sales_Dataset_2000__3[[#This Row],[Unit Price]]*Excel_Advanced_Sales_Dataset_2000__3[[#This Row],[Discount %]]/100</f>
        <v>125260.14799199998</v>
      </c>
      <c r="T1455" s="4">
        <f>Excel_Advanced_Sales_Dataset_2000__3[[#This Row],[Quantity]]*Excel_Advanced_Sales_Dataset_2000__3[[#This Row],[Unit Price]]-Excel_Advanced_Sales_Dataset_2000__3[[#This Row],[Discount Amount]]</f>
        <v>653236.7320079999</v>
      </c>
    </row>
    <row r="1456" spans="1:20" x14ac:dyDescent="0.25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>
        <v>45</v>
      </c>
      <c r="J1456" s="4">
        <v>15586.08</v>
      </c>
      <c r="K1456" s="6">
        <v>3.1</v>
      </c>
      <c r="L1456" s="4">
        <v>679631.02</v>
      </c>
      <c r="M1456" s="4" t="str" cm="1">
        <f t="array" ref="M1456">IF(Excel_Advanced_Sales_Dataset_2000__3[[#This Row],[Total Sales]]&gt;50000,{"Yes"},{"No"})</f>
        <v>Yes</v>
      </c>
      <c r="N1456" s="5">
        <v>46305</v>
      </c>
      <c r="O1456" s="1" t="s">
        <v>58</v>
      </c>
      <c r="P1456" t="s">
        <v>35</v>
      </c>
      <c r="Q1456" t="str">
        <f>IF(Excel_Advanced_Sales_Dataset_2000__3[[#This Row],[Delivery Status]]="Pending","Follow Up","Ok")</f>
        <v>Ok</v>
      </c>
      <c r="R1456" s="1" t="s">
        <v>53</v>
      </c>
      <c r="S1456">
        <f>Excel_Advanced_Sales_Dataset_2000__3[[#This Row],[Quantity]]*Excel_Advanced_Sales_Dataset_2000__3[[#This Row],[Unit Price]]*Excel_Advanced_Sales_Dataset_2000__3[[#This Row],[Discount %]]/100</f>
        <v>21742.581600000001</v>
      </c>
      <c r="T1456" s="4">
        <f>Excel_Advanced_Sales_Dataset_2000__3[[#This Row],[Quantity]]*Excel_Advanced_Sales_Dataset_2000__3[[#This Row],[Unit Price]]-Excel_Advanced_Sales_Dataset_2000__3[[#This Row],[Discount Amount]]</f>
        <v>679631.01839999994</v>
      </c>
    </row>
    <row r="1457" spans="1:20" x14ac:dyDescent="0.25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>
        <v>11</v>
      </c>
      <c r="J1457" s="4">
        <v>4114.66</v>
      </c>
      <c r="K1457" s="6">
        <v>7.33</v>
      </c>
      <c r="L1457" s="4">
        <v>41943.61</v>
      </c>
      <c r="M1457" s="4" t="str" cm="1">
        <f t="array" ref="M1457">IF(Excel_Advanced_Sales_Dataset_2000__3[[#This Row],[Total Sales]]&gt;50000,{"Yes"},{"No"})</f>
        <v>No</v>
      </c>
      <c r="N1457" s="5">
        <v>46213</v>
      </c>
      <c r="O1457" s="1" t="s">
        <v>45</v>
      </c>
      <c r="P1457" t="s">
        <v>35</v>
      </c>
      <c r="Q1457" t="str">
        <f>IF(Excel_Advanced_Sales_Dataset_2000__3[[#This Row],[Delivery Status]]="Pending","Follow Up","Ok")</f>
        <v>Ok</v>
      </c>
      <c r="R1457" s="1" t="s">
        <v>36</v>
      </c>
      <c r="S1457">
        <f>Excel_Advanced_Sales_Dataset_2000__3[[#This Row],[Quantity]]*Excel_Advanced_Sales_Dataset_2000__3[[#This Row],[Unit Price]]*Excel_Advanced_Sales_Dataset_2000__3[[#This Row],[Discount %]]/100</f>
        <v>3317.6503579999994</v>
      </c>
      <c r="T1457" s="4">
        <f>Excel_Advanced_Sales_Dataset_2000__3[[#This Row],[Quantity]]*Excel_Advanced_Sales_Dataset_2000__3[[#This Row],[Unit Price]]-Excel_Advanced_Sales_Dataset_2000__3[[#This Row],[Discount Amount]]</f>
        <v>41943.609641999996</v>
      </c>
    </row>
    <row r="1458" spans="1:20" x14ac:dyDescent="0.25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>
        <v>15</v>
      </c>
      <c r="J1458" s="4">
        <v>25623.37</v>
      </c>
      <c r="K1458" s="6">
        <v>8.6999999999999993</v>
      </c>
      <c r="L1458" s="4">
        <v>350912.05</v>
      </c>
      <c r="M1458" s="4" t="str" cm="1">
        <f t="array" ref="M1458">IF(Excel_Advanced_Sales_Dataset_2000__3[[#This Row],[Total Sales]]&gt;50000,{"Yes"},{"No"})</f>
        <v>Yes</v>
      </c>
      <c r="N1458" s="5">
        <v>46345</v>
      </c>
      <c r="O1458" s="1" t="s">
        <v>24</v>
      </c>
      <c r="P1458" t="s">
        <v>35</v>
      </c>
      <c r="Q1458" t="str">
        <f>IF(Excel_Advanced_Sales_Dataset_2000__3[[#This Row],[Delivery Status]]="Pending","Follow Up","Ok")</f>
        <v>Ok</v>
      </c>
      <c r="R1458" s="1" t="s">
        <v>53</v>
      </c>
      <c r="S1458">
        <f>Excel_Advanced_Sales_Dataset_2000__3[[#This Row],[Quantity]]*Excel_Advanced_Sales_Dataset_2000__3[[#This Row],[Unit Price]]*Excel_Advanced_Sales_Dataset_2000__3[[#This Row],[Discount %]]/100</f>
        <v>33438.49785</v>
      </c>
      <c r="T1458" s="4">
        <f>Excel_Advanced_Sales_Dataset_2000__3[[#This Row],[Quantity]]*Excel_Advanced_Sales_Dataset_2000__3[[#This Row],[Unit Price]]-Excel_Advanced_Sales_Dataset_2000__3[[#This Row],[Discount Amount]]</f>
        <v>350912.05215</v>
      </c>
    </row>
    <row r="1459" spans="1:20" x14ac:dyDescent="0.25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>
        <v>38</v>
      </c>
      <c r="J1459" s="4">
        <v>44344.35</v>
      </c>
      <c r="K1459" s="6">
        <v>15</v>
      </c>
      <c r="L1459" s="4">
        <v>1432322.5</v>
      </c>
      <c r="M1459" s="4" t="str" cm="1">
        <f t="array" ref="M1459">IF(Excel_Advanced_Sales_Dataset_2000__3[[#This Row],[Total Sales]]&gt;50000,{"Yes"},{"No"})</f>
        <v>Yes</v>
      </c>
      <c r="N1459" s="5">
        <v>46293</v>
      </c>
      <c r="O1459" s="1" t="s">
        <v>68</v>
      </c>
      <c r="P1459" t="s">
        <v>35</v>
      </c>
      <c r="Q1459" t="str">
        <f>IF(Excel_Advanced_Sales_Dataset_2000__3[[#This Row],[Delivery Status]]="Pending","Follow Up","Ok")</f>
        <v>Ok</v>
      </c>
      <c r="R1459" s="1" t="s">
        <v>53</v>
      </c>
      <c r="S1459">
        <f>Excel_Advanced_Sales_Dataset_2000__3[[#This Row],[Quantity]]*Excel_Advanced_Sales_Dataset_2000__3[[#This Row],[Unit Price]]*Excel_Advanced_Sales_Dataset_2000__3[[#This Row],[Discount %]]/100</f>
        <v>252762.79500000001</v>
      </c>
      <c r="T1459" s="4">
        <f>Excel_Advanced_Sales_Dataset_2000__3[[#This Row],[Quantity]]*Excel_Advanced_Sales_Dataset_2000__3[[#This Row],[Unit Price]]-Excel_Advanced_Sales_Dataset_2000__3[[#This Row],[Discount Amount]]</f>
        <v>1432322.5050000001</v>
      </c>
    </row>
    <row r="1460" spans="1:20" x14ac:dyDescent="0.25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>
        <v>33</v>
      </c>
      <c r="J1460" s="4">
        <v>6478.22</v>
      </c>
      <c r="K1460" s="6">
        <v>6.95</v>
      </c>
      <c r="L1460" s="4">
        <v>198923.46</v>
      </c>
      <c r="M1460" s="4" t="str" cm="1">
        <f t="array" ref="M1460">IF(Excel_Advanced_Sales_Dataset_2000__3[[#This Row],[Total Sales]]&gt;50000,{"Yes"},{"No"})</f>
        <v>Yes</v>
      </c>
      <c r="N1460" s="5">
        <v>46037</v>
      </c>
      <c r="O1460" s="1" t="s">
        <v>45</v>
      </c>
      <c r="P1460" t="s">
        <v>59</v>
      </c>
      <c r="Q1460" t="str">
        <f>IF(Excel_Advanced_Sales_Dataset_2000__3[[#This Row],[Delivery Status]]="Pending","Follow Up","Ok")</f>
        <v>Ok</v>
      </c>
      <c r="R1460" s="1" t="s">
        <v>53</v>
      </c>
      <c r="S1460">
        <f>Excel_Advanced_Sales_Dataset_2000__3[[#This Row],[Quantity]]*Excel_Advanced_Sales_Dataset_2000__3[[#This Row],[Unit Price]]*Excel_Advanced_Sales_Dataset_2000__3[[#This Row],[Discount %]]/100</f>
        <v>14857.797570000002</v>
      </c>
      <c r="T1460" s="4">
        <f>Excel_Advanced_Sales_Dataset_2000__3[[#This Row],[Quantity]]*Excel_Advanced_Sales_Dataset_2000__3[[#This Row],[Unit Price]]-Excel_Advanced_Sales_Dataset_2000__3[[#This Row],[Discount Amount]]</f>
        <v>198923.46243000001</v>
      </c>
    </row>
    <row r="1461" spans="1:20" x14ac:dyDescent="0.25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>
        <v>24</v>
      </c>
      <c r="J1461" s="4">
        <v>47787.54</v>
      </c>
      <c r="K1461" s="6">
        <v>9.4600000000000009</v>
      </c>
      <c r="L1461" s="4">
        <v>1038404.13</v>
      </c>
      <c r="M1461" s="4" t="str" cm="1">
        <f t="array" ref="M1461">IF(Excel_Advanced_Sales_Dataset_2000__3[[#This Row],[Total Sales]]&gt;50000,{"Yes"},{"No"})</f>
        <v>Yes</v>
      </c>
      <c r="N1461" s="5">
        <v>46086</v>
      </c>
      <c r="O1461" s="1" t="s">
        <v>58</v>
      </c>
      <c r="P1461" t="s">
        <v>25</v>
      </c>
      <c r="Q1461" t="str">
        <f>IF(Excel_Advanced_Sales_Dataset_2000__3[[#This Row],[Delivery Status]]="Pending","Follow Up","Ok")</f>
        <v>Follow Up</v>
      </c>
      <c r="R1461" s="1" t="s">
        <v>26</v>
      </c>
      <c r="S1461">
        <f>Excel_Advanced_Sales_Dataset_2000__3[[#This Row],[Quantity]]*Excel_Advanced_Sales_Dataset_2000__3[[#This Row],[Unit Price]]*Excel_Advanced_Sales_Dataset_2000__3[[#This Row],[Discount %]]/100</f>
        <v>108496.83081600002</v>
      </c>
      <c r="T1461" s="4">
        <f>Excel_Advanced_Sales_Dataset_2000__3[[#This Row],[Quantity]]*Excel_Advanced_Sales_Dataset_2000__3[[#This Row],[Unit Price]]-Excel_Advanced_Sales_Dataset_2000__3[[#This Row],[Discount Amount]]</f>
        <v>1038404.129184</v>
      </c>
    </row>
    <row r="1462" spans="1:20" x14ac:dyDescent="0.25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>
        <v>49</v>
      </c>
      <c r="J1462" s="4">
        <v>5115.29</v>
      </c>
      <c r="K1462" s="6">
        <v>11.27</v>
      </c>
      <c r="L1462" s="4">
        <v>222401.04</v>
      </c>
      <c r="M1462" s="4" t="str" cm="1">
        <f t="array" ref="M1462">IF(Excel_Advanced_Sales_Dataset_2000__3[[#This Row],[Total Sales]]&gt;50000,{"Yes"},{"No"})</f>
        <v>Yes</v>
      </c>
      <c r="N1462" s="5">
        <v>46374</v>
      </c>
      <c r="O1462" s="1" t="s">
        <v>45</v>
      </c>
      <c r="P1462" t="s">
        <v>25</v>
      </c>
      <c r="Q1462" t="str">
        <f>IF(Excel_Advanced_Sales_Dataset_2000__3[[#This Row],[Delivery Status]]="Pending","Follow Up","Ok")</f>
        <v>Follow Up</v>
      </c>
      <c r="R1462" s="1" t="s">
        <v>53</v>
      </c>
      <c r="S1462">
        <f>Excel_Advanced_Sales_Dataset_2000__3[[#This Row],[Quantity]]*Excel_Advanced_Sales_Dataset_2000__3[[#This Row],[Unit Price]]*Excel_Advanced_Sales_Dataset_2000__3[[#This Row],[Discount %]]/100</f>
        <v>28248.165966999997</v>
      </c>
      <c r="T1462" s="4">
        <f>Excel_Advanced_Sales_Dataset_2000__3[[#This Row],[Quantity]]*Excel_Advanced_Sales_Dataset_2000__3[[#This Row],[Unit Price]]-Excel_Advanced_Sales_Dataset_2000__3[[#This Row],[Discount Amount]]</f>
        <v>222401.04403299998</v>
      </c>
    </row>
    <row r="1463" spans="1:20" x14ac:dyDescent="0.25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>
        <v>13</v>
      </c>
      <c r="J1463" s="4">
        <v>28315.21</v>
      </c>
      <c r="K1463" s="6">
        <v>11.88</v>
      </c>
      <c r="L1463" s="4">
        <v>324367.71999999997</v>
      </c>
      <c r="M1463" s="4" t="str" cm="1">
        <f t="array" ref="M1463">IF(Excel_Advanced_Sales_Dataset_2000__3[[#This Row],[Total Sales]]&gt;50000,{"Yes"},{"No"})</f>
        <v>Yes</v>
      </c>
      <c r="N1463" s="5">
        <v>46168</v>
      </c>
      <c r="O1463" s="1" t="s">
        <v>113</v>
      </c>
      <c r="P1463" t="s">
        <v>35</v>
      </c>
      <c r="Q1463" t="str">
        <f>IF(Excel_Advanced_Sales_Dataset_2000__3[[#This Row],[Delivery Status]]="Pending","Follow Up","Ok")</f>
        <v>Ok</v>
      </c>
      <c r="R1463" s="1" t="s">
        <v>53</v>
      </c>
      <c r="S1463">
        <f>Excel_Advanced_Sales_Dataset_2000__3[[#This Row],[Quantity]]*Excel_Advanced_Sales_Dataset_2000__3[[#This Row],[Unit Price]]*Excel_Advanced_Sales_Dataset_2000__3[[#This Row],[Discount %]]/100</f>
        <v>43730.010324000003</v>
      </c>
      <c r="T1463" s="4">
        <f>Excel_Advanced_Sales_Dataset_2000__3[[#This Row],[Quantity]]*Excel_Advanced_Sales_Dataset_2000__3[[#This Row],[Unit Price]]-Excel_Advanced_Sales_Dataset_2000__3[[#This Row],[Discount Amount]]</f>
        <v>324367.71967599995</v>
      </c>
    </row>
    <row r="1464" spans="1:20" x14ac:dyDescent="0.25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>
        <v>39</v>
      </c>
      <c r="J1464" s="4">
        <v>9015.61</v>
      </c>
      <c r="K1464" s="6">
        <v>3.38</v>
      </c>
      <c r="L1464" s="4">
        <v>339724.41</v>
      </c>
      <c r="M1464" s="4" t="str" cm="1">
        <f t="array" ref="M1464">IF(Excel_Advanced_Sales_Dataset_2000__3[[#This Row],[Total Sales]]&gt;50000,{"Yes"},{"No"})</f>
        <v>Yes</v>
      </c>
      <c r="N1464" s="5">
        <v>46142</v>
      </c>
      <c r="O1464" s="1" t="s">
        <v>45</v>
      </c>
      <c r="P1464" t="s">
        <v>25</v>
      </c>
      <c r="Q1464" t="str">
        <f>IF(Excel_Advanced_Sales_Dataset_2000__3[[#This Row],[Delivery Status]]="Pending","Follow Up","Ok")</f>
        <v>Follow Up</v>
      </c>
      <c r="R1464" s="1" t="s">
        <v>36</v>
      </c>
      <c r="S1464">
        <f>Excel_Advanced_Sales_Dataset_2000__3[[#This Row],[Quantity]]*Excel_Advanced_Sales_Dataset_2000__3[[#This Row],[Unit Price]]*Excel_Advanced_Sales_Dataset_2000__3[[#This Row],[Discount %]]/100</f>
        <v>11884.377102</v>
      </c>
      <c r="T1464" s="4">
        <f>Excel_Advanced_Sales_Dataset_2000__3[[#This Row],[Quantity]]*Excel_Advanced_Sales_Dataset_2000__3[[#This Row],[Unit Price]]-Excel_Advanced_Sales_Dataset_2000__3[[#This Row],[Discount Amount]]</f>
        <v>339724.41289800004</v>
      </c>
    </row>
    <row r="1465" spans="1:20" x14ac:dyDescent="0.25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>
        <v>48</v>
      </c>
      <c r="J1465" s="4">
        <v>43855.02</v>
      </c>
      <c r="K1465" s="6">
        <v>18.84</v>
      </c>
      <c r="L1465" s="4">
        <v>1708451.24</v>
      </c>
      <c r="M1465" s="4" t="str" cm="1">
        <f t="array" ref="M1465">IF(Excel_Advanced_Sales_Dataset_2000__3[[#This Row],[Total Sales]]&gt;50000,{"Yes"},{"No"})</f>
        <v>Yes</v>
      </c>
      <c r="N1465" s="5">
        <v>46063</v>
      </c>
      <c r="O1465" s="1" t="s">
        <v>58</v>
      </c>
      <c r="P1465" t="s">
        <v>59</v>
      </c>
      <c r="Q1465" t="str">
        <f>IF(Excel_Advanced_Sales_Dataset_2000__3[[#This Row],[Delivery Status]]="Pending","Follow Up","Ok")</f>
        <v>Ok</v>
      </c>
      <c r="R1465" s="1" t="s">
        <v>36</v>
      </c>
      <c r="S1465">
        <f>Excel_Advanced_Sales_Dataset_2000__3[[#This Row],[Quantity]]*Excel_Advanced_Sales_Dataset_2000__3[[#This Row],[Unit Price]]*Excel_Advanced_Sales_Dataset_2000__3[[#This Row],[Discount %]]/100</f>
        <v>396589.71686399996</v>
      </c>
      <c r="T1465" s="4">
        <f>Excel_Advanced_Sales_Dataset_2000__3[[#This Row],[Quantity]]*Excel_Advanced_Sales_Dataset_2000__3[[#This Row],[Unit Price]]-Excel_Advanced_Sales_Dataset_2000__3[[#This Row],[Discount Amount]]</f>
        <v>1708451.2431359999</v>
      </c>
    </row>
    <row r="1466" spans="1:20" x14ac:dyDescent="0.25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>
        <v>38</v>
      </c>
      <c r="J1466" s="4">
        <v>1674.88</v>
      </c>
      <c r="K1466" s="6">
        <v>14.04</v>
      </c>
      <c r="L1466" s="4">
        <v>54709.62</v>
      </c>
      <c r="M1466" s="4" t="str" cm="1">
        <f t="array" ref="M1466">IF(Excel_Advanced_Sales_Dataset_2000__3[[#This Row],[Total Sales]]&gt;50000,{"Yes"},{"No"})</f>
        <v>Yes</v>
      </c>
      <c r="N1466" s="5">
        <v>46171</v>
      </c>
      <c r="O1466" s="1" t="s">
        <v>113</v>
      </c>
      <c r="P1466" t="s">
        <v>35</v>
      </c>
      <c r="Q1466" t="str">
        <f>IF(Excel_Advanced_Sales_Dataset_2000__3[[#This Row],[Delivery Status]]="Pending","Follow Up","Ok")</f>
        <v>Ok</v>
      </c>
      <c r="R1466" s="1" t="s">
        <v>26</v>
      </c>
      <c r="S1466">
        <f>Excel_Advanced_Sales_Dataset_2000__3[[#This Row],[Quantity]]*Excel_Advanced_Sales_Dataset_2000__3[[#This Row],[Unit Price]]*Excel_Advanced_Sales_Dataset_2000__3[[#This Row],[Discount %]]/100</f>
        <v>8935.8197760000003</v>
      </c>
      <c r="T1466" s="4">
        <f>Excel_Advanced_Sales_Dataset_2000__3[[#This Row],[Quantity]]*Excel_Advanced_Sales_Dataset_2000__3[[#This Row],[Unit Price]]-Excel_Advanced_Sales_Dataset_2000__3[[#This Row],[Discount Amount]]</f>
        <v>54709.620223999998</v>
      </c>
    </row>
    <row r="1467" spans="1:20" x14ac:dyDescent="0.25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>
        <v>4</v>
      </c>
      <c r="J1467" s="4">
        <v>45391.81</v>
      </c>
      <c r="K1467" s="6">
        <v>19.57</v>
      </c>
      <c r="L1467" s="4">
        <v>146034.53</v>
      </c>
      <c r="M1467" s="4" t="str" cm="1">
        <f t="array" ref="M1467">IF(Excel_Advanced_Sales_Dataset_2000__3[[#This Row],[Total Sales]]&gt;50000,{"Yes"},{"No"})</f>
        <v>Yes</v>
      </c>
      <c r="N1467" s="5">
        <v>46270</v>
      </c>
      <c r="O1467" s="1" t="s">
        <v>24</v>
      </c>
      <c r="P1467" t="s">
        <v>25</v>
      </c>
      <c r="Q1467" t="str">
        <f>IF(Excel_Advanced_Sales_Dataset_2000__3[[#This Row],[Delivery Status]]="Pending","Follow Up","Ok")</f>
        <v>Follow Up</v>
      </c>
      <c r="R1467" s="1" t="s">
        <v>26</v>
      </c>
      <c r="S1467">
        <f>Excel_Advanced_Sales_Dataset_2000__3[[#This Row],[Quantity]]*Excel_Advanced_Sales_Dataset_2000__3[[#This Row],[Unit Price]]*Excel_Advanced_Sales_Dataset_2000__3[[#This Row],[Discount %]]/100</f>
        <v>35532.708868000002</v>
      </c>
      <c r="T1467" s="4">
        <f>Excel_Advanced_Sales_Dataset_2000__3[[#This Row],[Quantity]]*Excel_Advanced_Sales_Dataset_2000__3[[#This Row],[Unit Price]]-Excel_Advanced_Sales_Dataset_2000__3[[#This Row],[Discount Amount]]</f>
        <v>146034.53113199997</v>
      </c>
    </row>
    <row r="1468" spans="1:20" x14ac:dyDescent="0.25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>
        <v>43</v>
      </c>
      <c r="J1468" s="4">
        <v>25010.77</v>
      </c>
      <c r="K1468" s="6">
        <v>19.48</v>
      </c>
      <c r="L1468" s="4">
        <v>865962.9</v>
      </c>
      <c r="M1468" s="4" t="str" cm="1">
        <f t="array" ref="M1468">IF(Excel_Advanced_Sales_Dataset_2000__3[[#This Row],[Total Sales]]&gt;50000,{"Yes"},{"No"})</f>
        <v>Yes</v>
      </c>
      <c r="N1468" s="5">
        <v>46107</v>
      </c>
      <c r="O1468" s="1" t="s">
        <v>24</v>
      </c>
      <c r="P1468" t="s">
        <v>35</v>
      </c>
      <c r="Q1468" t="str">
        <f>IF(Excel_Advanced_Sales_Dataset_2000__3[[#This Row],[Delivery Status]]="Pending","Follow Up","Ok")</f>
        <v>Ok</v>
      </c>
      <c r="R1468" s="1" t="s">
        <v>53</v>
      </c>
      <c r="S1468">
        <f>Excel_Advanced_Sales_Dataset_2000__3[[#This Row],[Quantity]]*Excel_Advanced_Sales_Dataset_2000__3[[#This Row],[Unit Price]]*Excel_Advanced_Sales_Dataset_2000__3[[#This Row],[Discount %]]/100</f>
        <v>209500.21382800001</v>
      </c>
      <c r="T1468" s="4">
        <f>Excel_Advanced_Sales_Dataset_2000__3[[#This Row],[Quantity]]*Excel_Advanced_Sales_Dataset_2000__3[[#This Row],[Unit Price]]-Excel_Advanced_Sales_Dataset_2000__3[[#This Row],[Discount Amount]]</f>
        <v>865962.8961720001</v>
      </c>
    </row>
    <row r="1469" spans="1:20" x14ac:dyDescent="0.25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>
        <v>22</v>
      </c>
      <c r="J1469" s="4">
        <v>7696.99</v>
      </c>
      <c r="K1469" s="6">
        <v>11.21</v>
      </c>
      <c r="L1469" s="4">
        <v>150351.46</v>
      </c>
      <c r="M1469" s="4" t="str" cm="1">
        <f t="array" ref="M1469">IF(Excel_Advanced_Sales_Dataset_2000__3[[#This Row],[Total Sales]]&gt;50000,{"Yes"},{"No"})</f>
        <v>Yes</v>
      </c>
      <c r="N1469" s="5">
        <v>46049</v>
      </c>
      <c r="O1469" s="1" t="s">
        <v>113</v>
      </c>
      <c r="P1469" t="s">
        <v>35</v>
      </c>
      <c r="Q1469" t="str">
        <f>IF(Excel_Advanced_Sales_Dataset_2000__3[[#This Row],[Delivery Status]]="Pending","Follow Up","Ok")</f>
        <v>Ok</v>
      </c>
      <c r="R1469" s="1" t="s">
        <v>36</v>
      </c>
      <c r="S1469">
        <f>Excel_Advanced_Sales_Dataset_2000__3[[#This Row],[Quantity]]*Excel_Advanced_Sales_Dataset_2000__3[[#This Row],[Unit Price]]*Excel_Advanced_Sales_Dataset_2000__3[[#This Row],[Discount %]]/100</f>
        <v>18982.316738000001</v>
      </c>
      <c r="T1469" s="4">
        <f>Excel_Advanced_Sales_Dataset_2000__3[[#This Row],[Quantity]]*Excel_Advanced_Sales_Dataset_2000__3[[#This Row],[Unit Price]]-Excel_Advanced_Sales_Dataset_2000__3[[#This Row],[Discount Amount]]</f>
        <v>150351.463262</v>
      </c>
    </row>
    <row r="1470" spans="1:20" x14ac:dyDescent="0.25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>
        <v>15</v>
      </c>
      <c r="J1470" s="4">
        <v>20942.93</v>
      </c>
      <c r="K1470" s="6">
        <v>2.76</v>
      </c>
      <c r="L1470" s="4">
        <v>305473.58</v>
      </c>
      <c r="M1470" s="4" t="str" cm="1">
        <f t="array" ref="M1470">IF(Excel_Advanced_Sales_Dataset_2000__3[[#This Row],[Total Sales]]&gt;50000,{"Yes"},{"No"})</f>
        <v>Yes</v>
      </c>
      <c r="N1470" s="5">
        <v>46135</v>
      </c>
      <c r="O1470" s="1" t="s">
        <v>24</v>
      </c>
      <c r="P1470" t="s">
        <v>35</v>
      </c>
      <c r="Q1470" t="str">
        <f>IF(Excel_Advanced_Sales_Dataset_2000__3[[#This Row],[Delivery Status]]="Pending","Follow Up","Ok")</f>
        <v>Ok</v>
      </c>
      <c r="R1470" s="1" t="s">
        <v>53</v>
      </c>
      <c r="S1470">
        <f>Excel_Advanced_Sales_Dataset_2000__3[[#This Row],[Quantity]]*Excel_Advanced_Sales_Dataset_2000__3[[#This Row],[Unit Price]]*Excel_Advanced_Sales_Dataset_2000__3[[#This Row],[Discount %]]/100</f>
        <v>8670.3730199999991</v>
      </c>
      <c r="T1470" s="4">
        <f>Excel_Advanced_Sales_Dataset_2000__3[[#This Row],[Quantity]]*Excel_Advanced_Sales_Dataset_2000__3[[#This Row],[Unit Price]]-Excel_Advanced_Sales_Dataset_2000__3[[#This Row],[Discount Amount]]</f>
        <v>305473.57698000001</v>
      </c>
    </row>
    <row r="1471" spans="1:20" x14ac:dyDescent="0.25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>
        <v>14</v>
      </c>
      <c r="J1471" s="4">
        <v>33210.129999999997</v>
      </c>
      <c r="K1471" s="6">
        <v>16.86</v>
      </c>
      <c r="L1471" s="4">
        <v>386552.63</v>
      </c>
      <c r="M1471" s="4" t="str" cm="1">
        <f t="array" ref="M1471">IF(Excel_Advanced_Sales_Dataset_2000__3[[#This Row],[Total Sales]]&gt;50000,{"Yes"},{"No"})</f>
        <v>Yes</v>
      </c>
      <c r="N1471" s="5">
        <v>46275</v>
      </c>
      <c r="O1471" s="1" t="s">
        <v>24</v>
      </c>
      <c r="P1471" t="s">
        <v>35</v>
      </c>
      <c r="Q1471" t="str">
        <f>IF(Excel_Advanced_Sales_Dataset_2000__3[[#This Row],[Delivery Status]]="Pending","Follow Up","Ok")</f>
        <v>Ok</v>
      </c>
      <c r="R1471" s="1" t="s">
        <v>26</v>
      </c>
      <c r="S1471">
        <f>Excel_Advanced_Sales_Dataset_2000__3[[#This Row],[Quantity]]*Excel_Advanced_Sales_Dataset_2000__3[[#This Row],[Unit Price]]*Excel_Advanced_Sales_Dataset_2000__3[[#This Row],[Discount %]]/100</f>
        <v>78389.190851999985</v>
      </c>
      <c r="T1471" s="4">
        <f>Excel_Advanced_Sales_Dataset_2000__3[[#This Row],[Quantity]]*Excel_Advanced_Sales_Dataset_2000__3[[#This Row],[Unit Price]]-Excel_Advanced_Sales_Dataset_2000__3[[#This Row],[Discount Amount]]</f>
        <v>386552.62914799998</v>
      </c>
    </row>
    <row r="1472" spans="1:20" x14ac:dyDescent="0.25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>
        <v>35</v>
      </c>
      <c r="J1472" s="4">
        <v>22838.58</v>
      </c>
      <c r="K1472" s="6">
        <v>0.38</v>
      </c>
      <c r="L1472" s="4">
        <v>796312.77</v>
      </c>
      <c r="M1472" s="4" t="str" cm="1">
        <f t="array" ref="M1472">IF(Excel_Advanced_Sales_Dataset_2000__3[[#This Row],[Total Sales]]&gt;50000,{"Yes"},{"No"})</f>
        <v>Yes</v>
      </c>
      <c r="N1472" s="5">
        <v>46212</v>
      </c>
      <c r="O1472" s="1" t="s">
        <v>45</v>
      </c>
      <c r="P1472" t="s">
        <v>35</v>
      </c>
      <c r="Q1472" t="str">
        <f>IF(Excel_Advanced_Sales_Dataset_2000__3[[#This Row],[Delivery Status]]="Pending","Follow Up","Ok")</f>
        <v>Ok</v>
      </c>
      <c r="R1472" s="1" t="s">
        <v>53</v>
      </c>
      <c r="S1472">
        <f>Excel_Advanced_Sales_Dataset_2000__3[[#This Row],[Quantity]]*Excel_Advanced_Sales_Dataset_2000__3[[#This Row],[Unit Price]]*Excel_Advanced_Sales_Dataset_2000__3[[#This Row],[Discount %]]/100</f>
        <v>3037.5311400000001</v>
      </c>
      <c r="T1472" s="4">
        <f>Excel_Advanced_Sales_Dataset_2000__3[[#This Row],[Quantity]]*Excel_Advanced_Sales_Dataset_2000__3[[#This Row],[Unit Price]]-Excel_Advanced_Sales_Dataset_2000__3[[#This Row],[Discount Amount]]</f>
        <v>796312.76886000007</v>
      </c>
    </row>
    <row r="1473" spans="1:20" x14ac:dyDescent="0.25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>
        <v>42</v>
      </c>
      <c r="J1473" s="4">
        <v>35897.800000000003</v>
      </c>
      <c r="K1473" s="6">
        <v>15.05</v>
      </c>
      <c r="L1473" s="4">
        <v>1280797.6100000001</v>
      </c>
      <c r="M1473" s="4" t="str" cm="1">
        <f t="array" ref="M1473">IF(Excel_Advanced_Sales_Dataset_2000__3[[#This Row],[Total Sales]]&gt;50000,{"Yes"},{"No"})</f>
        <v>Yes</v>
      </c>
      <c r="N1473" s="5">
        <v>46038</v>
      </c>
      <c r="O1473" s="1" t="s">
        <v>113</v>
      </c>
      <c r="P1473" t="s">
        <v>35</v>
      </c>
      <c r="Q1473" t="str">
        <f>IF(Excel_Advanced_Sales_Dataset_2000__3[[#This Row],[Delivery Status]]="Pending","Follow Up","Ok")</f>
        <v>Ok</v>
      </c>
      <c r="R1473" s="1" t="s">
        <v>36</v>
      </c>
      <c r="S1473">
        <f>Excel_Advanced_Sales_Dataset_2000__3[[#This Row],[Quantity]]*Excel_Advanced_Sales_Dataset_2000__3[[#This Row],[Unit Price]]*Excel_Advanced_Sales_Dataset_2000__3[[#This Row],[Discount %]]/100</f>
        <v>226909.99380000003</v>
      </c>
      <c r="T1473" s="4">
        <f>Excel_Advanced_Sales_Dataset_2000__3[[#This Row],[Quantity]]*Excel_Advanced_Sales_Dataset_2000__3[[#This Row],[Unit Price]]-Excel_Advanced_Sales_Dataset_2000__3[[#This Row],[Discount Amount]]</f>
        <v>1280797.6062</v>
      </c>
    </row>
    <row r="1474" spans="1:20" x14ac:dyDescent="0.25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>
        <v>43</v>
      </c>
      <c r="J1474" s="4">
        <v>44302.42</v>
      </c>
      <c r="K1474" s="6">
        <v>1.38</v>
      </c>
      <c r="L1474" s="4">
        <v>1878715</v>
      </c>
      <c r="M1474" s="4" t="str" cm="1">
        <f t="array" ref="M1474">IF(Excel_Advanced_Sales_Dataset_2000__3[[#This Row],[Total Sales]]&gt;50000,{"Yes"},{"No"})</f>
        <v>Yes</v>
      </c>
      <c r="N1474" s="5">
        <v>46205</v>
      </c>
      <c r="O1474" s="1" t="s">
        <v>68</v>
      </c>
      <c r="P1474" t="s">
        <v>35</v>
      </c>
      <c r="Q1474" t="str">
        <f>IF(Excel_Advanced_Sales_Dataset_2000__3[[#This Row],[Delivery Status]]="Pending","Follow Up","Ok")</f>
        <v>Ok</v>
      </c>
      <c r="R1474" s="1" t="s">
        <v>36</v>
      </c>
      <c r="S1474">
        <f>Excel_Advanced_Sales_Dataset_2000__3[[#This Row],[Quantity]]*Excel_Advanced_Sales_Dataset_2000__3[[#This Row],[Unit Price]]*Excel_Advanced_Sales_Dataset_2000__3[[#This Row],[Discount %]]/100</f>
        <v>26289.056027999995</v>
      </c>
      <c r="T1474" s="4">
        <f>Excel_Advanced_Sales_Dataset_2000__3[[#This Row],[Quantity]]*Excel_Advanced_Sales_Dataset_2000__3[[#This Row],[Unit Price]]-Excel_Advanced_Sales_Dataset_2000__3[[#This Row],[Discount Amount]]</f>
        <v>1878715.0039719997</v>
      </c>
    </row>
    <row r="1475" spans="1:20" x14ac:dyDescent="0.25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>
        <v>17</v>
      </c>
      <c r="J1475" s="4">
        <v>45814.64</v>
      </c>
      <c r="K1475" s="6">
        <v>8.33</v>
      </c>
      <c r="L1475" s="4">
        <v>713970.77</v>
      </c>
      <c r="M1475" s="4" t="str" cm="1">
        <f t="array" ref="M1475">IF(Excel_Advanced_Sales_Dataset_2000__3[[#This Row],[Total Sales]]&gt;50000,{"Yes"},{"No"})</f>
        <v>Yes</v>
      </c>
      <c r="N1475" s="5">
        <v>46119</v>
      </c>
      <c r="O1475" s="1" t="s">
        <v>68</v>
      </c>
      <c r="P1475" t="s">
        <v>35</v>
      </c>
      <c r="Q1475" t="str">
        <f>IF(Excel_Advanced_Sales_Dataset_2000__3[[#This Row],[Delivery Status]]="Pending","Follow Up","Ok")</f>
        <v>Ok</v>
      </c>
      <c r="R1475" s="1" t="s">
        <v>53</v>
      </c>
      <c r="S1475">
        <f>Excel_Advanced_Sales_Dataset_2000__3[[#This Row],[Quantity]]*Excel_Advanced_Sales_Dataset_2000__3[[#This Row],[Unit Price]]*Excel_Advanced_Sales_Dataset_2000__3[[#This Row],[Discount %]]/100</f>
        <v>64878.111704000003</v>
      </c>
      <c r="T1475" s="4">
        <f>Excel_Advanced_Sales_Dataset_2000__3[[#This Row],[Quantity]]*Excel_Advanced_Sales_Dataset_2000__3[[#This Row],[Unit Price]]-Excel_Advanced_Sales_Dataset_2000__3[[#This Row],[Discount Amount]]</f>
        <v>713970.76829599997</v>
      </c>
    </row>
    <row r="1476" spans="1:20" x14ac:dyDescent="0.25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>
        <v>1</v>
      </c>
      <c r="J1476" s="4">
        <v>6683.29</v>
      </c>
      <c r="K1476" s="6">
        <v>6.23</v>
      </c>
      <c r="L1476" s="4">
        <v>6266.92</v>
      </c>
      <c r="M1476" s="4" t="str" cm="1">
        <f t="array" ref="M1476">IF(Excel_Advanced_Sales_Dataset_2000__3[[#This Row],[Total Sales]]&gt;50000,{"Yes"},{"No"})</f>
        <v>No</v>
      </c>
      <c r="N1476" s="5">
        <v>46384</v>
      </c>
      <c r="O1476" s="1" t="s">
        <v>58</v>
      </c>
      <c r="P1476" t="s">
        <v>35</v>
      </c>
      <c r="Q1476" t="str">
        <f>IF(Excel_Advanced_Sales_Dataset_2000__3[[#This Row],[Delivery Status]]="Pending","Follow Up","Ok")</f>
        <v>Ok</v>
      </c>
      <c r="R1476" s="1" t="s">
        <v>26</v>
      </c>
      <c r="S1476">
        <f>Excel_Advanced_Sales_Dataset_2000__3[[#This Row],[Quantity]]*Excel_Advanced_Sales_Dataset_2000__3[[#This Row],[Unit Price]]*Excel_Advanced_Sales_Dataset_2000__3[[#This Row],[Discount %]]/100</f>
        <v>416.36896700000005</v>
      </c>
      <c r="T1476" s="4">
        <f>Excel_Advanced_Sales_Dataset_2000__3[[#This Row],[Quantity]]*Excel_Advanced_Sales_Dataset_2000__3[[#This Row],[Unit Price]]-Excel_Advanced_Sales_Dataset_2000__3[[#This Row],[Discount Amount]]</f>
        <v>6266.9210329999996</v>
      </c>
    </row>
    <row r="1477" spans="1:20" x14ac:dyDescent="0.25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>
        <v>2</v>
      </c>
      <c r="J1477" s="4">
        <v>919.05</v>
      </c>
      <c r="K1477" s="6">
        <v>2.84</v>
      </c>
      <c r="L1477" s="4">
        <v>1785.9</v>
      </c>
      <c r="M1477" s="4" t="str" cm="1">
        <f t="array" ref="M1477">IF(Excel_Advanced_Sales_Dataset_2000__3[[#This Row],[Total Sales]]&gt;50000,{"Yes"},{"No"})</f>
        <v>No</v>
      </c>
      <c r="N1477" s="5">
        <v>46179</v>
      </c>
      <c r="O1477" s="1" t="s">
        <v>68</v>
      </c>
      <c r="P1477" t="s">
        <v>35</v>
      </c>
      <c r="Q1477" t="str">
        <f>IF(Excel_Advanced_Sales_Dataset_2000__3[[#This Row],[Delivery Status]]="Pending","Follow Up","Ok")</f>
        <v>Ok</v>
      </c>
      <c r="R1477" s="1" t="s">
        <v>36</v>
      </c>
      <c r="S1477">
        <f>Excel_Advanced_Sales_Dataset_2000__3[[#This Row],[Quantity]]*Excel_Advanced_Sales_Dataset_2000__3[[#This Row],[Unit Price]]*Excel_Advanced_Sales_Dataset_2000__3[[#This Row],[Discount %]]/100</f>
        <v>52.202039999999997</v>
      </c>
      <c r="T1477" s="4">
        <f>Excel_Advanced_Sales_Dataset_2000__3[[#This Row],[Quantity]]*Excel_Advanced_Sales_Dataset_2000__3[[#This Row],[Unit Price]]-Excel_Advanced_Sales_Dataset_2000__3[[#This Row],[Discount Amount]]</f>
        <v>1785.89796</v>
      </c>
    </row>
    <row r="1478" spans="1:20" x14ac:dyDescent="0.25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>
        <v>20</v>
      </c>
      <c r="J1478" s="4">
        <v>31009.73</v>
      </c>
      <c r="K1478" s="6">
        <v>19.61</v>
      </c>
      <c r="L1478" s="4">
        <v>498574.44</v>
      </c>
      <c r="M1478" s="4" t="str" cm="1">
        <f t="array" ref="M1478">IF(Excel_Advanced_Sales_Dataset_2000__3[[#This Row],[Total Sales]]&gt;50000,{"Yes"},{"No"})</f>
        <v>Yes</v>
      </c>
      <c r="N1478" s="5">
        <v>46292</v>
      </c>
      <c r="O1478" s="1" t="s">
        <v>58</v>
      </c>
      <c r="P1478" t="s">
        <v>35</v>
      </c>
      <c r="Q1478" t="str">
        <f>IF(Excel_Advanced_Sales_Dataset_2000__3[[#This Row],[Delivery Status]]="Pending","Follow Up","Ok")</f>
        <v>Ok</v>
      </c>
      <c r="R1478" s="1" t="s">
        <v>26</v>
      </c>
      <c r="S1478">
        <f>Excel_Advanced_Sales_Dataset_2000__3[[#This Row],[Quantity]]*Excel_Advanced_Sales_Dataset_2000__3[[#This Row],[Unit Price]]*Excel_Advanced_Sales_Dataset_2000__3[[#This Row],[Discount %]]/100</f>
        <v>121620.16105999998</v>
      </c>
      <c r="T1478" s="4">
        <f>Excel_Advanced_Sales_Dataset_2000__3[[#This Row],[Quantity]]*Excel_Advanced_Sales_Dataset_2000__3[[#This Row],[Unit Price]]-Excel_Advanced_Sales_Dataset_2000__3[[#This Row],[Discount Amount]]</f>
        <v>498574.43894000002</v>
      </c>
    </row>
    <row r="1479" spans="1:20" x14ac:dyDescent="0.25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>
        <v>41</v>
      </c>
      <c r="J1479" s="4">
        <v>19382.23</v>
      </c>
      <c r="K1479" s="6">
        <v>15.22</v>
      </c>
      <c r="L1479" s="4">
        <v>673722.44</v>
      </c>
      <c r="M1479" s="4" t="str" cm="1">
        <f t="array" ref="M1479">IF(Excel_Advanced_Sales_Dataset_2000__3[[#This Row],[Total Sales]]&gt;50000,{"Yes"},{"No"})</f>
        <v>Yes</v>
      </c>
      <c r="N1479" s="5">
        <v>46060</v>
      </c>
      <c r="O1479" s="1" t="s">
        <v>24</v>
      </c>
      <c r="P1479" t="s">
        <v>25</v>
      </c>
      <c r="Q1479" t="str">
        <f>IF(Excel_Advanced_Sales_Dataset_2000__3[[#This Row],[Delivery Status]]="Pending","Follow Up","Ok")</f>
        <v>Follow Up</v>
      </c>
      <c r="R1479" s="1" t="s">
        <v>53</v>
      </c>
      <c r="S1479">
        <f>Excel_Advanced_Sales_Dataset_2000__3[[#This Row],[Quantity]]*Excel_Advanced_Sales_Dataset_2000__3[[#This Row],[Unit Price]]*Excel_Advanced_Sales_Dataset_2000__3[[#This Row],[Discount %]]/100</f>
        <v>120948.99164599999</v>
      </c>
      <c r="T1479" s="4">
        <f>Excel_Advanced_Sales_Dataset_2000__3[[#This Row],[Quantity]]*Excel_Advanced_Sales_Dataset_2000__3[[#This Row],[Unit Price]]-Excel_Advanced_Sales_Dataset_2000__3[[#This Row],[Discount Amount]]</f>
        <v>673722.43835399998</v>
      </c>
    </row>
    <row r="1480" spans="1:20" x14ac:dyDescent="0.25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>
        <v>35</v>
      </c>
      <c r="J1480" s="4">
        <v>29519.11</v>
      </c>
      <c r="K1480" s="6">
        <v>16.96</v>
      </c>
      <c r="L1480" s="4">
        <v>857943.41</v>
      </c>
      <c r="M1480" s="4" t="str" cm="1">
        <f t="array" ref="M1480">IF(Excel_Advanced_Sales_Dataset_2000__3[[#This Row],[Total Sales]]&gt;50000,{"Yes"},{"No"})</f>
        <v>Yes</v>
      </c>
      <c r="N1480" s="5">
        <v>46272</v>
      </c>
      <c r="O1480" s="1" t="s">
        <v>68</v>
      </c>
      <c r="P1480" t="s">
        <v>35</v>
      </c>
      <c r="Q1480" t="str">
        <f>IF(Excel_Advanced_Sales_Dataset_2000__3[[#This Row],[Delivery Status]]="Pending","Follow Up","Ok")</f>
        <v>Ok</v>
      </c>
      <c r="R1480" s="1" t="s">
        <v>36</v>
      </c>
      <c r="S1480">
        <f>Excel_Advanced_Sales_Dataset_2000__3[[#This Row],[Quantity]]*Excel_Advanced_Sales_Dataset_2000__3[[#This Row],[Unit Price]]*Excel_Advanced_Sales_Dataset_2000__3[[#This Row],[Discount %]]/100</f>
        <v>175225.43696000002</v>
      </c>
      <c r="T1480" s="4">
        <f>Excel_Advanced_Sales_Dataset_2000__3[[#This Row],[Quantity]]*Excel_Advanced_Sales_Dataset_2000__3[[#This Row],[Unit Price]]-Excel_Advanced_Sales_Dataset_2000__3[[#This Row],[Discount Amount]]</f>
        <v>857943.41304000001</v>
      </c>
    </row>
    <row r="1481" spans="1:20" x14ac:dyDescent="0.25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>
        <v>43</v>
      </c>
      <c r="J1481" s="4">
        <v>13342.24</v>
      </c>
      <c r="K1481" s="6">
        <v>0.89</v>
      </c>
      <c r="L1481" s="4">
        <v>568610.24</v>
      </c>
      <c r="M1481" s="4" t="str" cm="1">
        <f t="array" ref="M1481">IF(Excel_Advanced_Sales_Dataset_2000__3[[#This Row],[Total Sales]]&gt;50000,{"Yes"},{"No"})</f>
        <v>Yes</v>
      </c>
      <c r="N1481" s="5">
        <v>46074</v>
      </c>
      <c r="O1481" s="1" t="s">
        <v>45</v>
      </c>
      <c r="P1481" t="s">
        <v>35</v>
      </c>
      <c r="Q1481" t="str">
        <f>IF(Excel_Advanced_Sales_Dataset_2000__3[[#This Row],[Delivery Status]]="Pending","Follow Up","Ok")</f>
        <v>Ok</v>
      </c>
      <c r="R1481" s="1" t="s">
        <v>53</v>
      </c>
      <c r="S1481">
        <f>Excel_Advanced_Sales_Dataset_2000__3[[#This Row],[Quantity]]*Excel_Advanced_Sales_Dataset_2000__3[[#This Row],[Unit Price]]*Excel_Advanced_Sales_Dataset_2000__3[[#This Row],[Discount %]]/100</f>
        <v>5106.0752479999992</v>
      </c>
      <c r="T1481" s="4">
        <f>Excel_Advanced_Sales_Dataset_2000__3[[#This Row],[Quantity]]*Excel_Advanced_Sales_Dataset_2000__3[[#This Row],[Unit Price]]-Excel_Advanced_Sales_Dataset_2000__3[[#This Row],[Discount Amount]]</f>
        <v>568610.24475199997</v>
      </c>
    </row>
    <row r="1482" spans="1:20" x14ac:dyDescent="0.25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>
        <v>46</v>
      </c>
      <c r="J1482" s="4">
        <v>20349.240000000002</v>
      </c>
      <c r="K1482" s="6">
        <v>18.28</v>
      </c>
      <c r="L1482" s="4">
        <v>764952.35</v>
      </c>
      <c r="M1482" s="4" t="str" cm="1">
        <f t="array" ref="M1482">IF(Excel_Advanced_Sales_Dataset_2000__3[[#This Row],[Total Sales]]&gt;50000,{"Yes"},{"No"})</f>
        <v>Yes</v>
      </c>
      <c r="N1482" s="5">
        <v>46062</v>
      </c>
      <c r="O1482" s="1" t="s">
        <v>113</v>
      </c>
      <c r="P1482" t="s">
        <v>35</v>
      </c>
      <c r="Q1482" t="str">
        <f>IF(Excel_Advanced_Sales_Dataset_2000__3[[#This Row],[Delivery Status]]="Pending","Follow Up","Ok")</f>
        <v>Ok</v>
      </c>
      <c r="R1482" s="1" t="s">
        <v>26</v>
      </c>
      <c r="S1482">
        <f>Excel_Advanced_Sales_Dataset_2000__3[[#This Row],[Quantity]]*Excel_Advanced_Sales_Dataset_2000__3[[#This Row],[Unit Price]]*Excel_Advanced_Sales_Dataset_2000__3[[#This Row],[Discount %]]/100</f>
        <v>171112.689312</v>
      </c>
      <c r="T1482" s="4">
        <f>Excel_Advanced_Sales_Dataset_2000__3[[#This Row],[Quantity]]*Excel_Advanced_Sales_Dataset_2000__3[[#This Row],[Unit Price]]-Excel_Advanced_Sales_Dataset_2000__3[[#This Row],[Discount Amount]]</f>
        <v>764952.35068799998</v>
      </c>
    </row>
    <row r="1483" spans="1:20" x14ac:dyDescent="0.25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>
        <v>31</v>
      </c>
      <c r="J1483" s="4">
        <v>2673</v>
      </c>
      <c r="K1483" s="6">
        <v>3.9</v>
      </c>
      <c r="L1483" s="4">
        <v>79631.34</v>
      </c>
      <c r="M1483" s="4" t="str" cm="1">
        <f t="array" ref="M1483">IF(Excel_Advanced_Sales_Dataset_2000__3[[#This Row],[Total Sales]]&gt;50000,{"Yes"},{"No"})</f>
        <v>Yes</v>
      </c>
      <c r="N1483" s="5">
        <v>46120</v>
      </c>
      <c r="O1483" s="1" t="s">
        <v>68</v>
      </c>
      <c r="P1483" t="s">
        <v>35</v>
      </c>
      <c r="Q1483" t="str">
        <f>IF(Excel_Advanced_Sales_Dataset_2000__3[[#This Row],[Delivery Status]]="Pending","Follow Up","Ok")</f>
        <v>Ok</v>
      </c>
      <c r="R1483" s="1" t="s">
        <v>36</v>
      </c>
      <c r="S1483">
        <f>Excel_Advanced_Sales_Dataset_2000__3[[#This Row],[Quantity]]*Excel_Advanced_Sales_Dataset_2000__3[[#This Row],[Unit Price]]*Excel_Advanced_Sales_Dataset_2000__3[[#This Row],[Discount %]]/100</f>
        <v>3231.6570000000002</v>
      </c>
      <c r="T1483" s="4">
        <f>Excel_Advanced_Sales_Dataset_2000__3[[#This Row],[Quantity]]*Excel_Advanced_Sales_Dataset_2000__3[[#This Row],[Unit Price]]-Excel_Advanced_Sales_Dataset_2000__3[[#This Row],[Discount Amount]]</f>
        <v>79631.342999999993</v>
      </c>
    </row>
    <row r="1484" spans="1:20" x14ac:dyDescent="0.25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>
        <v>43</v>
      </c>
      <c r="J1484" s="4">
        <v>34544.879999999997</v>
      </c>
      <c r="K1484" s="6">
        <v>3.88</v>
      </c>
      <c r="L1484" s="4">
        <v>1427795.16</v>
      </c>
      <c r="M1484" s="4" t="str" cm="1">
        <f t="array" ref="M1484">IF(Excel_Advanced_Sales_Dataset_2000__3[[#This Row],[Total Sales]]&gt;50000,{"Yes"},{"No"})</f>
        <v>Yes</v>
      </c>
      <c r="N1484" s="5">
        <v>46151</v>
      </c>
      <c r="O1484" s="1" t="s">
        <v>24</v>
      </c>
      <c r="P1484" t="s">
        <v>35</v>
      </c>
      <c r="Q1484" t="str">
        <f>IF(Excel_Advanced_Sales_Dataset_2000__3[[#This Row],[Delivery Status]]="Pending","Follow Up","Ok")</f>
        <v>Ok</v>
      </c>
      <c r="R1484" s="1" t="s">
        <v>36</v>
      </c>
      <c r="S1484">
        <f>Excel_Advanced_Sales_Dataset_2000__3[[#This Row],[Quantity]]*Excel_Advanced_Sales_Dataset_2000__3[[#This Row],[Unit Price]]*Excel_Advanced_Sales_Dataset_2000__3[[#This Row],[Discount %]]/100</f>
        <v>57634.677791999988</v>
      </c>
      <c r="T1484" s="4">
        <f>Excel_Advanced_Sales_Dataset_2000__3[[#This Row],[Quantity]]*Excel_Advanced_Sales_Dataset_2000__3[[#This Row],[Unit Price]]-Excel_Advanced_Sales_Dataset_2000__3[[#This Row],[Discount Amount]]</f>
        <v>1427795.162208</v>
      </c>
    </row>
    <row r="1485" spans="1:20" x14ac:dyDescent="0.25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>
        <v>50</v>
      </c>
      <c r="J1485" s="4">
        <v>4392.8100000000004</v>
      </c>
      <c r="K1485" s="6">
        <v>9.57</v>
      </c>
      <c r="L1485" s="4">
        <v>198620.9</v>
      </c>
      <c r="M1485" s="4" t="str" cm="1">
        <f t="array" ref="M1485">IF(Excel_Advanced_Sales_Dataset_2000__3[[#This Row],[Total Sales]]&gt;50000,{"Yes"},{"No"})</f>
        <v>Yes</v>
      </c>
      <c r="N1485" s="5">
        <v>46175</v>
      </c>
      <c r="O1485" s="1" t="s">
        <v>45</v>
      </c>
      <c r="P1485" t="s">
        <v>35</v>
      </c>
      <c r="Q1485" t="str">
        <f>IF(Excel_Advanced_Sales_Dataset_2000__3[[#This Row],[Delivery Status]]="Pending","Follow Up","Ok")</f>
        <v>Ok</v>
      </c>
      <c r="R1485" s="1" t="s">
        <v>53</v>
      </c>
      <c r="S1485">
        <f>Excel_Advanced_Sales_Dataset_2000__3[[#This Row],[Quantity]]*Excel_Advanced_Sales_Dataset_2000__3[[#This Row],[Unit Price]]*Excel_Advanced_Sales_Dataset_2000__3[[#This Row],[Discount %]]/100</f>
        <v>21019.595850000005</v>
      </c>
      <c r="T1485" s="4">
        <f>Excel_Advanced_Sales_Dataset_2000__3[[#This Row],[Quantity]]*Excel_Advanced_Sales_Dataset_2000__3[[#This Row],[Unit Price]]-Excel_Advanced_Sales_Dataset_2000__3[[#This Row],[Discount Amount]]</f>
        <v>198620.90415000002</v>
      </c>
    </row>
    <row r="1486" spans="1:20" x14ac:dyDescent="0.25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>
        <v>13</v>
      </c>
      <c r="J1486" s="4">
        <v>35687.620000000003</v>
      </c>
      <c r="K1486" s="6">
        <v>16.86</v>
      </c>
      <c r="L1486" s="4">
        <v>385718.93</v>
      </c>
      <c r="M1486" s="4" t="str" cm="1">
        <f t="array" ref="M1486">IF(Excel_Advanced_Sales_Dataset_2000__3[[#This Row],[Total Sales]]&gt;50000,{"Yes"},{"No"})</f>
        <v>Yes</v>
      </c>
      <c r="N1486" s="5">
        <v>46213</v>
      </c>
      <c r="O1486" s="1" t="s">
        <v>68</v>
      </c>
      <c r="P1486" t="s">
        <v>35</v>
      </c>
      <c r="Q1486" t="str">
        <f>IF(Excel_Advanced_Sales_Dataset_2000__3[[#This Row],[Delivery Status]]="Pending","Follow Up","Ok")</f>
        <v>Ok</v>
      </c>
      <c r="R1486" s="1" t="s">
        <v>36</v>
      </c>
      <c r="S1486">
        <f>Excel_Advanced_Sales_Dataset_2000__3[[#This Row],[Quantity]]*Excel_Advanced_Sales_Dataset_2000__3[[#This Row],[Unit Price]]*Excel_Advanced_Sales_Dataset_2000__3[[#This Row],[Discount %]]/100</f>
        <v>78220.125516000015</v>
      </c>
      <c r="T1486" s="4">
        <f>Excel_Advanced_Sales_Dataset_2000__3[[#This Row],[Quantity]]*Excel_Advanced_Sales_Dataset_2000__3[[#This Row],[Unit Price]]-Excel_Advanced_Sales_Dataset_2000__3[[#This Row],[Discount Amount]]</f>
        <v>385718.93448400003</v>
      </c>
    </row>
    <row r="1487" spans="1:20" x14ac:dyDescent="0.25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>
        <v>35</v>
      </c>
      <c r="J1487" s="4">
        <v>47895.22</v>
      </c>
      <c r="K1487" s="6">
        <v>7.67</v>
      </c>
      <c r="L1487" s="4">
        <v>1547757.98</v>
      </c>
      <c r="M1487" s="4" t="str" cm="1">
        <f t="array" ref="M1487">IF(Excel_Advanced_Sales_Dataset_2000__3[[#This Row],[Total Sales]]&gt;50000,{"Yes"},{"No"})</f>
        <v>Yes</v>
      </c>
      <c r="N1487" s="5">
        <v>46105</v>
      </c>
      <c r="O1487" s="1" t="s">
        <v>113</v>
      </c>
      <c r="P1487" t="s">
        <v>25</v>
      </c>
      <c r="Q1487" t="str">
        <f>IF(Excel_Advanced_Sales_Dataset_2000__3[[#This Row],[Delivery Status]]="Pending","Follow Up","Ok")</f>
        <v>Follow Up</v>
      </c>
      <c r="R1487" s="1" t="s">
        <v>53</v>
      </c>
      <c r="S1487">
        <f>Excel_Advanced_Sales_Dataset_2000__3[[#This Row],[Quantity]]*Excel_Advanced_Sales_Dataset_2000__3[[#This Row],[Unit Price]]*Excel_Advanced_Sales_Dataset_2000__3[[#This Row],[Discount %]]/100</f>
        <v>128574.71809000001</v>
      </c>
      <c r="T1487" s="4">
        <f>Excel_Advanced_Sales_Dataset_2000__3[[#This Row],[Quantity]]*Excel_Advanced_Sales_Dataset_2000__3[[#This Row],[Unit Price]]-Excel_Advanced_Sales_Dataset_2000__3[[#This Row],[Discount Amount]]</f>
        <v>1547757.9819099999</v>
      </c>
    </row>
    <row r="1488" spans="1:20" x14ac:dyDescent="0.25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>
        <v>46</v>
      </c>
      <c r="J1488" s="4">
        <v>43763.99</v>
      </c>
      <c r="K1488" s="6">
        <v>6.36</v>
      </c>
      <c r="L1488" s="4">
        <v>1885107.61</v>
      </c>
      <c r="M1488" s="4" t="str" cm="1">
        <f t="array" ref="M1488">IF(Excel_Advanced_Sales_Dataset_2000__3[[#This Row],[Total Sales]]&gt;50000,{"Yes"},{"No"})</f>
        <v>Yes</v>
      </c>
      <c r="N1488" s="5">
        <v>46217</v>
      </c>
      <c r="O1488" s="1" t="s">
        <v>45</v>
      </c>
      <c r="P1488" t="s">
        <v>59</v>
      </c>
      <c r="Q1488" t="str">
        <f>IF(Excel_Advanced_Sales_Dataset_2000__3[[#This Row],[Delivery Status]]="Pending","Follow Up","Ok")</f>
        <v>Ok</v>
      </c>
      <c r="R1488" s="1" t="s">
        <v>36</v>
      </c>
      <c r="S1488">
        <f>Excel_Advanced_Sales_Dataset_2000__3[[#This Row],[Quantity]]*Excel_Advanced_Sales_Dataset_2000__3[[#This Row],[Unit Price]]*Excel_Advanced_Sales_Dataset_2000__3[[#This Row],[Discount %]]/100</f>
        <v>128035.92914399999</v>
      </c>
      <c r="T1488" s="4">
        <f>Excel_Advanced_Sales_Dataset_2000__3[[#This Row],[Quantity]]*Excel_Advanced_Sales_Dataset_2000__3[[#This Row],[Unit Price]]-Excel_Advanced_Sales_Dataset_2000__3[[#This Row],[Discount Amount]]</f>
        <v>1885107.6108559999</v>
      </c>
    </row>
    <row r="1489" spans="1:20" x14ac:dyDescent="0.25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>
        <v>29</v>
      </c>
      <c r="J1489" s="4">
        <v>23045.84</v>
      </c>
      <c r="K1489" s="6">
        <v>18.079999999999998</v>
      </c>
      <c r="L1489" s="4">
        <v>547495.41</v>
      </c>
      <c r="M1489" s="4" t="str" cm="1">
        <f t="array" ref="M1489">IF(Excel_Advanced_Sales_Dataset_2000__3[[#This Row],[Total Sales]]&gt;50000,{"Yes"},{"No"})</f>
        <v>Yes</v>
      </c>
      <c r="N1489" s="5">
        <v>46220</v>
      </c>
      <c r="O1489" s="1" t="s">
        <v>45</v>
      </c>
      <c r="P1489" t="s">
        <v>35</v>
      </c>
      <c r="Q1489" t="str">
        <f>IF(Excel_Advanced_Sales_Dataset_2000__3[[#This Row],[Delivery Status]]="Pending","Follow Up","Ok")</f>
        <v>Ok</v>
      </c>
      <c r="R1489" s="1" t="s">
        <v>36</v>
      </c>
      <c r="S1489">
        <f>Excel_Advanced_Sales_Dataset_2000__3[[#This Row],[Quantity]]*Excel_Advanced_Sales_Dataset_2000__3[[#This Row],[Unit Price]]*Excel_Advanced_Sales_Dataset_2000__3[[#This Row],[Discount %]]/100</f>
        <v>120833.94828799999</v>
      </c>
      <c r="T1489" s="4">
        <f>Excel_Advanced_Sales_Dataset_2000__3[[#This Row],[Quantity]]*Excel_Advanced_Sales_Dataset_2000__3[[#This Row],[Unit Price]]-Excel_Advanced_Sales_Dataset_2000__3[[#This Row],[Discount Amount]]</f>
        <v>547495.41171200003</v>
      </c>
    </row>
    <row r="1490" spans="1:20" x14ac:dyDescent="0.25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>
        <v>29</v>
      </c>
      <c r="J1490" s="4">
        <v>15949.5</v>
      </c>
      <c r="K1490" s="6">
        <v>19.899999999999999</v>
      </c>
      <c r="L1490" s="4">
        <v>370490.94</v>
      </c>
      <c r="M1490" s="4" t="str" cm="1">
        <f t="array" ref="M1490">IF(Excel_Advanced_Sales_Dataset_2000__3[[#This Row],[Total Sales]]&gt;50000,{"Yes"},{"No"})</f>
        <v>Yes</v>
      </c>
      <c r="N1490" s="5">
        <v>46031</v>
      </c>
      <c r="O1490" s="1" t="s">
        <v>68</v>
      </c>
      <c r="P1490" t="s">
        <v>35</v>
      </c>
      <c r="Q1490" t="str">
        <f>IF(Excel_Advanced_Sales_Dataset_2000__3[[#This Row],[Delivery Status]]="Pending","Follow Up","Ok")</f>
        <v>Ok</v>
      </c>
      <c r="R1490" s="1" t="s">
        <v>53</v>
      </c>
      <c r="S1490">
        <f>Excel_Advanced_Sales_Dataset_2000__3[[#This Row],[Quantity]]*Excel_Advanced_Sales_Dataset_2000__3[[#This Row],[Unit Price]]*Excel_Advanced_Sales_Dataset_2000__3[[#This Row],[Discount %]]/100</f>
        <v>92044.564499999993</v>
      </c>
      <c r="T1490" s="4">
        <f>Excel_Advanced_Sales_Dataset_2000__3[[#This Row],[Quantity]]*Excel_Advanced_Sales_Dataset_2000__3[[#This Row],[Unit Price]]-Excel_Advanced_Sales_Dataset_2000__3[[#This Row],[Discount Amount]]</f>
        <v>370490.93550000002</v>
      </c>
    </row>
    <row r="1491" spans="1:20" x14ac:dyDescent="0.25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>
        <v>2</v>
      </c>
      <c r="J1491" s="4">
        <v>17100.41</v>
      </c>
      <c r="K1491" s="6">
        <v>14.28</v>
      </c>
      <c r="L1491" s="4">
        <v>29316.94</v>
      </c>
      <c r="M1491" s="4" t="str" cm="1">
        <f t="array" ref="M1491">IF(Excel_Advanced_Sales_Dataset_2000__3[[#This Row],[Total Sales]]&gt;50000,{"Yes"},{"No"})</f>
        <v>No</v>
      </c>
      <c r="N1491" s="5">
        <v>46263</v>
      </c>
      <c r="O1491" s="1" t="s">
        <v>45</v>
      </c>
      <c r="P1491" t="s">
        <v>35</v>
      </c>
      <c r="Q1491" t="str">
        <f>IF(Excel_Advanced_Sales_Dataset_2000__3[[#This Row],[Delivery Status]]="Pending","Follow Up","Ok")</f>
        <v>Ok</v>
      </c>
      <c r="R1491" s="1" t="s">
        <v>26</v>
      </c>
      <c r="S1491">
        <f>Excel_Advanced_Sales_Dataset_2000__3[[#This Row],[Quantity]]*Excel_Advanced_Sales_Dataset_2000__3[[#This Row],[Unit Price]]*Excel_Advanced_Sales_Dataset_2000__3[[#This Row],[Discount %]]/100</f>
        <v>4883.8770960000002</v>
      </c>
      <c r="T1491" s="4">
        <f>Excel_Advanced_Sales_Dataset_2000__3[[#This Row],[Quantity]]*Excel_Advanced_Sales_Dataset_2000__3[[#This Row],[Unit Price]]-Excel_Advanced_Sales_Dataset_2000__3[[#This Row],[Discount Amount]]</f>
        <v>29316.942904</v>
      </c>
    </row>
    <row r="1492" spans="1:20" x14ac:dyDescent="0.25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>
        <v>14</v>
      </c>
      <c r="J1492" s="4">
        <v>45808.17</v>
      </c>
      <c r="K1492" s="6">
        <v>3.28</v>
      </c>
      <c r="L1492" s="4">
        <v>620279.27</v>
      </c>
      <c r="M1492" s="4" t="str" cm="1">
        <f t="array" ref="M1492">IF(Excel_Advanced_Sales_Dataset_2000__3[[#This Row],[Total Sales]]&gt;50000,{"Yes"},{"No"})</f>
        <v>Yes</v>
      </c>
      <c r="N1492" s="5">
        <v>46164</v>
      </c>
      <c r="O1492" s="1" t="s">
        <v>45</v>
      </c>
      <c r="P1492" t="s">
        <v>35</v>
      </c>
      <c r="Q1492" t="str">
        <f>IF(Excel_Advanced_Sales_Dataset_2000__3[[#This Row],[Delivery Status]]="Pending","Follow Up","Ok")</f>
        <v>Ok</v>
      </c>
      <c r="R1492" s="1" t="s">
        <v>53</v>
      </c>
      <c r="S1492">
        <f>Excel_Advanced_Sales_Dataset_2000__3[[#This Row],[Quantity]]*Excel_Advanced_Sales_Dataset_2000__3[[#This Row],[Unit Price]]*Excel_Advanced_Sales_Dataset_2000__3[[#This Row],[Discount %]]/100</f>
        <v>21035.111664</v>
      </c>
      <c r="T1492" s="4">
        <f>Excel_Advanced_Sales_Dataset_2000__3[[#This Row],[Quantity]]*Excel_Advanced_Sales_Dataset_2000__3[[#This Row],[Unit Price]]-Excel_Advanced_Sales_Dataset_2000__3[[#This Row],[Discount Amount]]</f>
        <v>620279.26833600004</v>
      </c>
    </row>
    <row r="1493" spans="1:20" x14ac:dyDescent="0.25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>
        <v>6</v>
      </c>
      <c r="J1493" s="4">
        <v>36735.97</v>
      </c>
      <c r="K1493" s="6">
        <v>1.44</v>
      </c>
      <c r="L1493" s="4">
        <v>217241.83</v>
      </c>
      <c r="M1493" s="4" t="str" cm="1">
        <f t="array" ref="M1493">IF(Excel_Advanced_Sales_Dataset_2000__3[[#This Row],[Total Sales]]&gt;50000,{"Yes"},{"No"})</f>
        <v>Yes</v>
      </c>
      <c r="N1493" s="5">
        <v>46046</v>
      </c>
      <c r="O1493" s="1" t="s">
        <v>58</v>
      </c>
      <c r="P1493" t="s">
        <v>35</v>
      </c>
      <c r="Q1493" t="str">
        <f>IF(Excel_Advanced_Sales_Dataset_2000__3[[#This Row],[Delivery Status]]="Pending","Follow Up","Ok")</f>
        <v>Ok</v>
      </c>
      <c r="R1493" s="1" t="s">
        <v>53</v>
      </c>
      <c r="S1493">
        <f>Excel_Advanced_Sales_Dataset_2000__3[[#This Row],[Quantity]]*Excel_Advanced_Sales_Dataset_2000__3[[#This Row],[Unit Price]]*Excel_Advanced_Sales_Dataset_2000__3[[#This Row],[Discount %]]/100</f>
        <v>3173.9878079999999</v>
      </c>
      <c r="T1493" s="4">
        <f>Excel_Advanced_Sales_Dataset_2000__3[[#This Row],[Quantity]]*Excel_Advanced_Sales_Dataset_2000__3[[#This Row],[Unit Price]]-Excel_Advanced_Sales_Dataset_2000__3[[#This Row],[Discount Amount]]</f>
        <v>217241.832192</v>
      </c>
    </row>
    <row r="1494" spans="1:20" x14ac:dyDescent="0.25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>
        <v>14</v>
      </c>
      <c r="J1494" s="4">
        <v>23790.73</v>
      </c>
      <c r="K1494" s="6">
        <v>2.9</v>
      </c>
      <c r="L1494" s="4">
        <v>323411.18</v>
      </c>
      <c r="M1494" s="4" t="str" cm="1">
        <f t="array" ref="M1494">IF(Excel_Advanced_Sales_Dataset_2000__3[[#This Row],[Total Sales]]&gt;50000,{"Yes"},{"No"})</f>
        <v>Yes</v>
      </c>
      <c r="N1494" s="5">
        <v>46053</v>
      </c>
      <c r="O1494" s="1" t="s">
        <v>58</v>
      </c>
      <c r="P1494" t="s">
        <v>35</v>
      </c>
      <c r="Q1494" t="str">
        <f>IF(Excel_Advanced_Sales_Dataset_2000__3[[#This Row],[Delivery Status]]="Pending","Follow Up","Ok")</f>
        <v>Ok</v>
      </c>
      <c r="R1494" s="1" t="s">
        <v>53</v>
      </c>
      <c r="S1494">
        <f>Excel_Advanced_Sales_Dataset_2000__3[[#This Row],[Quantity]]*Excel_Advanced_Sales_Dataset_2000__3[[#This Row],[Unit Price]]*Excel_Advanced_Sales_Dataset_2000__3[[#This Row],[Discount %]]/100</f>
        <v>9659.0363799999996</v>
      </c>
      <c r="T1494" s="4">
        <f>Excel_Advanced_Sales_Dataset_2000__3[[#This Row],[Quantity]]*Excel_Advanced_Sales_Dataset_2000__3[[#This Row],[Unit Price]]-Excel_Advanced_Sales_Dataset_2000__3[[#This Row],[Discount Amount]]</f>
        <v>323411.18361999997</v>
      </c>
    </row>
    <row r="1495" spans="1:20" x14ac:dyDescent="0.25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>
        <v>9</v>
      </c>
      <c r="J1495" s="4">
        <v>39233.949999999997</v>
      </c>
      <c r="K1495" s="6">
        <v>10.46</v>
      </c>
      <c r="L1495" s="4">
        <v>316170.71000000002</v>
      </c>
      <c r="M1495" s="4" t="str" cm="1">
        <f t="array" ref="M1495">IF(Excel_Advanced_Sales_Dataset_2000__3[[#This Row],[Total Sales]]&gt;50000,{"Yes"},{"No"})</f>
        <v>Yes</v>
      </c>
      <c r="N1495" s="5">
        <v>46210</v>
      </c>
      <c r="O1495" s="1" t="s">
        <v>68</v>
      </c>
      <c r="P1495" t="s">
        <v>35</v>
      </c>
      <c r="Q1495" t="str">
        <f>IF(Excel_Advanced_Sales_Dataset_2000__3[[#This Row],[Delivery Status]]="Pending","Follow Up","Ok")</f>
        <v>Ok</v>
      </c>
      <c r="R1495" s="1" t="s">
        <v>53</v>
      </c>
      <c r="S1495">
        <f>Excel_Advanced_Sales_Dataset_2000__3[[#This Row],[Quantity]]*Excel_Advanced_Sales_Dataset_2000__3[[#This Row],[Unit Price]]*Excel_Advanced_Sales_Dataset_2000__3[[#This Row],[Discount %]]/100</f>
        <v>36934.840530000001</v>
      </c>
      <c r="T1495" s="4">
        <f>Excel_Advanced_Sales_Dataset_2000__3[[#This Row],[Quantity]]*Excel_Advanced_Sales_Dataset_2000__3[[#This Row],[Unit Price]]-Excel_Advanced_Sales_Dataset_2000__3[[#This Row],[Discount Amount]]</f>
        <v>316170.70947</v>
      </c>
    </row>
    <row r="1496" spans="1:20" x14ac:dyDescent="0.25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>
        <v>41</v>
      </c>
      <c r="J1496" s="4">
        <v>19900.54</v>
      </c>
      <c r="K1496" s="6">
        <v>6.64</v>
      </c>
      <c r="L1496" s="4">
        <v>761744.91</v>
      </c>
      <c r="M1496" s="4" t="str" cm="1">
        <f t="array" ref="M1496">IF(Excel_Advanced_Sales_Dataset_2000__3[[#This Row],[Total Sales]]&gt;50000,{"Yes"},{"No"})</f>
        <v>Yes</v>
      </c>
      <c r="N1496" s="5">
        <v>46348</v>
      </c>
      <c r="O1496" s="1" t="s">
        <v>45</v>
      </c>
      <c r="P1496" t="s">
        <v>25</v>
      </c>
      <c r="Q1496" t="str">
        <f>IF(Excel_Advanced_Sales_Dataset_2000__3[[#This Row],[Delivery Status]]="Pending","Follow Up","Ok")</f>
        <v>Follow Up</v>
      </c>
      <c r="R1496" s="1" t="s">
        <v>26</v>
      </c>
      <c r="S1496">
        <f>Excel_Advanced_Sales_Dataset_2000__3[[#This Row],[Quantity]]*Excel_Advanced_Sales_Dataset_2000__3[[#This Row],[Unit Price]]*Excel_Advanced_Sales_Dataset_2000__3[[#This Row],[Discount %]]/100</f>
        <v>54177.230095999992</v>
      </c>
      <c r="T1496" s="4">
        <f>Excel_Advanced_Sales_Dataset_2000__3[[#This Row],[Quantity]]*Excel_Advanced_Sales_Dataset_2000__3[[#This Row],[Unit Price]]-Excel_Advanced_Sales_Dataset_2000__3[[#This Row],[Discount Amount]]</f>
        <v>761744.909904</v>
      </c>
    </row>
    <row r="1497" spans="1:20" x14ac:dyDescent="0.25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>
        <v>35</v>
      </c>
      <c r="J1497" s="4">
        <v>31015.4</v>
      </c>
      <c r="K1497" s="6">
        <v>10.17</v>
      </c>
      <c r="L1497" s="4">
        <v>975139.68</v>
      </c>
      <c r="M1497" s="4" t="str" cm="1">
        <f t="array" ref="M1497">IF(Excel_Advanced_Sales_Dataset_2000__3[[#This Row],[Total Sales]]&gt;50000,{"Yes"},{"No"})</f>
        <v>Yes</v>
      </c>
      <c r="N1497" s="5">
        <v>46081</v>
      </c>
      <c r="O1497" s="1" t="s">
        <v>45</v>
      </c>
      <c r="P1497" t="s">
        <v>35</v>
      </c>
      <c r="Q1497" t="str">
        <f>IF(Excel_Advanced_Sales_Dataset_2000__3[[#This Row],[Delivery Status]]="Pending","Follow Up","Ok")</f>
        <v>Ok</v>
      </c>
      <c r="R1497" s="1" t="s">
        <v>53</v>
      </c>
      <c r="S1497">
        <f>Excel_Advanced_Sales_Dataset_2000__3[[#This Row],[Quantity]]*Excel_Advanced_Sales_Dataset_2000__3[[#This Row],[Unit Price]]*Excel_Advanced_Sales_Dataset_2000__3[[#This Row],[Discount %]]/100</f>
        <v>110399.31630000001</v>
      </c>
      <c r="T1497" s="4">
        <f>Excel_Advanced_Sales_Dataset_2000__3[[#This Row],[Quantity]]*Excel_Advanced_Sales_Dataset_2000__3[[#This Row],[Unit Price]]-Excel_Advanced_Sales_Dataset_2000__3[[#This Row],[Discount Amount]]</f>
        <v>975139.68369999994</v>
      </c>
    </row>
    <row r="1498" spans="1:20" x14ac:dyDescent="0.25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>
        <v>39</v>
      </c>
      <c r="J1498" s="4">
        <v>5644.69</v>
      </c>
      <c r="K1498" s="6">
        <v>11.1</v>
      </c>
      <c r="L1498" s="4">
        <v>195707.05</v>
      </c>
      <c r="M1498" s="4" t="str" cm="1">
        <f t="array" ref="M1498">IF(Excel_Advanced_Sales_Dataset_2000__3[[#This Row],[Total Sales]]&gt;50000,{"Yes"},{"No"})</f>
        <v>Yes</v>
      </c>
      <c r="N1498" s="5">
        <v>46094</v>
      </c>
      <c r="O1498" s="1" t="s">
        <v>45</v>
      </c>
      <c r="P1498" t="s">
        <v>35</v>
      </c>
      <c r="Q1498" t="str">
        <f>IF(Excel_Advanced_Sales_Dataset_2000__3[[#This Row],[Delivery Status]]="Pending","Follow Up","Ok")</f>
        <v>Ok</v>
      </c>
      <c r="R1498" s="1" t="s">
        <v>36</v>
      </c>
      <c r="S1498">
        <f>Excel_Advanced_Sales_Dataset_2000__3[[#This Row],[Quantity]]*Excel_Advanced_Sales_Dataset_2000__3[[#This Row],[Unit Price]]*Excel_Advanced_Sales_Dataset_2000__3[[#This Row],[Discount %]]/100</f>
        <v>24435.863009999994</v>
      </c>
      <c r="T1498" s="4">
        <f>Excel_Advanced_Sales_Dataset_2000__3[[#This Row],[Quantity]]*Excel_Advanced_Sales_Dataset_2000__3[[#This Row],[Unit Price]]-Excel_Advanced_Sales_Dataset_2000__3[[#This Row],[Discount Amount]]</f>
        <v>195707.04698999997</v>
      </c>
    </row>
    <row r="1499" spans="1:20" x14ac:dyDescent="0.25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>
        <v>6</v>
      </c>
      <c r="J1499" s="4">
        <v>24638.39</v>
      </c>
      <c r="K1499" s="6">
        <v>1.82</v>
      </c>
      <c r="L1499" s="4">
        <v>145139.82999999999</v>
      </c>
      <c r="M1499" s="4" t="str" cm="1">
        <f t="array" ref="M1499">IF(Excel_Advanced_Sales_Dataset_2000__3[[#This Row],[Total Sales]]&gt;50000,{"Yes"},{"No"})</f>
        <v>Yes</v>
      </c>
      <c r="N1499" s="5">
        <v>46089</v>
      </c>
      <c r="O1499" s="1" t="s">
        <v>45</v>
      </c>
      <c r="P1499" t="s">
        <v>25</v>
      </c>
      <c r="Q1499" t="str">
        <f>IF(Excel_Advanced_Sales_Dataset_2000__3[[#This Row],[Delivery Status]]="Pending","Follow Up","Ok")</f>
        <v>Follow Up</v>
      </c>
      <c r="R1499" s="1" t="s">
        <v>26</v>
      </c>
      <c r="S1499">
        <f>Excel_Advanced_Sales_Dataset_2000__3[[#This Row],[Quantity]]*Excel_Advanced_Sales_Dataset_2000__3[[#This Row],[Unit Price]]*Excel_Advanced_Sales_Dataset_2000__3[[#This Row],[Discount %]]/100</f>
        <v>2690.5121880000002</v>
      </c>
      <c r="T1499" s="4">
        <f>Excel_Advanced_Sales_Dataset_2000__3[[#This Row],[Quantity]]*Excel_Advanced_Sales_Dataset_2000__3[[#This Row],[Unit Price]]-Excel_Advanced_Sales_Dataset_2000__3[[#This Row],[Discount Amount]]</f>
        <v>145139.827812</v>
      </c>
    </row>
    <row r="1500" spans="1:20" x14ac:dyDescent="0.25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>
        <v>46</v>
      </c>
      <c r="J1500" s="4">
        <v>6320.89</v>
      </c>
      <c r="K1500" s="6">
        <v>2.87</v>
      </c>
      <c r="L1500" s="4">
        <v>282416.09999999998</v>
      </c>
      <c r="M1500" s="4" t="str" cm="1">
        <f t="array" ref="M1500">IF(Excel_Advanced_Sales_Dataset_2000__3[[#This Row],[Total Sales]]&gt;50000,{"Yes"},{"No"})</f>
        <v>Yes</v>
      </c>
      <c r="N1500" s="5">
        <v>46336</v>
      </c>
      <c r="O1500" s="1" t="s">
        <v>68</v>
      </c>
      <c r="P1500" t="s">
        <v>35</v>
      </c>
      <c r="Q1500" t="str">
        <f>IF(Excel_Advanced_Sales_Dataset_2000__3[[#This Row],[Delivery Status]]="Pending","Follow Up","Ok")</f>
        <v>Ok</v>
      </c>
      <c r="R1500" s="1" t="s">
        <v>53</v>
      </c>
      <c r="S1500">
        <f>Excel_Advanced_Sales_Dataset_2000__3[[#This Row],[Quantity]]*Excel_Advanced_Sales_Dataset_2000__3[[#This Row],[Unit Price]]*Excel_Advanced_Sales_Dataset_2000__3[[#This Row],[Discount %]]/100</f>
        <v>8344.8389779999998</v>
      </c>
      <c r="T1500" s="4">
        <f>Excel_Advanced_Sales_Dataset_2000__3[[#This Row],[Quantity]]*Excel_Advanced_Sales_Dataset_2000__3[[#This Row],[Unit Price]]-Excel_Advanced_Sales_Dataset_2000__3[[#This Row],[Discount Amount]]</f>
        <v>282416.10102200002</v>
      </c>
    </row>
    <row r="1501" spans="1:20" x14ac:dyDescent="0.25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>
        <v>28</v>
      </c>
      <c r="J1501" s="4">
        <v>42773.25</v>
      </c>
      <c r="K1501" s="6">
        <v>12.72</v>
      </c>
      <c r="L1501" s="4">
        <v>1045309.79</v>
      </c>
      <c r="M1501" s="4" t="str" cm="1">
        <f t="array" ref="M1501">IF(Excel_Advanced_Sales_Dataset_2000__3[[#This Row],[Total Sales]]&gt;50000,{"Yes"},{"No"})</f>
        <v>Yes</v>
      </c>
      <c r="N1501" s="5">
        <v>46386</v>
      </c>
      <c r="O1501" s="1" t="s">
        <v>24</v>
      </c>
      <c r="P1501" t="s">
        <v>35</v>
      </c>
      <c r="Q1501" t="str">
        <f>IF(Excel_Advanced_Sales_Dataset_2000__3[[#This Row],[Delivery Status]]="Pending","Follow Up","Ok")</f>
        <v>Ok</v>
      </c>
      <c r="R1501" s="1" t="s">
        <v>26</v>
      </c>
      <c r="S1501">
        <f>Excel_Advanced_Sales_Dataset_2000__3[[#This Row],[Quantity]]*Excel_Advanced_Sales_Dataset_2000__3[[#This Row],[Unit Price]]*Excel_Advanced_Sales_Dataset_2000__3[[#This Row],[Discount %]]/100</f>
        <v>152341.2072</v>
      </c>
      <c r="T1501" s="4">
        <f>Excel_Advanced_Sales_Dataset_2000__3[[#This Row],[Quantity]]*Excel_Advanced_Sales_Dataset_2000__3[[#This Row],[Unit Price]]-Excel_Advanced_Sales_Dataset_2000__3[[#This Row],[Discount Amount]]</f>
        <v>1045309.7927999999</v>
      </c>
    </row>
    <row r="1502" spans="1:20" x14ac:dyDescent="0.25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>
        <v>46</v>
      </c>
      <c r="J1502" s="4">
        <v>16921.43</v>
      </c>
      <c r="K1502" s="6">
        <v>19.489999999999998</v>
      </c>
      <c r="L1502" s="4">
        <v>626678.39</v>
      </c>
      <c r="M1502" s="4" t="str" cm="1">
        <f t="array" ref="M1502">IF(Excel_Advanced_Sales_Dataset_2000__3[[#This Row],[Total Sales]]&gt;50000,{"Yes"},{"No"})</f>
        <v>Yes</v>
      </c>
      <c r="N1502" s="5">
        <v>46257</v>
      </c>
      <c r="O1502" s="1" t="s">
        <v>24</v>
      </c>
      <c r="P1502" t="s">
        <v>35</v>
      </c>
      <c r="Q1502" t="str">
        <f>IF(Excel_Advanced_Sales_Dataset_2000__3[[#This Row],[Delivery Status]]="Pending","Follow Up","Ok")</f>
        <v>Ok</v>
      </c>
      <c r="R1502" s="1" t="s">
        <v>26</v>
      </c>
      <c r="S1502">
        <f>Excel_Advanced_Sales_Dataset_2000__3[[#This Row],[Quantity]]*Excel_Advanced_Sales_Dataset_2000__3[[#This Row],[Unit Price]]*Excel_Advanced_Sales_Dataset_2000__3[[#This Row],[Discount %]]/100</f>
        <v>151707.38852199999</v>
      </c>
      <c r="T1502" s="4">
        <f>Excel_Advanced_Sales_Dataset_2000__3[[#This Row],[Quantity]]*Excel_Advanced_Sales_Dataset_2000__3[[#This Row],[Unit Price]]-Excel_Advanced_Sales_Dataset_2000__3[[#This Row],[Discount Amount]]</f>
        <v>626678.39147799998</v>
      </c>
    </row>
    <row r="1503" spans="1:20" x14ac:dyDescent="0.25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>
        <v>33</v>
      </c>
      <c r="J1503" s="4">
        <v>16356.52</v>
      </c>
      <c r="K1503" s="6">
        <v>10.73</v>
      </c>
      <c r="L1503" s="4">
        <v>481848.36</v>
      </c>
      <c r="M1503" s="4" t="str" cm="1">
        <f t="array" ref="M1503">IF(Excel_Advanced_Sales_Dataset_2000__3[[#This Row],[Total Sales]]&gt;50000,{"Yes"},{"No"})</f>
        <v>Yes</v>
      </c>
      <c r="N1503" s="5">
        <v>46061</v>
      </c>
      <c r="O1503" s="1" t="s">
        <v>45</v>
      </c>
      <c r="P1503" t="s">
        <v>35</v>
      </c>
      <c r="Q1503" t="str">
        <f>IF(Excel_Advanced_Sales_Dataset_2000__3[[#This Row],[Delivery Status]]="Pending","Follow Up","Ok")</f>
        <v>Ok</v>
      </c>
      <c r="R1503" s="1" t="s">
        <v>36</v>
      </c>
      <c r="S1503">
        <f>Excel_Advanced_Sales_Dataset_2000__3[[#This Row],[Quantity]]*Excel_Advanced_Sales_Dataset_2000__3[[#This Row],[Unit Price]]*Excel_Advanced_Sales_Dataset_2000__3[[#This Row],[Discount %]]/100</f>
        <v>57916.801668000007</v>
      </c>
      <c r="T1503" s="4">
        <f>Excel_Advanced_Sales_Dataset_2000__3[[#This Row],[Quantity]]*Excel_Advanced_Sales_Dataset_2000__3[[#This Row],[Unit Price]]-Excel_Advanced_Sales_Dataset_2000__3[[#This Row],[Discount Amount]]</f>
        <v>481848.35833200003</v>
      </c>
    </row>
    <row r="1504" spans="1:20" x14ac:dyDescent="0.25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>
        <v>48</v>
      </c>
      <c r="J1504" s="4">
        <v>44254.23</v>
      </c>
      <c r="K1504" s="6">
        <v>11.69</v>
      </c>
      <c r="L1504" s="4">
        <v>1875883.7</v>
      </c>
      <c r="M1504" s="4" t="str" cm="1">
        <f t="array" ref="M1504">IF(Excel_Advanced_Sales_Dataset_2000__3[[#This Row],[Total Sales]]&gt;50000,{"Yes"},{"No"})</f>
        <v>Yes</v>
      </c>
      <c r="N1504" s="5">
        <v>46077</v>
      </c>
      <c r="O1504" s="1" t="s">
        <v>24</v>
      </c>
      <c r="P1504" t="s">
        <v>35</v>
      </c>
      <c r="Q1504" t="str">
        <f>IF(Excel_Advanced_Sales_Dataset_2000__3[[#This Row],[Delivery Status]]="Pending","Follow Up","Ok")</f>
        <v>Ok</v>
      </c>
      <c r="R1504" s="1" t="s">
        <v>26</v>
      </c>
      <c r="S1504">
        <f>Excel_Advanced_Sales_Dataset_2000__3[[#This Row],[Quantity]]*Excel_Advanced_Sales_Dataset_2000__3[[#This Row],[Unit Price]]*Excel_Advanced_Sales_Dataset_2000__3[[#This Row],[Discount %]]/100</f>
        <v>248319.335376</v>
      </c>
      <c r="T1504" s="4">
        <f>Excel_Advanced_Sales_Dataset_2000__3[[#This Row],[Quantity]]*Excel_Advanced_Sales_Dataset_2000__3[[#This Row],[Unit Price]]-Excel_Advanced_Sales_Dataset_2000__3[[#This Row],[Discount Amount]]</f>
        <v>1875883.704624</v>
      </c>
    </row>
    <row r="1505" spans="1:20" x14ac:dyDescent="0.25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>
        <v>11</v>
      </c>
      <c r="J1505" s="4">
        <v>33827.129999999997</v>
      </c>
      <c r="K1505" s="6">
        <v>16.03</v>
      </c>
      <c r="L1505" s="4">
        <v>312451.05</v>
      </c>
      <c r="M1505" s="4" t="str" cm="1">
        <f t="array" ref="M1505">IF(Excel_Advanced_Sales_Dataset_2000__3[[#This Row],[Total Sales]]&gt;50000,{"Yes"},{"No"})</f>
        <v>Yes</v>
      </c>
      <c r="N1505" s="5">
        <v>46130</v>
      </c>
      <c r="O1505" s="1" t="s">
        <v>113</v>
      </c>
      <c r="P1505" t="s">
        <v>35</v>
      </c>
      <c r="Q1505" t="str">
        <f>IF(Excel_Advanced_Sales_Dataset_2000__3[[#This Row],[Delivery Status]]="Pending","Follow Up","Ok")</f>
        <v>Ok</v>
      </c>
      <c r="R1505" s="1" t="s">
        <v>36</v>
      </c>
      <c r="S1505">
        <f>Excel_Advanced_Sales_Dataset_2000__3[[#This Row],[Quantity]]*Excel_Advanced_Sales_Dataset_2000__3[[#This Row],[Unit Price]]*Excel_Advanced_Sales_Dataset_2000__3[[#This Row],[Discount %]]/100</f>
        <v>59647.378329000006</v>
      </c>
      <c r="T1505" s="4">
        <f>Excel_Advanced_Sales_Dataset_2000__3[[#This Row],[Quantity]]*Excel_Advanced_Sales_Dataset_2000__3[[#This Row],[Unit Price]]-Excel_Advanced_Sales_Dataset_2000__3[[#This Row],[Discount Amount]]</f>
        <v>312451.05167099996</v>
      </c>
    </row>
    <row r="1506" spans="1:20" x14ac:dyDescent="0.25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>
        <v>45</v>
      </c>
      <c r="J1506" s="4">
        <v>18828.3</v>
      </c>
      <c r="K1506" s="6">
        <v>6.33</v>
      </c>
      <c r="L1506" s="4">
        <v>793641.09</v>
      </c>
      <c r="M1506" s="4" t="str" cm="1">
        <f t="array" ref="M1506">IF(Excel_Advanced_Sales_Dataset_2000__3[[#This Row],[Total Sales]]&gt;50000,{"Yes"},{"No"})</f>
        <v>Yes</v>
      </c>
      <c r="N1506" s="5">
        <v>46197</v>
      </c>
      <c r="O1506" s="1" t="s">
        <v>45</v>
      </c>
      <c r="P1506" t="s">
        <v>35</v>
      </c>
      <c r="Q1506" t="str">
        <f>IF(Excel_Advanced_Sales_Dataset_2000__3[[#This Row],[Delivery Status]]="Pending","Follow Up","Ok")</f>
        <v>Ok</v>
      </c>
      <c r="R1506" s="1" t="s">
        <v>26</v>
      </c>
      <c r="S1506">
        <f>Excel_Advanced_Sales_Dataset_2000__3[[#This Row],[Quantity]]*Excel_Advanced_Sales_Dataset_2000__3[[#This Row],[Unit Price]]*Excel_Advanced_Sales_Dataset_2000__3[[#This Row],[Discount %]]/100</f>
        <v>53632.412550000001</v>
      </c>
      <c r="T1506" s="4">
        <f>Excel_Advanced_Sales_Dataset_2000__3[[#This Row],[Quantity]]*Excel_Advanced_Sales_Dataset_2000__3[[#This Row],[Unit Price]]-Excel_Advanced_Sales_Dataset_2000__3[[#This Row],[Discount Amount]]</f>
        <v>793641.08744999999</v>
      </c>
    </row>
    <row r="1507" spans="1:20" x14ac:dyDescent="0.25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>
        <v>9</v>
      </c>
      <c r="J1507" s="4">
        <v>27009.4</v>
      </c>
      <c r="K1507" s="6">
        <v>19.77</v>
      </c>
      <c r="L1507" s="4">
        <v>195026.77</v>
      </c>
      <c r="M1507" s="4" t="str" cm="1">
        <f t="array" ref="M1507">IF(Excel_Advanced_Sales_Dataset_2000__3[[#This Row],[Total Sales]]&gt;50000,{"Yes"},{"No"})</f>
        <v>Yes</v>
      </c>
      <c r="N1507" s="5">
        <v>46208</v>
      </c>
      <c r="O1507" s="1" t="s">
        <v>68</v>
      </c>
      <c r="P1507" t="s">
        <v>35</v>
      </c>
      <c r="Q1507" t="str">
        <f>IF(Excel_Advanced_Sales_Dataset_2000__3[[#This Row],[Delivery Status]]="Pending","Follow Up","Ok")</f>
        <v>Ok</v>
      </c>
      <c r="R1507" s="1" t="s">
        <v>26</v>
      </c>
      <c r="S1507">
        <f>Excel_Advanced_Sales_Dataset_2000__3[[#This Row],[Quantity]]*Excel_Advanced_Sales_Dataset_2000__3[[#This Row],[Unit Price]]*Excel_Advanced_Sales_Dataset_2000__3[[#This Row],[Discount %]]/100</f>
        <v>48057.825420000001</v>
      </c>
      <c r="T1507" s="4">
        <f>Excel_Advanced_Sales_Dataset_2000__3[[#This Row],[Quantity]]*Excel_Advanced_Sales_Dataset_2000__3[[#This Row],[Unit Price]]-Excel_Advanced_Sales_Dataset_2000__3[[#This Row],[Discount Amount]]</f>
        <v>195026.77458</v>
      </c>
    </row>
    <row r="1508" spans="1:20" x14ac:dyDescent="0.25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>
        <v>13</v>
      </c>
      <c r="J1508" s="4">
        <v>36763.019999999997</v>
      </c>
      <c r="K1508" s="6">
        <v>13.76</v>
      </c>
      <c r="L1508" s="4">
        <v>412157.57</v>
      </c>
      <c r="M1508" s="4" t="str" cm="1">
        <f t="array" ref="M1508">IF(Excel_Advanced_Sales_Dataset_2000__3[[#This Row],[Total Sales]]&gt;50000,{"Yes"},{"No"})</f>
        <v>Yes</v>
      </c>
      <c r="N1508" s="5">
        <v>46152</v>
      </c>
      <c r="O1508" s="1" t="s">
        <v>45</v>
      </c>
      <c r="P1508" t="s">
        <v>35</v>
      </c>
      <c r="Q1508" t="str">
        <f>IF(Excel_Advanced_Sales_Dataset_2000__3[[#This Row],[Delivery Status]]="Pending","Follow Up","Ok")</f>
        <v>Ok</v>
      </c>
      <c r="R1508" s="1" t="s">
        <v>36</v>
      </c>
      <c r="S1508">
        <f>Excel_Advanced_Sales_Dataset_2000__3[[#This Row],[Quantity]]*Excel_Advanced_Sales_Dataset_2000__3[[#This Row],[Unit Price]]*Excel_Advanced_Sales_Dataset_2000__3[[#This Row],[Discount %]]/100</f>
        <v>65761.690175999989</v>
      </c>
      <c r="T1508" s="4">
        <f>Excel_Advanced_Sales_Dataset_2000__3[[#This Row],[Quantity]]*Excel_Advanced_Sales_Dataset_2000__3[[#This Row],[Unit Price]]-Excel_Advanced_Sales_Dataset_2000__3[[#This Row],[Discount Amount]]</f>
        <v>412157.56982399995</v>
      </c>
    </row>
    <row r="1509" spans="1:20" x14ac:dyDescent="0.25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>
        <v>32</v>
      </c>
      <c r="J1509" s="4">
        <v>39154.589999999997</v>
      </c>
      <c r="K1509" s="6">
        <v>15.36</v>
      </c>
      <c r="L1509" s="4">
        <v>1060494.24</v>
      </c>
      <c r="M1509" s="4" t="str" cm="1">
        <f t="array" ref="M1509">IF(Excel_Advanced_Sales_Dataset_2000__3[[#This Row],[Total Sales]]&gt;50000,{"Yes"},{"No"})</f>
        <v>Yes</v>
      </c>
      <c r="N1509" s="5">
        <v>46374</v>
      </c>
      <c r="O1509" s="1" t="s">
        <v>24</v>
      </c>
      <c r="P1509" t="s">
        <v>35</v>
      </c>
      <c r="Q1509" t="str">
        <f>IF(Excel_Advanced_Sales_Dataset_2000__3[[#This Row],[Delivery Status]]="Pending","Follow Up","Ok")</f>
        <v>Ok</v>
      </c>
      <c r="R1509" s="1" t="s">
        <v>53</v>
      </c>
      <c r="S1509">
        <f>Excel_Advanced_Sales_Dataset_2000__3[[#This Row],[Quantity]]*Excel_Advanced_Sales_Dataset_2000__3[[#This Row],[Unit Price]]*Excel_Advanced_Sales_Dataset_2000__3[[#This Row],[Discount %]]/100</f>
        <v>192452.64076799995</v>
      </c>
      <c r="T1509" s="4">
        <f>Excel_Advanced_Sales_Dataset_2000__3[[#This Row],[Quantity]]*Excel_Advanced_Sales_Dataset_2000__3[[#This Row],[Unit Price]]-Excel_Advanced_Sales_Dataset_2000__3[[#This Row],[Discount Amount]]</f>
        <v>1060494.239232</v>
      </c>
    </row>
    <row r="1510" spans="1:20" x14ac:dyDescent="0.25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>
        <v>22</v>
      </c>
      <c r="J1510" s="4">
        <v>21109.96</v>
      </c>
      <c r="K1510" s="6">
        <v>15.37</v>
      </c>
      <c r="L1510" s="4">
        <v>393037.9</v>
      </c>
      <c r="M1510" s="4" t="str" cm="1">
        <f t="array" ref="M1510">IF(Excel_Advanced_Sales_Dataset_2000__3[[#This Row],[Total Sales]]&gt;50000,{"Yes"},{"No"})</f>
        <v>Yes</v>
      </c>
      <c r="N1510" s="5">
        <v>46352</v>
      </c>
      <c r="O1510" s="1" t="s">
        <v>58</v>
      </c>
      <c r="P1510" t="s">
        <v>35</v>
      </c>
      <c r="Q1510" t="str">
        <f>IF(Excel_Advanced_Sales_Dataset_2000__3[[#This Row],[Delivery Status]]="Pending","Follow Up","Ok")</f>
        <v>Ok</v>
      </c>
      <c r="R1510" s="1" t="s">
        <v>36</v>
      </c>
      <c r="S1510">
        <f>Excel_Advanced_Sales_Dataset_2000__3[[#This Row],[Quantity]]*Excel_Advanced_Sales_Dataset_2000__3[[#This Row],[Unit Price]]*Excel_Advanced_Sales_Dataset_2000__3[[#This Row],[Discount %]]/100</f>
        <v>71381.218743999998</v>
      </c>
      <c r="T1510" s="4">
        <f>Excel_Advanced_Sales_Dataset_2000__3[[#This Row],[Quantity]]*Excel_Advanced_Sales_Dataset_2000__3[[#This Row],[Unit Price]]-Excel_Advanced_Sales_Dataset_2000__3[[#This Row],[Discount Amount]]</f>
        <v>393037.90125599998</v>
      </c>
    </row>
    <row r="1511" spans="1:20" x14ac:dyDescent="0.25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>
        <v>31</v>
      </c>
      <c r="J1511" s="4">
        <v>41681.480000000003</v>
      </c>
      <c r="K1511" s="6">
        <v>4.83</v>
      </c>
      <c r="L1511" s="4">
        <v>1229716.2</v>
      </c>
      <c r="M1511" s="4" t="str" cm="1">
        <f t="array" ref="M1511">IF(Excel_Advanced_Sales_Dataset_2000__3[[#This Row],[Total Sales]]&gt;50000,{"Yes"},{"No"})</f>
        <v>Yes</v>
      </c>
      <c r="N1511" s="5">
        <v>46352</v>
      </c>
      <c r="O1511" s="1" t="s">
        <v>113</v>
      </c>
      <c r="P1511" t="s">
        <v>35</v>
      </c>
      <c r="Q1511" t="str">
        <f>IF(Excel_Advanced_Sales_Dataset_2000__3[[#This Row],[Delivery Status]]="Pending","Follow Up","Ok")</f>
        <v>Ok</v>
      </c>
      <c r="R1511" s="1" t="s">
        <v>36</v>
      </c>
      <c r="S1511">
        <f>Excel_Advanced_Sales_Dataset_2000__3[[#This Row],[Quantity]]*Excel_Advanced_Sales_Dataset_2000__3[[#This Row],[Unit Price]]*Excel_Advanced_Sales_Dataset_2000__3[[#This Row],[Discount %]]/100</f>
        <v>62409.680004000002</v>
      </c>
      <c r="T1511" s="4">
        <f>Excel_Advanced_Sales_Dataset_2000__3[[#This Row],[Quantity]]*Excel_Advanced_Sales_Dataset_2000__3[[#This Row],[Unit Price]]-Excel_Advanced_Sales_Dataset_2000__3[[#This Row],[Discount Amount]]</f>
        <v>1229716.1999960002</v>
      </c>
    </row>
    <row r="1512" spans="1:20" x14ac:dyDescent="0.25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>
        <v>33</v>
      </c>
      <c r="J1512" s="4">
        <v>10356.15</v>
      </c>
      <c r="K1512" s="6">
        <v>7.17</v>
      </c>
      <c r="L1512" s="4">
        <v>317249.26</v>
      </c>
      <c r="M1512" s="4" t="str" cm="1">
        <f t="array" ref="M1512">IF(Excel_Advanced_Sales_Dataset_2000__3[[#This Row],[Total Sales]]&gt;50000,{"Yes"},{"No"})</f>
        <v>Yes</v>
      </c>
      <c r="N1512" s="5">
        <v>46282</v>
      </c>
      <c r="O1512" s="1" t="s">
        <v>45</v>
      </c>
      <c r="P1512" t="s">
        <v>35</v>
      </c>
      <c r="Q1512" t="str">
        <f>IF(Excel_Advanced_Sales_Dataset_2000__3[[#This Row],[Delivery Status]]="Pending","Follow Up","Ok")</f>
        <v>Ok</v>
      </c>
      <c r="R1512" s="1" t="s">
        <v>53</v>
      </c>
      <c r="S1512">
        <f>Excel_Advanced_Sales_Dataset_2000__3[[#This Row],[Quantity]]*Excel_Advanced_Sales_Dataset_2000__3[[#This Row],[Unit Price]]*Excel_Advanced_Sales_Dataset_2000__3[[#This Row],[Discount %]]/100</f>
        <v>24503.686515000001</v>
      </c>
      <c r="T1512" s="4">
        <f>Excel_Advanced_Sales_Dataset_2000__3[[#This Row],[Quantity]]*Excel_Advanced_Sales_Dataset_2000__3[[#This Row],[Unit Price]]-Excel_Advanced_Sales_Dataset_2000__3[[#This Row],[Discount Amount]]</f>
        <v>317249.263485</v>
      </c>
    </row>
    <row r="1513" spans="1:20" x14ac:dyDescent="0.25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>
        <v>23</v>
      </c>
      <c r="J1513" s="4">
        <v>11392.14</v>
      </c>
      <c r="K1513" s="6">
        <v>14.63</v>
      </c>
      <c r="L1513" s="4">
        <v>223685.81</v>
      </c>
      <c r="M1513" s="4" t="str" cm="1">
        <f t="array" ref="M1513">IF(Excel_Advanced_Sales_Dataset_2000__3[[#This Row],[Total Sales]]&gt;50000,{"Yes"},{"No"})</f>
        <v>Yes</v>
      </c>
      <c r="N1513" s="5">
        <v>46362</v>
      </c>
      <c r="O1513" s="1" t="s">
        <v>24</v>
      </c>
      <c r="P1513" t="s">
        <v>35</v>
      </c>
      <c r="Q1513" t="str">
        <f>IF(Excel_Advanced_Sales_Dataset_2000__3[[#This Row],[Delivery Status]]="Pending","Follow Up","Ok")</f>
        <v>Ok</v>
      </c>
      <c r="R1513" s="1" t="s">
        <v>53</v>
      </c>
      <c r="S1513">
        <f>Excel_Advanced_Sales_Dataset_2000__3[[#This Row],[Quantity]]*Excel_Advanced_Sales_Dataset_2000__3[[#This Row],[Unit Price]]*Excel_Advanced_Sales_Dataset_2000__3[[#This Row],[Discount %]]/100</f>
        <v>38333.411886000002</v>
      </c>
      <c r="T1513" s="4">
        <f>Excel_Advanced_Sales_Dataset_2000__3[[#This Row],[Quantity]]*Excel_Advanced_Sales_Dataset_2000__3[[#This Row],[Unit Price]]-Excel_Advanced_Sales_Dataset_2000__3[[#This Row],[Discount Amount]]</f>
        <v>223685.80811399996</v>
      </c>
    </row>
    <row r="1514" spans="1:20" x14ac:dyDescent="0.25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>
        <v>16</v>
      </c>
      <c r="J1514" s="4">
        <v>40055.9</v>
      </c>
      <c r="K1514" s="6">
        <v>15.43</v>
      </c>
      <c r="L1514" s="4">
        <v>542004.39</v>
      </c>
      <c r="M1514" s="4" t="str" cm="1">
        <f t="array" ref="M1514">IF(Excel_Advanced_Sales_Dataset_2000__3[[#This Row],[Total Sales]]&gt;50000,{"Yes"},{"No"})</f>
        <v>Yes</v>
      </c>
      <c r="N1514" s="5">
        <v>46247</v>
      </c>
      <c r="O1514" s="1" t="s">
        <v>58</v>
      </c>
      <c r="P1514" t="s">
        <v>35</v>
      </c>
      <c r="Q1514" t="str">
        <f>IF(Excel_Advanced_Sales_Dataset_2000__3[[#This Row],[Delivery Status]]="Pending","Follow Up","Ok")</f>
        <v>Ok</v>
      </c>
      <c r="R1514" s="1" t="s">
        <v>53</v>
      </c>
      <c r="S1514">
        <f>Excel_Advanced_Sales_Dataset_2000__3[[#This Row],[Quantity]]*Excel_Advanced_Sales_Dataset_2000__3[[#This Row],[Unit Price]]*Excel_Advanced_Sales_Dataset_2000__3[[#This Row],[Discount %]]/100</f>
        <v>98890.005919999996</v>
      </c>
      <c r="T1514" s="4">
        <f>Excel_Advanced_Sales_Dataset_2000__3[[#This Row],[Quantity]]*Excel_Advanced_Sales_Dataset_2000__3[[#This Row],[Unit Price]]-Excel_Advanced_Sales_Dataset_2000__3[[#This Row],[Discount Amount]]</f>
        <v>542004.39408</v>
      </c>
    </row>
    <row r="1515" spans="1:20" x14ac:dyDescent="0.25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>
        <v>11</v>
      </c>
      <c r="J1515" s="4">
        <v>36005.25</v>
      </c>
      <c r="K1515" s="6">
        <v>5.95</v>
      </c>
      <c r="L1515" s="4">
        <v>372492.31</v>
      </c>
      <c r="M1515" s="4" t="str" cm="1">
        <f t="array" ref="M1515">IF(Excel_Advanced_Sales_Dataset_2000__3[[#This Row],[Total Sales]]&gt;50000,{"Yes"},{"No"})</f>
        <v>Yes</v>
      </c>
      <c r="N1515" s="5">
        <v>46210</v>
      </c>
      <c r="O1515" s="1" t="s">
        <v>45</v>
      </c>
      <c r="P1515" t="s">
        <v>35</v>
      </c>
      <c r="Q1515" t="str">
        <f>IF(Excel_Advanced_Sales_Dataset_2000__3[[#This Row],[Delivery Status]]="Pending","Follow Up","Ok")</f>
        <v>Ok</v>
      </c>
      <c r="R1515" s="1" t="s">
        <v>26</v>
      </c>
      <c r="S1515">
        <f>Excel_Advanced_Sales_Dataset_2000__3[[#This Row],[Quantity]]*Excel_Advanced_Sales_Dataset_2000__3[[#This Row],[Unit Price]]*Excel_Advanced_Sales_Dataset_2000__3[[#This Row],[Discount %]]/100</f>
        <v>23565.436125000004</v>
      </c>
      <c r="T1515" s="4">
        <f>Excel_Advanced_Sales_Dataset_2000__3[[#This Row],[Quantity]]*Excel_Advanced_Sales_Dataset_2000__3[[#This Row],[Unit Price]]-Excel_Advanced_Sales_Dataset_2000__3[[#This Row],[Discount Amount]]</f>
        <v>372492.31387499999</v>
      </c>
    </row>
    <row r="1516" spans="1:20" x14ac:dyDescent="0.25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>
        <v>8</v>
      </c>
      <c r="J1516" s="4">
        <v>23635.14</v>
      </c>
      <c r="K1516" s="6">
        <v>19.54</v>
      </c>
      <c r="L1516" s="4">
        <v>152134.67000000001</v>
      </c>
      <c r="M1516" s="4" t="str" cm="1">
        <f t="array" ref="M1516">IF(Excel_Advanced_Sales_Dataset_2000__3[[#This Row],[Total Sales]]&gt;50000,{"Yes"},{"No"})</f>
        <v>Yes</v>
      </c>
      <c r="N1516" s="5">
        <v>46086</v>
      </c>
      <c r="O1516" s="1" t="s">
        <v>113</v>
      </c>
      <c r="P1516" t="s">
        <v>35</v>
      </c>
      <c r="Q1516" t="str">
        <f>IF(Excel_Advanced_Sales_Dataset_2000__3[[#This Row],[Delivery Status]]="Pending","Follow Up","Ok")</f>
        <v>Ok</v>
      </c>
      <c r="R1516" s="1" t="s">
        <v>36</v>
      </c>
      <c r="S1516">
        <f>Excel_Advanced_Sales_Dataset_2000__3[[#This Row],[Quantity]]*Excel_Advanced_Sales_Dataset_2000__3[[#This Row],[Unit Price]]*Excel_Advanced_Sales_Dataset_2000__3[[#This Row],[Discount %]]/100</f>
        <v>36946.450848</v>
      </c>
      <c r="T1516" s="4">
        <f>Excel_Advanced_Sales_Dataset_2000__3[[#This Row],[Quantity]]*Excel_Advanced_Sales_Dataset_2000__3[[#This Row],[Unit Price]]-Excel_Advanced_Sales_Dataset_2000__3[[#This Row],[Discount Amount]]</f>
        <v>152134.66915199999</v>
      </c>
    </row>
    <row r="1517" spans="1:20" x14ac:dyDescent="0.25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>
        <v>11</v>
      </c>
      <c r="J1517" s="4">
        <v>44664.41</v>
      </c>
      <c r="K1517" s="6">
        <v>13.91</v>
      </c>
      <c r="L1517" s="4">
        <v>422967.5</v>
      </c>
      <c r="M1517" s="4" t="str" cm="1">
        <f t="array" ref="M1517">IF(Excel_Advanced_Sales_Dataset_2000__3[[#This Row],[Total Sales]]&gt;50000,{"Yes"},{"No"})</f>
        <v>Yes</v>
      </c>
      <c r="N1517" s="5">
        <v>46377</v>
      </c>
      <c r="O1517" s="1" t="s">
        <v>113</v>
      </c>
      <c r="P1517" t="s">
        <v>35</v>
      </c>
      <c r="Q1517" t="str">
        <f>IF(Excel_Advanced_Sales_Dataset_2000__3[[#This Row],[Delivery Status]]="Pending","Follow Up","Ok")</f>
        <v>Ok</v>
      </c>
      <c r="R1517" s="1" t="s">
        <v>26</v>
      </c>
      <c r="S1517">
        <f>Excel_Advanced_Sales_Dataset_2000__3[[#This Row],[Quantity]]*Excel_Advanced_Sales_Dataset_2000__3[[#This Row],[Unit Price]]*Excel_Advanced_Sales_Dataset_2000__3[[#This Row],[Discount %]]/100</f>
        <v>68341.013741000002</v>
      </c>
      <c r="T1517" s="4">
        <f>Excel_Advanced_Sales_Dataset_2000__3[[#This Row],[Quantity]]*Excel_Advanced_Sales_Dataset_2000__3[[#This Row],[Unit Price]]-Excel_Advanced_Sales_Dataset_2000__3[[#This Row],[Discount Amount]]</f>
        <v>422967.49625900004</v>
      </c>
    </row>
    <row r="1518" spans="1:20" x14ac:dyDescent="0.25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>
        <v>28</v>
      </c>
      <c r="J1518" s="4">
        <v>2581.75</v>
      </c>
      <c r="K1518" s="6">
        <v>2.27</v>
      </c>
      <c r="L1518" s="4">
        <v>70648.039999999994</v>
      </c>
      <c r="M1518" s="4" t="str" cm="1">
        <f t="array" ref="M1518">IF(Excel_Advanced_Sales_Dataset_2000__3[[#This Row],[Total Sales]]&gt;50000,{"Yes"},{"No"})</f>
        <v>Yes</v>
      </c>
      <c r="N1518" s="5">
        <v>46260</v>
      </c>
      <c r="O1518" s="1" t="s">
        <v>45</v>
      </c>
      <c r="P1518" t="s">
        <v>35</v>
      </c>
      <c r="Q1518" t="str">
        <f>IF(Excel_Advanced_Sales_Dataset_2000__3[[#This Row],[Delivery Status]]="Pending","Follow Up","Ok")</f>
        <v>Ok</v>
      </c>
      <c r="R1518" s="1" t="s">
        <v>53</v>
      </c>
      <c r="S1518">
        <f>Excel_Advanced_Sales_Dataset_2000__3[[#This Row],[Quantity]]*Excel_Advanced_Sales_Dataset_2000__3[[#This Row],[Unit Price]]*Excel_Advanced_Sales_Dataset_2000__3[[#This Row],[Discount %]]/100</f>
        <v>1640.9603</v>
      </c>
      <c r="T1518" s="4">
        <f>Excel_Advanced_Sales_Dataset_2000__3[[#This Row],[Quantity]]*Excel_Advanced_Sales_Dataset_2000__3[[#This Row],[Unit Price]]-Excel_Advanced_Sales_Dataset_2000__3[[#This Row],[Discount Amount]]</f>
        <v>70648.039699999994</v>
      </c>
    </row>
    <row r="1519" spans="1:20" x14ac:dyDescent="0.25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>
        <v>30</v>
      </c>
      <c r="J1519" s="4">
        <v>30829.45</v>
      </c>
      <c r="K1519" s="6">
        <v>16.670000000000002</v>
      </c>
      <c r="L1519" s="4">
        <v>770705.42</v>
      </c>
      <c r="M1519" s="4" t="str" cm="1">
        <f t="array" ref="M1519">IF(Excel_Advanced_Sales_Dataset_2000__3[[#This Row],[Total Sales]]&gt;50000,{"Yes"},{"No"})</f>
        <v>Yes</v>
      </c>
      <c r="N1519" s="5">
        <v>46343</v>
      </c>
      <c r="O1519" s="1" t="s">
        <v>24</v>
      </c>
      <c r="P1519" t="s">
        <v>35</v>
      </c>
      <c r="Q1519" t="str">
        <f>IF(Excel_Advanced_Sales_Dataset_2000__3[[#This Row],[Delivery Status]]="Pending","Follow Up","Ok")</f>
        <v>Ok</v>
      </c>
      <c r="R1519" s="1" t="s">
        <v>53</v>
      </c>
      <c r="S1519">
        <f>Excel_Advanced_Sales_Dataset_2000__3[[#This Row],[Quantity]]*Excel_Advanced_Sales_Dataset_2000__3[[#This Row],[Unit Price]]*Excel_Advanced_Sales_Dataset_2000__3[[#This Row],[Discount %]]/100</f>
        <v>154178.07945000002</v>
      </c>
      <c r="T1519" s="4">
        <f>Excel_Advanced_Sales_Dataset_2000__3[[#This Row],[Quantity]]*Excel_Advanced_Sales_Dataset_2000__3[[#This Row],[Unit Price]]-Excel_Advanced_Sales_Dataset_2000__3[[#This Row],[Discount Amount]]</f>
        <v>770705.42054999992</v>
      </c>
    </row>
    <row r="1520" spans="1:20" x14ac:dyDescent="0.25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>
        <v>4</v>
      </c>
      <c r="J1520" s="4">
        <v>4301.3</v>
      </c>
      <c r="K1520" s="6">
        <v>2.2799999999999998</v>
      </c>
      <c r="L1520" s="4">
        <v>16812.919999999998</v>
      </c>
      <c r="M1520" s="4" t="str" cm="1">
        <f t="array" ref="M1520">IF(Excel_Advanced_Sales_Dataset_2000__3[[#This Row],[Total Sales]]&gt;50000,{"Yes"},{"No"})</f>
        <v>No</v>
      </c>
      <c r="N1520" s="5">
        <v>46357</v>
      </c>
      <c r="O1520" s="1" t="s">
        <v>24</v>
      </c>
      <c r="P1520" t="s">
        <v>35</v>
      </c>
      <c r="Q1520" t="str">
        <f>IF(Excel_Advanced_Sales_Dataset_2000__3[[#This Row],[Delivery Status]]="Pending","Follow Up","Ok")</f>
        <v>Ok</v>
      </c>
      <c r="R1520" s="1" t="s">
        <v>53</v>
      </c>
      <c r="S1520">
        <f>Excel_Advanced_Sales_Dataset_2000__3[[#This Row],[Quantity]]*Excel_Advanced_Sales_Dataset_2000__3[[#This Row],[Unit Price]]*Excel_Advanced_Sales_Dataset_2000__3[[#This Row],[Discount %]]/100</f>
        <v>392.27855999999997</v>
      </c>
      <c r="T1520" s="4">
        <f>Excel_Advanced_Sales_Dataset_2000__3[[#This Row],[Quantity]]*Excel_Advanced_Sales_Dataset_2000__3[[#This Row],[Unit Price]]-Excel_Advanced_Sales_Dataset_2000__3[[#This Row],[Discount Amount]]</f>
        <v>16812.921440000002</v>
      </c>
    </row>
    <row r="1521" spans="1:20" x14ac:dyDescent="0.25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>
        <v>21</v>
      </c>
      <c r="J1521" s="4">
        <v>5338.25</v>
      </c>
      <c r="K1521" s="6">
        <v>4.9400000000000004</v>
      </c>
      <c r="L1521" s="4">
        <v>106565.35</v>
      </c>
      <c r="M1521" s="4" t="str" cm="1">
        <f t="array" ref="M1521">IF(Excel_Advanced_Sales_Dataset_2000__3[[#This Row],[Total Sales]]&gt;50000,{"Yes"},{"No"})</f>
        <v>Yes</v>
      </c>
      <c r="N1521" s="5">
        <v>46027</v>
      </c>
      <c r="O1521" s="1" t="s">
        <v>58</v>
      </c>
      <c r="P1521" t="s">
        <v>35</v>
      </c>
      <c r="Q1521" t="str">
        <f>IF(Excel_Advanced_Sales_Dataset_2000__3[[#This Row],[Delivery Status]]="Pending","Follow Up","Ok")</f>
        <v>Ok</v>
      </c>
      <c r="R1521" s="1" t="s">
        <v>53</v>
      </c>
      <c r="S1521">
        <f>Excel_Advanced_Sales_Dataset_2000__3[[#This Row],[Quantity]]*Excel_Advanced_Sales_Dataset_2000__3[[#This Row],[Unit Price]]*Excel_Advanced_Sales_Dataset_2000__3[[#This Row],[Discount %]]/100</f>
        <v>5537.9005500000003</v>
      </c>
      <c r="T1521" s="4">
        <f>Excel_Advanced_Sales_Dataset_2000__3[[#This Row],[Quantity]]*Excel_Advanced_Sales_Dataset_2000__3[[#This Row],[Unit Price]]-Excel_Advanced_Sales_Dataset_2000__3[[#This Row],[Discount Amount]]</f>
        <v>106565.34944999999</v>
      </c>
    </row>
    <row r="1522" spans="1:20" x14ac:dyDescent="0.25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>
        <v>2</v>
      </c>
      <c r="J1522" s="4">
        <v>46720.05</v>
      </c>
      <c r="K1522" s="6">
        <v>9.7100000000000009</v>
      </c>
      <c r="L1522" s="4">
        <v>84367.07</v>
      </c>
      <c r="M1522" s="4" t="str" cm="1">
        <f t="array" ref="M1522">IF(Excel_Advanced_Sales_Dataset_2000__3[[#This Row],[Total Sales]]&gt;50000,{"Yes"},{"No"})</f>
        <v>Yes</v>
      </c>
      <c r="N1522" s="5">
        <v>46340</v>
      </c>
      <c r="O1522" s="1" t="s">
        <v>58</v>
      </c>
      <c r="P1522" t="s">
        <v>35</v>
      </c>
      <c r="Q1522" t="str">
        <f>IF(Excel_Advanced_Sales_Dataset_2000__3[[#This Row],[Delivery Status]]="Pending","Follow Up","Ok")</f>
        <v>Ok</v>
      </c>
      <c r="R1522" s="1" t="s">
        <v>36</v>
      </c>
      <c r="S1522">
        <f>Excel_Advanced_Sales_Dataset_2000__3[[#This Row],[Quantity]]*Excel_Advanced_Sales_Dataset_2000__3[[#This Row],[Unit Price]]*Excel_Advanced_Sales_Dataset_2000__3[[#This Row],[Discount %]]/100</f>
        <v>9073.0337100000015</v>
      </c>
      <c r="T1522" s="4">
        <f>Excel_Advanced_Sales_Dataset_2000__3[[#This Row],[Quantity]]*Excel_Advanced_Sales_Dataset_2000__3[[#This Row],[Unit Price]]-Excel_Advanced_Sales_Dataset_2000__3[[#This Row],[Discount Amount]]</f>
        <v>84367.066290000002</v>
      </c>
    </row>
    <row r="1523" spans="1:20" x14ac:dyDescent="0.25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>
        <v>31</v>
      </c>
      <c r="J1523" s="4">
        <v>48702.35</v>
      </c>
      <c r="K1523" s="6">
        <v>14.71</v>
      </c>
      <c r="L1523" s="4">
        <v>1287685.26</v>
      </c>
      <c r="M1523" s="4" t="str" cm="1">
        <f t="array" ref="M1523">IF(Excel_Advanced_Sales_Dataset_2000__3[[#This Row],[Total Sales]]&gt;50000,{"Yes"},{"No"})</f>
        <v>Yes</v>
      </c>
      <c r="N1523" s="5">
        <v>46262</v>
      </c>
      <c r="O1523" s="1" t="s">
        <v>45</v>
      </c>
      <c r="P1523" t="s">
        <v>35</v>
      </c>
      <c r="Q1523" t="str">
        <f>IF(Excel_Advanced_Sales_Dataset_2000__3[[#This Row],[Delivery Status]]="Pending","Follow Up","Ok")</f>
        <v>Ok</v>
      </c>
      <c r="R1523" s="1" t="s">
        <v>53</v>
      </c>
      <c r="S1523">
        <f>Excel_Advanced_Sales_Dataset_2000__3[[#This Row],[Quantity]]*Excel_Advanced_Sales_Dataset_2000__3[[#This Row],[Unit Price]]*Excel_Advanced_Sales_Dataset_2000__3[[#This Row],[Discount %]]/100</f>
        <v>222087.586235</v>
      </c>
      <c r="T1523" s="4">
        <f>Excel_Advanced_Sales_Dataset_2000__3[[#This Row],[Quantity]]*Excel_Advanced_Sales_Dataset_2000__3[[#This Row],[Unit Price]]-Excel_Advanced_Sales_Dataset_2000__3[[#This Row],[Discount Amount]]</f>
        <v>1287685.2637649998</v>
      </c>
    </row>
    <row r="1524" spans="1:20" x14ac:dyDescent="0.25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>
        <v>6</v>
      </c>
      <c r="J1524" s="4">
        <v>42906.78</v>
      </c>
      <c r="K1524" s="6">
        <v>3.63</v>
      </c>
      <c r="L1524" s="4">
        <v>248095.58</v>
      </c>
      <c r="M1524" s="4" t="str" cm="1">
        <f t="array" ref="M1524">IF(Excel_Advanced_Sales_Dataset_2000__3[[#This Row],[Total Sales]]&gt;50000,{"Yes"},{"No"})</f>
        <v>Yes</v>
      </c>
      <c r="N1524" s="5">
        <v>46343</v>
      </c>
      <c r="O1524" s="1" t="s">
        <v>113</v>
      </c>
      <c r="P1524" t="s">
        <v>35</v>
      </c>
      <c r="Q1524" t="str">
        <f>IF(Excel_Advanced_Sales_Dataset_2000__3[[#This Row],[Delivery Status]]="Pending","Follow Up","Ok")</f>
        <v>Ok</v>
      </c>
      <c r="R1524" s="1" t="s">
        <v>36</v>
      </c>
      <c r="S1524">
        <f>Excel_Advanced_Sales_Dataset_2000__3[[#This Row],[Quantity]]*Excel_Advanced_Sales_Dataset_2000__3[[#This Row],[Unit Price]]*Excel_Advanced_Sales_Dataset_2000__3[[#This Row],[Discount %]]/100</f>
        <v>9345.0966840000001</v>
      </c>
      <c r="T1524" s="4">
        <f>Excel_Advanced_Sales_Dataset_2000__3[[#This Row],[Quantity]]*Excel_Advanced_Sales_Dataset_2000__3[[#This Row],[Unit Price]]-Excel_Advanced_Sales_Dataset_2000__3[[#This Row],[Discount Amount]]</f>
        <v>248095.583316</v>
      </c>
    </row>
    <row r="1525" spans="1:20" x14ac:dyDescent="0.25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>
        <v>5</v>
      </c>
      <c r="J1525" s="4">
        <v>25607.37</v>
      </c>
      <c r="K1525" s="6">
        <v>18.72</v>
      </c>
      <c r="L1525" s="4">
        <v>104068.35</v>
      </c>
      <c r="M1525" s="4" t="str" cm="1">
        <f t="array" ref="M1525">IF(Excel_Advanced_Sales_Dataset_2000__3[[#This Row],[Total Sales]]&gt;50000,{"Yes"},{"No"})</f>
        <v>Yes</v>
      </c>
      <c r="N1525" s="5">
        <v>46193</v>
      </c>
      <c r="O1525" s="1" t="s">
        <v>58</v>
      </c>
      <c r="P1525" t="s">
        <v>25</v>
      </c>
      <c r="Q1525" t="str">
        <f>IF(Excel_Advanced_Sales_Dataset_2000__3[[#This Row],[Delivery Status]]="Pending","Follow Up","Ok")</f>
        <v>Follow Up</v>
      </c>
      <c r="R1525" s="1" t="s">
        <v>26</v>
      </c>
      <c r="S1525">
        <f>Excel_Advanced_Sales_Dataset_2000__3[[#This Row],[Quantity]]*Excel_Advanced_Sales_Dataset_2000__3[[#This Row],[Unit Price]]*Excel_Advanced_Sales_Dataset_2000__3[[#This Row],[Discount %]]/100</f>
        <v>23968.498319999995</v>
      </c>
      <c r="T1525" s="4">
        <f>Excel_Advanced_Sales_Dataset_2000__3[[#This Row],[Quantity]]*Excel_Advanced_Sales_Dataset_2000__3[[#This Row],[Unit Price]]-Excel_Advanced_Sales_Dataset_2000__3[[#This Row],[Discount Amount]]</f>
        <v>104068.35167999999</v>
      </c>
    </row>
    <row r="1526" spans="1:20" x14ac:dyDescent="0.25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>
        <v>22</v>
      </c>
      <c r="J1526" s="4">
        <v>6777.94</v>
      </c>
      <c r="K1526" s="6">
        <v>4.75</v>
      </c>
      <c r="L1526" s="4">
        <v>142031.73000000001</v>
      </c>
      <c r="M1526" s="4" t="str" cm="1">
        <f t="array" ref="M1526">IF(Excel_Advanced_Sales_Dataset_2000__3[[#This Row],[Total Sales]]&gt;50000,{"Yes"},{"No"})</f>
        <v>Yes</v>
      </c>
      <c r="N1526" s="5">
        <v>46084</v>
      </c>
      <c r="O1526" s="1" t="s">
        <v>45</v>
      </c>
      <c r="P1526" t="s">
        <v>35</v>
      </c>
      <c r="Q1526" t="str">
        <f>IF(Excel_Advanced_Sales_Dataset_2000__3[[#This Row],[Delivery Status]]="Pending","Follow Up","Ok")</f>
        <v>Ok</v>
      </c>
      <c r="R1526" s="1" t="s">
        <v>26</v>
      </c>
      <c r="S1526">
        <f>Excel_Advanced_Sales_Dataset_2000__3[[#This Row],[Quantity]]*Excel_Advanced_Sales_Dataset_2000__3[[#This Row],[Unit Price]]*Excel_Advanced_Sales_Dataset_2000__3[[#This Row],[Discount %]]/100</f>
        <v>7082.9472999999998</v>
      </c>
      <c r="T1526" s="4">
        <f>Excel_Advanced_Sales_Dataset_2000__3[[#This Row],[Quantity]]*Excel_Advanced_Sales_Dataset_2000__3[[#This Row],[Unit Price]]-Excel_Advanced_Sales_Dataset_2000__3[[#This Row],[Discount Amount]]</f>
        <v>142031.73269999999</v>
      </c>
    </row>
    <row r="1527" spans="1:20" x14ac:dyDescent="0.25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>
        <v>26</v>
      </c>
      <c r="J1527" s="4">
        <v>6273.1</v>
      </c>
      <c r="K1527" s="6">
        <v>4.9800000000000004</v>
      </c>
      <c r="L1527" s="4">
        <v>154978.19</v>
      </c>
      <c r="M1527" s="4" t="str" cm="1">
        <f t="array" ref="M1527">IF(Excel_Advanced_Sales_Dataset_2000__3[[#This Row],[Total Sales]]&gt;50000,{"Yes"},{"No"})</f>
        <v>Yes</v>
      </c>
      <c r="N1527" s="5">
        <v>46210</v>
      </c>
      <c r="O1527" s="1" t="s">
        <v>58</v>
      </c>
      <c r="P1527" t="s">
        <v>35</v>
      </c>
      <c r="Q1527" t="str">
        <f>IF(Excel_Advanced_Sales_Dataset_2000__3[[#This Row],[Delivery Status]]="Pending","Follow Up","Ok")</f>
        <v>Ok</v>
      </c>
      <c r="R1527" s="1" t="s">
        <v>36</v>
      </c>
      <c r="S1527">
        <f>Excel_Advanced_Sales_Dataset_2000__3[[#This Row],[Quantity]]*Excel_Advanced_Sales_Dataset_2000__3[[#This Row],[Unit Price]]*Excel_Advanced_Sales_Dataset_2000__3[[#This Row],[Discount %]]/100</f>
        <v>8122.4098800000011</v>
      </c>
      <c r="T1527" s="4">
        <f>Excel_Advanced_Sales_Dataset_2000__3[[#This Row],[Quantity]]*Excel_Advanced_Sales_Dataset_2000__3[[#This Row],[Unit Price]]-Excel_Advanced_Sales_Dataset_2000__3[[#This Row],[Discount Amount]]</f>
        <v>154978.19012000001</v>
      </c>
    </row>
    <row r="1528" spans="1:20" x14ac:dyDescent="0.25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>
        <v>45</v>
      </c>
      <c r="J1528" s="4">
        <v>819.42</v>
      </c>
      <c r="K1528" s="6">
        <v>4.3</v>
      </c>
      <c r="L1528" s="4">
        <v>35288.32</v>
      </c>
      <c r="M1528" s="4" t="str" cm="1">
        <f t="array" ref="M1528">IF(Excel_Advanced_Sales_Dataset_2000__3[[#This Row],[Total Sales]]&gt;50000,{"Yes"},{"No"})</f>
        <v>No</v>
      </c>
      <c r="N1528" s="5">
        <v>46234</v>
      </c>
      <c r="O1528" s="1" t="s">
        <v>58</v>
      </c>
      <c r="P1528" t="s">
        <v>35</v>
      </c>
      <c r="Q1528" t="str">
        <f>IF(Excel_Advanced_Sales_Dataset_2000__3[[#This Row],[Delivery Status]]="Pending","Follow Up","Ok")</f>
        <v>Ok</v>
      </c>
      <c r="R1528" s="1" t="s">
        <v>26</v>
      </c>
      <c r="S1528">
        <f>Excel_Advanced_Sales_Dataset_2000__3[[#This Row],[Quantity]]*Excel_Advanced_Sales_Dataset_2000__3[[#This Row],[Unit Price]]*Excel_Advanced_Sales_Dataset_2000__3[[#This Row],[Discount %]]/100</f>
        <v>1585.5776999999998</v>
      </c>
      <c r="T1528" s="4">
        <f>Excel_Advanced_Sales_Dataset_2000__3[[#This Row],[Quantity]]*Excel_Advanced_Sales_Dataset_2000__3[[#This Row],[Unit Price]]-Excel_Advanced_Sales_Dataset_2000__3[[#This Row],[Discount Amount]]</f>
        <v>35288.3223</v>
      </c>
    </row>
    <row r="1529" spans="1:20" x14ac:dyDescent="0.25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>
        <v>5</v>
      </c>
      <c r="J1529" s="4">
        <v>23184.28</v>
      </c>
      <c r="K1529" s="6">
        <v>7.58</v>
      </c>
      <c r="L1529" s="4">
        <v>107134.56</v>
      </c>
      <c r="M1529" s="4" t="str" cm="1">
        <f t="array" ref="M1529">IF(Excel_Advanced_Sales_Dataset_2000__3[[#This Row],[Total Sales]]&gt;50000,{"Yes"},{"No"})</f>
        <v>Yes</v>
      </c>
      <c r="N1529" s="5">
        <v>46312</v>
      </c>
      <c r="O1529" s="1" t="s">
        <v>45</v>
      </c>
      <c r="P1529" t="s">
        <v>35</v>
      </c>
      <c r="Q1529" t="str">
        <f>IF(Excel_Advanced_Sales_Dataset_2000__3[[#This Row],[Delivery Status]]="Pending","Follow Up","Ok")</f>
        <v>Ok</v>
      </c>
      <c r="R1529" s="1" t="s">
        <v>26</v>
      </c>
      <c r="S1529">
        <f>Excel_Advanced_Sales_Dataset_2000__3[[#This Row],[Quantity]]*Excel_Advanced_Sales_Dataset_2000__3[[#This Row],[Unit Price]]*Excel_Advanced_Sales_Dataset_2000__3[[#This Row],[Discount %]]/100</f>
        <v>8786.8421199999993</v>
      </c>
      <c r="T1529" s="4">
        <f>Excel_Advanced_Sales_Dataset_2000__3[[#This Row],[Quantity]]*Excel_Advanced_Sales_Dataset_2000__3[[#This Row],[Unit Price]]-Excel_Advanced_Sales_Dataset_2000__3[[#This Row],[Discount Amount]]</f>
        <v>107134.55787999999</v>
      </c>
    </row>
    <row r="1530" spans="1:20" x14ac:dyDescent="0.25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>
        <v>35</v>
      </c>
      <c r="J1530" s="4">
        <v>44808.79</v>
      </c>
      <c r="K1530" s="6">
        <v>11.21</v>
      </c>
      <c r="L1530" s="4">
        <v>1392500.36</v>
      </c>
      <c r="M1530" s="4" t="str" cm="1">
        <f t="array" ref="M1530">IF(Excel_Advanced_Sales_Dataset_2000__3[[#This Row],[Total Sales]]&gt;50000,{"Yes"},{"No"})</f>
        <v>Yes</v>
      </c>
      <c r="N1530" s="5">
        <v>46085</v>
      </c>
      <c r="O1530" s="1" t="s">
        <v>58</v>
      </c>
      <c r="P1530" t="s">
        <v>35</v>
      </c>
      <c r="Q1530" t="str">
        <f>IF(Excel_Advanced_Sales_Dataset_2000__3[[#This Row],[Delivery Status]]="Pending","Follow Up","Ok")</f>
        <v>Ok</v>
      </c>
      <c r="R1530" s="1" t="s">
        <v>53</v>
      </c>
      <c r="S1530">
        <f>Excel_Advanced_Sales_Dataset_2000__3[[#This Row],[Quantity]]*Excel_Advanced_Sales_Dataset_2000__3[[#This Row],[Unit Price]]*Excel_Advanced_Sales_Dataset_2000__3[[#This Row],[Discount %]]/100</f>
        <v>175807.28756500001</v>
      </c>
      <c r="T1530" s="4">
        <f>Excel_Advanced_Sales_Dataset_2000__3[[#This Row],[Quantity]]*Excel_Advanced_Sales_Dataset_2000__3[[#This Row],[Unit Price]]-Excel_Advanced_Sales_Dataset_2000__3[[#This Row],[Discount Amount]]</f>
        <v>1392500.362435</v>
      </c>
    </row>
    <row r="1531" spans="1:20" x14ac:dyDescent="0.25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>
        <v>23</v>
      </c>
      <c r="J1531" s="4">
        <v>9263.91</v>
      </c>
      <c r="K1531" s="6">
        <v>0.66</v>
      </c>
      <c r="L1531" s="4">
        <v>211663.67</v>
      </c>
      <c r="M1531" s="4" t="str" cm="1">
        <f t="array" ref="M1531">IF(Excel_Advanced_Sales_Dataset_2000__3[[#This Row],[Total Sales]]&gt;50000,{"Yes"},{"No"})</f>
        <v>Yes</v>
      </c>
      <c r="N1531" s="5">
        <v>46337</v>
      </c>
      <c r="O1531" s="1" t="s">
        <v>113</v>
      </c>
      <c r="P1531" t="s">
        <v>35</v>
      </c>
      <c r="Q1531" t="str">
        <f>IF(Excel_Advanced_Sales_Dataset_2000__3[[#This Row],[Delivery Status]]="Pending","Follow Up","Ok")</f>
        <v>Ok</v>
      </c>
      <c r="R1531" s="1" t="s">
        <v>26</v>
      </c>
      <c r="S1531">
        <f>Excel_Advanced_Sales_Dataset_2000__3[[#This Row],[Quantity]]*Excel_Advanced_Sales_Dataset_2000__3[[#This Row],[Unit Price]]*Excel_Advanced_Sales_Dataset_2000__3[[#This Row],[Discount %]]/100</f>
        <v>1406.261538</v>
      </c>
      <c r="T1531" s="4">
        <f>Excel_Advanced_Sales_Dataset_2000__3[[#This Row],[Quantity]]*Excel_Advanced_Sales_Dataset_2000__3[[#This Row],[Unit Price]]-Excel_Advanced_Sales_Dataset_2000__3[[#This Row],[Discount Amount]]</f>
        <v>211663.668462</v>
      </c>
    </row>
    <row r="1532" spans="1:20" x14ac:dyDescent="0.25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>
        <v>13</v>
      </c>
      <c r="J1532" s="4">
        <v>48147.75</v>
      </c>
      <c r="K1532" s="6">
        <v>18.53</v>
      </c>
      <c r="L1532" s="4">
        <v>509937.64</v>
      </c>
      <c r="M1532" s="4" t="str" cm="1">
        <f t="array" ref="M1532">IF(Excel_Advanced_Sales_Dataset_2000__3[[#This Row],[Total Sales]]&gt;50000,{"Yes"},{"No"})</f>
        <v>Yes</v>
      </c>
      <c r="N1532" s="5">
        <v>46168</v>
      </c>
      <c r="O1532" s="1" t="s">
        <v>24</v>
      </c>
      <c r="P1532" t="s">
        <v>35</v>
      </c>
      <c r="Q1532" t="str">
        <f>IF(Excel_Advanced_Sales_Dataset_2000__3[[#This Row],[Delivery Status]]="Pending","Follow Up","Ok")</f>
        <v>Ok</v>
      </c>
      <c r="R1532" s="1" t="s">
        <v>53</v>
      </c>
      <c r="S1532">
        <f>Excel_Advanced_Sales_Dataset_2000__3[[#This Row],[Quantity]]*Excel_Advanced_Sales_Dataset_2000__3[[#This Row],[Unit Price]]*Excel_Advanced_Sales_Dataset_2000__3[[#This Row],[Discount %]]/100</f>
        <v>115983.114975</v>
      </c>
      <c r="T1532" s="4">
        <f>Excel_Advanced_Sales_Dataset_2000__3[[#This Row],[Quantity]]*Excel_Advanced_Sales_Dataset_2000__3[[#This Row],[Unit Price]]-Excel_Advanced_Sales_Dataset_2000__3[[#This Row],[Discount Amount]]</f>
        <v>509937.63502499997</v>
      </c>
    </row>
    <row r="1533" spans="1:20" x14ac:dyDescent="0.25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>
        <v>40</v>
      </c>
      <c r="J1533" s="4">
        <v>10574.05</v>
      </c>
      <c r="K1533" s="6">
        <v>18.14</v>
      </c>
      <c r="L1533" s="4">
        <v>346236.69</v>
      </c>
      <c r="M1533" s="4" t="str" cm="1">
        <f t="array" ref="M1533">IF(Excel_Advanced_Sales_Dataset_2000__3[[#This Row],[Total Sales]]&gt;50000,{"Yes"},{"No"})</f>
        <v>Yes</v>
      </c>
      <c r="N1533" s="5">
        <v>46240</v>
      </c>
      <c r="O1533" s="1" t="s">
        <v>24</v>
      </c>
      <c r="P1533" t="s">
        <v>35</v>
      </c>
      <c r="Q1533" t="str">
        <f>IF(Excel_Advanced_Sales_Dataset_2000__3[[#This Row],[Delivery Status]]="Pending","Follow Up","Ok")</f>
        <v>Ok</v>
      </c>
      <c r="R1533" s="1" t="s">
        <v>36</v>
      </c>
      <c r="S1533">
        <f>Excel_Advanced_Sales_Dataset_2000__3[[#This Row],[Quantity]]*Excel_Advanced_Sales_Dataset_2000__3[[#This Row],[Unit Price]]*Excel_Advanced_Sales_Dataset_2000__3[[#This Row],[Discount %]]/100</f>
        <v>76725.306800000006</v>
      </c>
      <c r="T1533" s="4">
        <f>Excel_Advanced_Sales_Dataset_2000__3[[#This Row],[Quantity]]*Excel_Advanced_Sales_Dataset_2000__3[[#This Row],[Unit Price]]-Excel_Advanced_Sales_Dataset_2000__3[[#This Row],[Discount Amount]]</f>
        <v>346236.69319999998</v>
      </c>
    </row>
    <row r="1534" spans="1:20" x14ac:dyDescent="0.25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>
        <v>38</v>
      </c>
      <c r="J1534" s="4">
        <v>36828.99</v>
      </c>
      <c r="K1534" s="6">
        <v>11.62</v>
      </c>
      <c r="L1534" s="4">
        <v>1236879.53</v>
      </c>
      <c r="M1534" s="4" t="str" cm="1">
        <f t="array" ref="M1534">IF(Excel_Advanced_Sales_Dataset_2000__3[[#This Row],[Total Sales]]&gt;50000,{"Yes"},{"No"})</f>
        <v>Yes</v>
      </c>
      <c r="N1534" s="5">
        <v>46304</v>
      </c>
      <c r="O1534" s="1" t="s">
        <v>45</v>
      </c>
      <c r="P1534" t="s">
        <v>25</v>
      </c>
      <c r="Q1534" t="str">
        <f>IF(Excel_Advanced_Sales_Dataset_2000__3[[#This Row],[Delivery Status]]="Pending","Follow Up","Ok")</f>
        <v>Follow Up</v>
      </c>
      <c r="R1534" s="1" t="s">
        <v>26</v>
      </c>
      <c r="S1534">
        <f>Excel_Advanced_Sales_Dataset_2000__3[[#This Row],[Quantity]]*Excel_Advanced_Sales_Dataset_2000__3[[#This Row],[Unit Price]]*Excel_Advanced_Sales_Dataset_2000__3[[#This Row],[Discount %]]/100</f>
        <v>162622.08824399998</v>
      </c>
      <c r="T1534" s="4">
        <f>Excel_Advanced_Sales_Dataset_2000__3[[#This Row],[Quantity]]*Excel_Advanced_Sales_Dataset_2000__3[[#This Row],[Unit Price]]-Excel_Advanced_Sales_Dataset_2000__3[[#This Row],[Discount Amount]]</f>
        <v>1236879.5317559999</v>
      </c>
    </row>
    <row r="1535" spans="1:20" x14ac:dyDescent="0.25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>
        <v>30</v>
      </c>
      <c r="J1535" s="4">
        <v>40848.449999999997</v>
      </c>
      <c r="K1535" s="6">
        <v>13.71</v>
      </c>
      <c r="L1535" s="4">
        <v>1057443.83</v>
      </c>
      <c r="M1535" s="4" t="str" cm="1">
        <f t="array" ref="M1535">IF(Excel_Advanced_Sales_Dataset_2000__3[[#This Row],[Total Sales]]&gt;50000,{"Yes"},{"No"})</f>
        <v>Yes</v>
      </c>
      <c r="N1535" s="5">
        <v>46239</v>
      </c>
      <c r="O1535" s="1" t="s">
        <v>24</v>
      </c>
      <c r="P1535" t="s">
        <v>59</v>
      </c>
      <c r="Q1535" t="str">
        <f>IF(Excel_Advanced_Sales_Dataset_2000__3[[#This Row],[Delivery Status]]="Pending","Follow Up","Ok")</f>
        <v>Ok</v>
      </c>
      <c r="R1535" s="1" t="s">
        <v>36</v>
      </c>
      <c r="S1535">
        <f>Excel_Advanced_Sales_Dataset_2000__3[[#This Row],[Quantity]]*Excel_Advanced_Sales_Dataset_2000__3[[#This Row],[Unit Price]]*Excel_Advanced_Sales_Dataset_2000__3[[#This Row],[Discount %]]/100</f>
        <v>168009.67484999998</v>
      </c>
      <c r="T1535" s="4">
        <f>Excel_Advanced_Sales_Dataset_2000__3[[#This Row],[Quantity]]*Excel_Advanced_Sales_Dataset_2000__3[[#This Row],[Unit Price]]-Excel_Advanced_Sales_Dataset_2000__3[[#This Row],[Discount Amount]]</f>
        <v>1057443.8251499999</v>
      </c>
    </row>
    <row r="1536" spans="1:20" x14ac:dyDescent="0.25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>
        <v>1</v>
      </c>
      <c r="J1536" s="4">
        <v>2926.65</v>
      </c>
      <c r="K1536" s="6">
        <v>16.98</v>
      </c>
      <c r="L1536" s="4">
        <v>2429.6999999999998</v>
      </c>
      <c r="M1536" s="4" t="str" cm="1">
        <f t="array" ref="M1536">IF(Excel_Advanced_Sales_Dataset_2000__3[[#This Row],[Total Sales]]&gt;50000,{"Yes"},{"No"})</f>
        <v>No</v>
      </c>
      <c r="N1536" s="5">
        <v>46127</v>
      </c>
      <c r="O1536" s="1" t="s">
        <v>45</v>
      </c>
      <c r="P1536" t="s">
        <v>35</v>
      </c>
      <c r="Q1536" t="str">
        <f>IF(Excel_Advanced_Sales_Dataset_2000__3[[#This Row],[Delivery Status]]="Pending","Follow Up","Ok")</f>
        <v>Ok</v>
      </c>
      <c r="R1536" s="1" t="s">
        <v>36</v>
      </c>
      <c r="S1536">
        <f>Excel_Advanced_Sales_Dataset_2000__3[[#This Row],[Quantity]]*Excel_Advanced_Sales_Dataset_2000__3[[#This Row],[Unit Price]]*Excel_Advanced_Sales_Dataset_2000__3[[#This Row],[Discount %]]/100</f>
        <v>496.94517000000002</v>
      </c>
      <c r="T1536" s="4">
        <f>Excel_Advanced_Sales_Dataset_2000__3[[#This Row],[Quantity]]*Excel_Advanced_Sales_Dataset_2000__3[[#This Row],[Unit Price]]-Excel_Advanced_Sales_Dataset_2000__3[[#This Row],[Discount Amount]]</f>
        <v>2429.7048300000001</v>
      </c>
    </row>
    <row r="1537" spans="1:20" x14ac:dyDescent="0.25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>
        <v>4</v>
      </c>
      <c r="J1537" s="4">
        <v>24283.39</v>
      </c>
      <c r="K1537" s="6">
        <v>4.1399999999999997</v>
      </c>
      <c r="L1537" s="4">
        <v>93112.23</v>
      </c>
      <c r="M1537" s="4" t="str" cm="1">
        <f t="array" ref="M1537">IF(Excel_Advanced_Sales_Dataset_2000__3[[#This Row],[Total Sales]]&gt;50000,{"Yes"},{"No"})</f>
        <v>Yes</v>
      </c>
      <c r="N1537" s="5">
        <v>46139</v>
      </c>
      <c r="O1537" s="1" t="s">
        <v>68</v>
      </c>
      <c r="P1537" t="s">
        <v>35</v>
      </c>
      <c r="Q1537" t="str">
        <f>IF(Excel_Advanced_Sales_Dataset_2000__3[[#This Row],[Delivery Status]]="Pending","Follow Up","Ok")</f>
        <v>Ok</v>
      </c>
      <c r="R1537" s="1" t="s">
        <v>53</v>
      </c>
      <c r="S1537">
        <f>Excel_Advanced_Sales_Dataset_2000__3[[#This Row],[Quantity]]*Excel_Advanced_Sales_Dataset_2000__3[[#This Row],[Unit Price]]*Excel_Advanced_Sales_Dataset_2000__3[[#This Row],[Discount %]]/100</f>
        <v>4021.3293839999997</v>
      </c>
      <c r="T1537" s="4">
        <f>Excel_Advanced_Sales_Dataset_2000__3[[#This Row],[Quantity]]*Excel_Advanced_Sales_Dataset_2000__3[[#This Row],[Unit Price]]-Excel_Advanced_Sales_Dataset_2000__3[[#This Row],[Discount Amount]]</f>
        <v>93112.230616000001</v>
      </c>
    </row>
    <row r="1538" spans="1:20" x14ac:dyDescent="0.25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>
        <v>26</v>
      </c>
      <c r="J1538" s="4">
        <v>3491.72</v>
      </c>
      <c r="K1538" s="6">
        <v>14.22</v>
      </c>
      <c r="L1538" s="4">
        <v>77875.13</v>
      </c>
      <c r="M1538" s="4" t="str" cm="1">
        <f t="array" ref="M1538">IF(Excel_Advanced_Sales_Dataset_2000__3[[#This Row],[Total Sales]]&gt;50000,{"Yes"},{"No"})</f>
        <v>Yes</v>
      </c>
      <c r="N1538" s="5">
        <v>46138</v>
      </c>
      <c r="O1538" s="1" t="s">
        <v>113</v>
      </c>
      <c r="P1538" t="s">
        <v>35</v>
      </c>
      <c r="Q1538" t="str">
        <f>IF(Excel_Advanced_Sales_Dataset_2000__3[[#This Row],[Delivery Status]]="Pending","Follow Up","Ok")</f>
        <v>Ok</v>
      </c>
      <c r="R1538" s="1" t="s">
        <v>26</v>
      </c>
      <c r="S1538">
        <f>Excel_Advanced_Sales_Dataset_2000__3[[#This Row],[Quantity]]*Excel_Advanced_Sales_Dataset_2000__3[[#This Row],[Unit Price]]*Excel_Advanced_Sales_Dataset_2000__3[[#This Row],[Discount %]]/100</f>
        <v>12909.587184000002</v>
      </c>
      <c r="T1538" s="4">
        <f>Excel_Advanced_Sales_Dataset_2000__3[[#This Row],[Quantity]]*Excel_Advanced_Sales_Dataset_2000__3[[#This Row],[Unit Price]]-Excel_Advanced_Sales_Dataset_2000__3[[#This Row],[Discount Amount]]</f>
        <v>77875.132815999998</v>
      </c>
    </row>
    <row r="1539" spans="1:20" x14ac:dyDescent="0.25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>
        <v>43</v>
      </c>
      <c r="J1539" s="4">
        <v>49424.82</v>
      </c>
      <c r="K1539" s="6">
        <v>8.7100000000000009</v>
      </c>
      <c r="L1539" s="4">
        <v>1940156.48</v>
      </c>
      <c r="M1539" s="4" t="str" cm="1">
        <f t="array" ref="M1539">IF(Excel_Advanced_Sales_Dataset_2000__3[[#This Row],[Total Sales]]&gt;50000,{"Yes"},{"No"})</f>
        <v>Yes</v>
      </c>
      <c r="N1539" s="5">
        <v>46320</v>
      </c>
      <c r="O1539" s="1" t="s">
        <v>68</v>
      </c>
      <c r="P1539" t="s">
        <v>35</v>
      </c>
      <c r="Q1539" t="str">
        <f>IF(Excel_Advanced_Sales_Dataset_2000__3[[#This Row],[Delivery Status]]="Pending","Follow Up","Ok")</f>
        <v>Ok</v>
      </c>
      <c r="R1539" s="1" t="s">
        <v>36</v>
      </c>
      <c r="S1539">
        <f>Excel_Advanced_Sales_Dataset_2000__3[[#This Row],[Quantity]]*Excel_Advanced_Sales_Dataset_2000__3[[#This Row],[Unit Price]]*Excel_Advanced_Sales_Dataset_2000__3[[#This Row],[Discount %]]/100</f>
        <v>185110.77834600001</v>
      </c>
      <c r="T1539" s="4">
        <f>Excel_Advanced_Sales_Dataset_2000__3[[#This Row],[Quantity]]*Excel_Advanced_Sales_Dataset_2000__3[[#This Row],[Unit Price]]-Excel_Advanced_Sales_Dataset_2000__3[[#This Row],[Discount Amount]]</f>
        <v>1940156.4816539998</v>
      </c>
    </row>
    <row r="1540" spans="1:20" x14ac:dyDescent="0.25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>
        <v>49</v>
      </c>
      <c r="J1540" s="4">
        <v>8314.2800000000007</v>
      </c>
      <c r="K1540" s="6">
        <v>19.55</v>
      </c>
      <c r="L1540" s="4">
        <v>327753.07</v>
      </c>
      <c r="M1540" s="4" t="str" cm="1">
        <f t="array" ref="M1540">IF(Excel_Advanced_Sales_Dataset_2000__3[[#This Row],[Total Sales]]&gt;50000,{"Yes"},{"No"})</f>
        <v>Yes</v>
      </c>
      <c r="N1540" s="5">
        <v>46299</v>
      </c>
      <c r="O1540" s="1" t="s">
        <v>24</v>
      </c>
      <c r="P1540" t="s">
        <v>35</v>
      </c>
      <c r="Q1540" t="str">
        <f>IF(Excel_Advanced_Sales_Dataset_2000__3[[#This Row],[Delivery Status]]="Pending","Follow Up","Ok")</f>
        <v>Ok</v>
      </c>
      <c r="R1540" s="1" t="s">
        <v>36</v>
      </c>
      <c r="S1540">
        <f>Excel_Advanced_Sales_Dataset_2000__3[[#This Row],[Quantity]]*Excel_Advanced_Sales_Dataset_2000__3[[#This Row],[Unit Price]]*Excel_Advanced_Sales_Dataset_2000__3[[#This Row],[Discount %]]/100</f>
        <v>79646.645260000005</v>
      </c>
      <c r="T1540" s="4">
        <f>Excel_Advanced_Sales_Dataset_2000__3[[#This Row],[Quantity]]*Excel_Advanced_Sales_Dataset_2000__3[[#This Row],[Unit Price]]-Excel_Advanced_Sales_Dataset_2000__3[[#This Row],[Discount Amount]]</f>
        <v>327753.07474000001</v>
      </c>
    </row>
    <row r="1541" spans="1:20" x14ac:dyDescent="0.25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>
        <v>42</v>
      </c>
      <c r="J1541" s="4">
        <v>22250.97</v>
      </c>
      <c r="K1541" s="6">
        <v>8.5399999999999991</v>
      </c>
      <c r="L1541" s="4">
        <v>854730.96</v>
      </c>
      <c r="M1541" s="4" t="str" cm="1">
        <f t="array" ref="M1541">IF(Excel_Advanced_Sales_Dataset_2000__3[[#This Row],[Total Sales]]&gt;50000,{"Yes"},{"No"})</f>
        <v>Yes</v>
      </c>
      <c r="N1541" s="5">
        <v>46258</v>
      </c>
      <c r="O1541" s="1" t="s">
        <v>45</v>
      </c>
      <c r="P1541" t="s">
        <v>35</v>
      </c>
      <c r="Q1541" t="str">
        <f>IF(Excel_Advanced_Sales_Dataset_2000__3[[#This Row],[Delivery Status]]="Pending","Follow Up","Ok")</f>
        <v>Ok</v>
      </c>
      <c r="R1541" s="1" t="s">
        <v>53</v>
      </c>
      <c r="S1541">
        <f>Excel_Advanced_Sales_Dataset_2000__3[[#This Row],[Quantity]]*Excel_Advanced_Sales_Dataset_2000__3[[#This Row],[Unit Price]]*Excel_Advanced_Sales_Dataset_2000__3[[#This Row],[Discount %]]/100</f>
        <v>79809.779195999989</v>
      </c>
      <c r="T1541" s="4">
        <f>Excel_Advanced_Sales_Dataset_2000__3[[#This Row],[Quantity]]*Excel_Advanced_Sales_Dataset_2000__3[[#This Row],[Unit Price]]-Excel_Advanced_Sales_Dataset_2000__3[[#This Row],[Discount Amount]]</f>
        <v>854730.96080400003</v>
      </c>
    </row>
    <row r="1542" spans="1:20" x14ac:dyDescent="0.25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>
        <v>16</v>
      </c>
      <c r="J1542" s="4">
        <v>19951.87</v>
      </c>
      <c r="K1542" s="6">
        <v>1.22</v>
      </c>
      <c r="L1542" s="4">
        <v>315335.31</v>
      </c>
      <c r="M1542" s="4" t="str" cm="1">
        <f t="array" ref="M1542">IF(Excel_Advanced_Sales_Dataset_2000__3[[#This Row],[Total Sales]]&gt;50000,{"Yes"},{"No"})</f>
        <v>Yes</v>
      </c>
      <c r="N1542" s="5">
        <v>46268</v>
      </c>
      <c r="O1542" s="1" t="s">
        <v>45</v>
      </c>
      <c r="P1542" t="s">
        <v>35</v>
      </c>
      <c r="Q1542" t="str">
        <f>IF(Excel_Advanced_Sales_Dataset_2000__3[[#This Row],[Delivery Status]]="Pending","Follow Up","Ok")</f>
        <v>Ok</v>
      </c>
      <c r="R1542" s="1" t="s">
        <v>53</v>
      </c>
      <c r="S1542">
        <f>Excel_Advanced_Sales_Dataset_2000__3[[#This Row],[Quantity]]*Excel_Advanced_Sales_Dataset_2000__3[[#This Row],[Unit Price]]*Excel_Advanced_Sales_Dataset_2000__3[[#This Row],[Discount %]]/100</f>
        <v>3894.605024</v>
      </c>
      <c r="T1542" s="4">
        <f>Excel_Advanced_Sales_Dataset_2000__3[[#This Row],[Quantity]]*Excel_Advanced_Sales_Dataset_2000__3[[#This Row],[Unit Price]]-Excel_Advanced_Sales_Dataset_2000__3[[#This Row],[Discount Amount]]</f>
        <v>315335.31497599999</v>
      </c>
    </row>
    <row r="1543" spans="1:20" x14ac:dyDescent="0.25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>
        <v>12</v>
      </c>
      <c r="J1543" s="4">
        <v>23813.82</v>
      </c>
      <c r="K1543" s="6">
        <v>0.72</v>
      </c>
      <c r="L1543" s="4">
        <v>283708.33</v>
      </c>
      <c r="M1543" s="4" t="str" cm="1">
        <f t="array" ref="M1543">IF(Excel_Advanced_Sales_Dataset_2000__3[[#This Row],[Total Sales]]&gt;50000,{"Yes"},{"No"})</f>
        <v>Yes</v>
      </c>
      <c r="N1543" s="5">
        <v>46207</v>
      </c>
      <c r="O1543" s="1" t="s">
        <v>45</v>
      </c>
      <c r="P1543" t="s">
        <v>25</v>
      </c>
      <c r="Q1543" t="str">
        <f>IF(Excel_Advanced_Sales_Dataset_2000__3[[#This Row],[Delivery Status]]="Pending","Follow Up","Ok")</f>
        <v>Follow Up</v>
      </c>
      <c r="R1543" s="1" t="s">
        <v>36</v>
      </c>
      <c r="S1543">
        <f>Excel_Advanced_Sales_Dataset_2000__3[[#This Row],[Quantity]]*Excel_Advanced_Sales_Dataset_2000__3[[#This Row],[Unit Price]]*Excel_Advanced_Sales_Dataset_2000__3[[#This Row],[Discount %]]/100</f>
        <v>2057.5140479999995</v>
      </c>
      <c r="T1543" s="4">
        <f>Excel_Advanced_Sales_Dataset_2000__3[[#This Row],[Quantity]]*Excel_Advanced_Sales_Dataset_2000__3[[#This Row],[Unit Price]]-Excel_Advanced_Sales_Dataset_2000__3[[#This Row],[Discount Amount]]</f>
        <v>283708.32595199998</v>
      </c>
    </row>
    <row r="1544" spans="1:20" x14ac:dyDescent="0.25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>
        <v>45</v>
      </c>
      <c r="J1544" s="4">
        <v>17780.52</v>
      </c>
      <c r="K1544" s="6">
        <v>5.7</v>
      </c>
      <c r="L1544" s="4">
        <v>754516.37</v>
      </c>
      <c r="M1544" s="4" t="str" cm="1">
        <f t="array" ref="M1544">IF(Excel_Advanced_Sales_Dataset_2000__3[[#This Row],[Total Sales]]&gt;50000,{"Yes"},{"No"})</f>
        <v>Yes</v>
      </c>
      <c r="N1544" s="5">
        <v>46067</v>
      </c>
      <c r="O1544" s="1" t="s">
        <v>68</v>
      </c>
      <c r="P1544" t="s">
        <v>25</v>
      </c>
      <c r="Q1544" t="str">
        <f>IF(Excel_Advanced_Sales_Dataset_2000__3[[#This Row],[Delivery Status]]="Pending","Follow Up","Ok")</f>
        <v>Follow Up</v>
      </c>
      <c r="R1544" s="1" t="s">
        <v>26</v>
      </c>
      <c r="S1544">
        <f>Excel_Advanced_Sales_Dataset_2000__3[[#This Row],[Quantity]]*Excel_Advanced_Sales_Dataset_2000__3[[#This Row],[Unit Price]]*Excel_Advanced_Sales_Dataset_2000__3[[#This Row],[Discount %]]/100</f>
        <v>45607.033799999997</v>
      </c>
      <c r="T1544" s="4">
        <f>Excel_Advanced_Sales_Dataset_2000__3[[#This Row],[Quantity]]*Excel_Advanced_Sales_Dataset_2000__3[[#This Row],[Unit Price]]-Excel_Advanced_Sales_Dataset_2000__3[[#This Row],[Discount Amount]]</f>
        <v>754516.36620000005</v>
      </c>
    </row>
    <row r="1545" spans="1:20" x14ac:dyDescent="0.25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>
        <v>5</v>
      </c>
      <c r="J1545" s="4">
        <v>3660.71</v>
      </c>
      <c r="K1545" s="6">
        <v>5.41</v>
      </c>
      <c r="L1545" s="4">
        <v>17313.330000000002</v>
      </c>
      <c r="M1545" s="4" t="str" cm="1">
        <f t="array" ref="M1545">IF(Excel_Advanced_Sales_Dataset_2000__3[[#This Row],[Total Sales]]&gt;50000,{"Yes"},{"No"})</f>
        <v>No</v>
      </c>
      <c r="N1545" s="5">
        <v>46120</v>
      </c>
      <c r="O1545" s="1" t="s">
        <v>68</v>
      </c>
      <c r="P1545" t="s">
        <v>35</v>
      </c>
      <c r="Q1545" t="str">
        <f>IF(Excel_Advanced_Sales_Dataset_2000__3[[#This Row],[Delivery Status]]="Pending","Follow Up","Ok")</f>
        <v>Ok</v>
      </c>
      <c r="R1545" s="1" t="s">
        <v>26</v>
      </c>
      <c r="S1545">
        <f>Excel_Advanced_Sales_Dataset_2000__3[[#This Row],[Quantity]]*Excel_Advanced_Sales_Dataset_2000__3[[#This Row],[Unit Price]]*Excel_Advanced_Sales_Dataset_2000__3[[#This Row],[Discount %]]/100</f>
        <v>990.22205499999995</v>
      </c>
      <c r="T1545" s="4">
        <f>Excel_Advanced_Sales_Dataset_2000__3[[#This Row],[Quantity]]*Excel_Advanced_Sales_Dataset_2000__3[[#This Row],[Unit Price]]-Excel_Advanced_Sales_Dataset_2000__3[[#This Row],[Discount Amount]]</f>
        <v>17313.327945000001</v>
      </c>
    </row>
    <row r="1546" spans="1:20" x14ac:dyDescent="0.25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>
        <v>34</v>
      </c>
      <c r="J1546" s="4">
        <v>31405.59</v>
      </c>
      <c r="K1546" s="6">
        <v>14.28</v>
      </c>
      <c r="L1546" s="4">
        <v>915309.64</v>
      </c>
      <c r="M1546" s="4" t="str" cm="1">
        <f t="array" ref="M1546">IF(Excel_Advanced_Sales_Dataset_2000__3[[#This Row],[Total Sales]]&gt;50000,{"Yes"},{"No"})</f>
        <v>Yes</v>
      </c>
      <c r="N1546" s="5">
        <v>46352</v>
      </c>
      <c r="O1546" s="1" t="s">
        <v>68</v>
      </c>
      <c r="P1546" t="s">
        <v>35</v>
      </c>
      <c r="Q1546" t="str">
        <f>IF(Excel_Advanced_Sales_Dataset_2000__3[[#This Row],[Delivery Status]]="Pending","Follow Up","Ok")</f>
        <v>Ok</v>
      </c>
      <c r="R1546" s="1" t="s">
        <v>53</v>
      </c>
      <c r="S1546">
        <f>Excel_Advanced_Sales_Dataset_2000__3[[#This Row],[Quantity]]*Excel_Advanced_Sales_Dataset_2000__3[[#This Row],[Unit Price]]*Excel_Advanced_Sales_Dataset_2000__3[[#This Row],[Discount %]]/100</f>
        <v>152480.420568</v>
      </c>
      <c r="T1546" s="4">
        <f>Excel_Advanced_Sales_Dataset_2000__3[[#This Row],[Quantity]]*Excel_Advanced_Sales_Dataset_2000__3[[#This Row],[Unit Price]]-Excel_Advanced_Sales_Dataset_2000__3[[#This Row],[Discount Amount]]</f>
        <v>915309.639432</v>
      </c>
    </row>
    <row r="1547" spans="1:20" x14ac:dyDescent="0.25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>
        <v>16</v>
      </c>
      <c r="J1547" s="4">
        <v>44170.58</v>
      </c>
      <c r="K1547" s="6">
        <v>3.16</v>
      </c>
      <c r="L1547" s="4">
        <v>684396.63</v>
      </c>
      <c r="M1547" s="4" t="str" cm="1">
        <f t="array" ref="M1547">IF(Excel_Advanced_Sales_Dataset_2000__3[[#This Row],[Total Sales]]&gt;50000,{"Yes"},{"No"})</f>
        <v>Yes</v>
      </c>
      <c r="N1547" s="5">
        <v>46241</v>
      </c>
      <c r="O1547" s="1" t="s">
        <v>24</v>
      </c>
      <c r="P1547" t="s">
        <v>35</v>
      </c>
      <c r="Q1547" t="str">
        <f>IF(Excel_Advanced_Sales_Dataset_2000__3[[#This Row],[Delivery Status]]="Pending","Follow Up","Ok")</f>
        <v>Ok</v>
      </c>
      <c r="R1547" s="1" t="s">
        <v>26</v>
      </c>
      <c r="S1547">
        <f>Excel_Advanced_Sales_Dataset_2000__3[[#This Row],[Quantity]]*Excel_Advanced_Sales_Dataset_2000__3[[#This Row],[Unit Price]]*Excel_Advanced_Sales_Dataset_2000__3[[#This Row],[Discount %]]/100</f>
        <v>22332.645248000001</v>
      </c>
      <c r="T1547" s="4">
        <f>Excel_Advanced_Sales_Dataset_2000__3[[#This Row],[Quantity]]*Excel_Advanced_Sales_Dataset_2000__3[[#This Row],[Unit Price]]-Excel_Advanced_Sales_Dataset_2000__3[[#This Row],[Discount Amount]]</f>
        <v>684396.63475199998</v>
      </c>
    </row>
    <row r="1548" spans="1:20" x14ac:dyDescent="0.25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>
        <v>20</v>
      </c>
      <c r="J1548" s="4">
        <v>6390.67</v>
      </c>
      <c r="K1548" s="6">
        <v>7.54</v>
      </c>
      <c r="L1548" s="4">
        <v>118176.27</v>
      </c>
      <c r="M1548" s="4" t="str" cm="1">
        <f t="array" ref="M1548">IF(Excel_Advanced_Sales_Dataset_2000__3[[#This Row],[Total Sales]]&gt;50000,{"Yes"},{"No"})</f>
        <v>Yes</v>
      </c>
      <c r="N1548" s="5">
        <v>46216</v>
      </c>
      <c r="O1548" s="1" t="s">
        <v>68</v>
      </c>
      <c r="P1548" t="s">
        <v>35</v>
      </c>
      <c r="Q1548" t="str">
        <f>IF(Excel_Advanced_Sales_Dataset_2000__3[[#This Row],[Delivery Status]]="Pending","Follow Up","Ok")</f>
        <v>Ok</v>
      </c>
      <c r="R1548" s="1" t="s">
        <v>26</v>
      </c>
      <c r="S1548">
        <f>Excel_Advanced_Sales_Dataset_2000__3[[#This Row],[Quantity]]*Excel_Advanced_Sales_Dataset_2000__3[[#This Row],[Unit Price]]*Excel_Advanced_Sales_Dataset_2000__3[[#This Row],[Discount %]]/100</f>
        <v>9637.1303599999992</v>
      </c>
      <c r="T1548" s="4">
        <f>Excel_Advanced_Sales_Dataset_2000__3[[#This Row],[Quantity]]*Excel_Advanced_Sales_Dataset_2000__3[[#This Row],[Unit Price]]-Excel_Advanced_Sales_Dataset_2000__3[[#This Row],[Discount Amount]]</f>
        <v>118176.26964</v>
      </c>
    </row>
    <row r="1549" spans="1:20" x14ac:dyDescent="0.25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>
        <v>27</v>
      </c>
      <c r="J1549" s="4">
        <v>25873.34</v>
      </c>
      <c r="K1549" s="6">
        <v>7.02</v>
      </c>
      <c r="L1549" s="4">
        <v>649539.85</v>
      </c>
      <c r="M1549" s="4" t="str" cm="1">
        <f t="array" ref="M1549">IF(Excel_Advanced_Sales_Dataset_2000__3[[#This Row],[Total Sales]]&gt;50000,{"Yes"},{"No"})</f>
        <v>Yes</v>
      </c>
      <c r="N1549" s="5">
        <v>46102</v>
      </c>
      <c r="O1549" s="1" t="s">
        <v>45</v>
      </c>
      <c r="P1549" t="s">
        <v>35</v>
      </c>
      <c r="Q1549" t="str">
        <f>IF(Excel_Advanced_Sales_Dataset_2000__3[[#This Row],[Delivery Status]]="Pending","Follow Up","Ok")</f>
        <v>Ok</v>
      </c>
      <c r="R1549" s="1" t="s">
        <v>36</v>
      </c>
      <c r="S1549">
        <f>Excel_Advanced_Sales_Dataset_2000__3[[#This Row],[Quantity]]*Excel_Advanced_Sales_Dataset_2000__3[[#This Row],[Unit Price]]*Excel_Advanced_Sales_Dataset_2000__3[[#This Row],[Discount %]]/100</f>
        <v>49040.328635999998</v>
      </c>
      <c r="T1549" s="4">
        <f>Excel_Advanced_Sales_Dataset_2000__3[[#This Row],[Quantity]]*Excel_Advanced_Sales_Dataset_2000__3[[#This Row],[Unit Price]]-Excel_Advanced_Sales_Dataset_2000__3[[#This Row],[Discount Amount]]</f>
        <v>649539.851364</v>
      </c>
    </row>
    <row r="1550" spans="1:20" x14ac:dyDescent="0.25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>
        <v>12</v>
      </c>
      <c r="J1550" s="4">
        <v>10253.01</v>
      </c>
      <c r="K1550" s="6">
        <v>10.64</v>
      </c>
      <c r="L1550" s="4">
        <v>109945.08</v>
      </c>
      <c r="M1550" s="4" t="str" cm="1">
        <f t="array" ref="M1550">IF(Excel_Advanced_Sales_Dataset_2000__3[[#This Row],[Total Sales]]&gt;50000,{"Yes"},{"No"})</f>
        <v>Yes</v>
      </c>
      <c r="N1550" s="5">
        <v>46130</v>
      </c>
      <c r="O1550" s="1" t="s">
        <v>24</v>
      </c>
      <c r="P1550" t="s">
        <v>35</v>
      </c>
      <c r="Q1550" t="str">
        <f>IF(Excel_Advanced_Sales_Dataset_2000__3[[#This Row],[Delivery Status]]="Pending","Follow Up","Ok")</f>
        <v>Ok</v>
      </c>
      <c r="R1550" s="1" t="s">
        <v>36</v>
      </c>
      <c r="S1550">
        <f>Excel_Advanced_Sales_Dataset_2000__3[[#This Row],[Quantity]]*Excel_Advanced_Sales_Dataset_2000__3[[#This Row],[Unit Price]]*Excel_Advanced_Sales_Dataset_2000__3[[#This Row],[Discount %]]/100</f>
        <v>13091.043167999998</v>
      </c>
      <c r="T1550" s="4">
        <f>Excel_Advanced_Sales_Dataset_2000__3[[#This Row],[Quantity]]*Excel_Advanced_Sales_Dataset_2000__3[[#This Row],[Unit Price]]-Excel_Advanced_Sales_Dataset_2000__3[[#This Row],[Discount Amount]]</f>
        <v>109945.07683199999</v>
      </c>
    </row>
    <row r="1551" spans="1:20" x14ac:dyDescent="0.25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>
        <v>40</v>
      </c>
      <c r="J1551" s="4">
        <v>3410.48</v>
      </c>
      <c r="K1551" s="6">
        <v>7.99</v>
      </c>
      <c r="L1551" s="4">
        <v>125519.31</v>
      </c>
      <c r="M1551" s="4" t="str" cm="1">
        <f t="array" ref="M1551">IF(Excel_Advanced_Sales_Dataset_2000__3[[#This Row],[Total Sales]]&gt;50000,{"Yes"},{"No"})</f>
        <v>Yes</v>
      </c>
      <c r="N1551" s="5">
        <v>46092</v>
      </c>
      <c r="O1551" s="1" t="s">
        <v>68</v>
      </c>
      <c r="P1551" t="s">
        <v>35</v>
      </c>
      <c r="Q1551" t="str">
        <f>IF(Excel_Advanced_Sales_Dataset_2000__3[[#This Row],[Delivery Status]]="Pending","Follow Up","Ok")</f>
        <v>Ok</v>
      </c>
      <c r="R1551" s="1" t="s">
        <v>36</v>
      </c>
      <c r="S1551">
        <f>Excel_Advanced_Sales_Dataset_2000__3[[#This Row],[Quantity]]*Excel_Advanced_Sales_Dataset_2000__3[[#This Row],[Unit Price]]*Excel_Advanced_Sales_Dataset_2000__3[[#This Row],[Discount %]]/100</f>
        <v>10899.89408</v>
      </c>
      <c r="T1551" s="4">
        <f>Excel_Advanced_Sales_Dataset_2000__3[[#This Row],[Quantity]]*Excel_Advanced_Sales_Dataset_2000__3[[#This Row],[Unit Price]]-Excel_Advanced_Sales_Dataset_2000__3[[#This Row],[Discount Amount]]</f>
        <v>125519.30592000001</v>
      </c>
    </row>
    <row r="1552" spans="1:20" x14ac:dyDescent="0.25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>
        <v>23</v>
      </c>
      <c r="J1552" s="4">
        <v>49408.28</v>
      </c>
      <c r="K1552" s="6">
        <v>10.06</v>
      </c>
      <c r="L1552" s="4">
        <v>1022069.56</v>
      </c>
      <c r="M1552" s="4" t="str" cm="1">
        <f t="array" ref="M1552">IF(Excel_Advanced_Sales_Dataset_2000__3[[#This Row],[Total Sales]]&gt;50000,{"Yes"},{"No"})</f>
        <v>Yes</v>
      </c>
      <c r="N1552" s="5">
        <v>46058</v>
      </c>
      <c r="O1552" s="1" t="s">
        <v>113</v>
      </c>
      <c r="P1552" t="s">
        <v>35</v>
      </c>
      <c r="Q1552" t="str">
        <f>IF(Excel_Advanced_Sales_Dataset_2000__3[[#This Row],[Delivery Status]]="Pending","Follow Up","Ok")</f>
        <v>Ok</v>
      </c>
      <c r="R1552" s="1" t="s">
        <v>53</v>
      </c>
      <c r="S1552">
        <f>Excel_Advanced_Sales_Dataset_2000__3[[#This Row],[Quantity]]*Excel_Advanced_Sales_Dataset_2000__3[[#This Row],[Unit Price]]*Excel_Advanced_Sales_Dataset_2000__3[[#This Row],[Discount %]]/100</f>
        <v>114320.878264</v>
      </c>
      <c r="T1552" s="4">
        <f>Excel_Advanced_Sales_Dataset_2000__3[[#This Row],[Quantity]]*Excel_Advanced_Sales_Dataset_2000__3[[#This Row],[Unit Price]]-Excel_Advanced_Sales_Dataset_2000__3[[#This Row],[Discount Amount]]</f>
        <v>1022069.561736</v>
      </c>
    </row>
    <row r="1553" spans="1:20" x14ac:dyDescent="0.25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>
        <v>40</v>
      </c>
      <c r="J1553" s="4">
        <v>43679.07</v>
      </c>
      <c r="K1553" s="6">
        <v>7.52</v>
      </c>
      <c r="L1553" s="4">
        <v>1615776.16</v>
      </c>
      <c r="M1553" s="4" t="str" cm="1">
        <f t="array" ref="M1553">IF(Excel_Advanced_Sales_Dataset_2000__3[[#This Row],[Total Sales]]&gt;50000,{"Yes"},{"No"})</f>
        <v>Yes</v>
      </c>
      <c r="N1553" s="5">
        <v>46337</v>
      </c>
      <c r="O1553" s="1" t="s">
        <v>68</v>
      </c>
      <c r="P1553" t="s">
        <v>35</v>
      </c>
      <c r="Q1553" t="str">
        <f>IF(Excel_Advanced_Sales_Dataset_2000__3[[#This Row],[Delivery Status]]="Pending","Follow Up","Ok")</f>
        <v>Ok</v>
      </c>
      <c r="R1553" s="1" t="s">
        <v>53</v>
      </c>
      <c r="S1553">
        <f>Excel_Advanced_Sales_Dataset_2000__3[[#This Row],[Quantity]]*Excel_Advanced_Sales_Dataset_2000__3[[#This Row],[Unit Price]]*Excel_Advanced_Sales_Dataset_2000__3[[#This Row],[Discount %]]/100</f>
        <v>131386.64255999998</v>
      </c>
      <c r="T1553" s="4">
        <f>Excel_Advanced_Sales_Dataset_2000__3[[#This Row],[Quantity]]*Excel_Advanced_Sales_Dataset_2000__3[[#This Row],[Unit Price]]-Excel_Advanced_Sales_Dataset_2000__3[[#This Row],[Discount Amount]]</f>
        <v>1615776.15744</v>
      </c>
    </row>
    <row r="1554" spans="1:20" x14ac:dyDescent="0.25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>
        <v>5</v>
      </c>
      <c r="J1554" s="4">
        <v>26057.14</v>
      </c>
      <c r="K1554" s="6">
        <v>14.97</v>
      </c>
      <c r="L1554" s="4">
        <v>110781.93</v>
      </c>
      <c r="M1554" s="4" t="str" cm="1">
        <f t="array" ref="M1554">IF(Excel_Advanced_Sales_Dataset_2000__3[[#This Row],[Total Sales]]&gt;50000,{"Yes"},{"No"})</f>
        <v>Yes</v>
      </c>
      <c r="N1554" s="5">
        <v>46155</v>
      </c>
      <c r="O1554" s="1" t="s">
        <v>58</v>
      </c>
      <c r="P1554" t="s">
        <v>35</v>
      </c>
      <c r="Q1554" t="str">
        <f>IF(Excel_Advanced_Sales_Dataset_2000__3[[#This Row],[Delivery Status]]="Pending","Follow Up","Ok")</f>
        <v>Ok</v>
      </c>
      <c r="R1554" s="1" t="s">
        <v>26</v>
      </c>
      <c r="S1554">
        <f>Excel_Advanced_Sales_Dataset_2000__3[[#This Row],[Quantity]]*Excel_Advanced_Sales_Dataset_2000__3[[#This Row],[Unit Price]]*Excel_Advanced_Sales_Dataset_2000__3[[#This Row],[Discount %]]/100</f>
        <v>19503.76929</v>
      </c>
      <c r="T1554" s="4">
        <f>Excel_Advanced_Sales_Dataset_2000__3[[#This Row],[Quantity]]*Excel_Advanced_Sales_Dataset_2000__3[[#This Row],[Unit Price]]-Excel_Advanced_Sales_Dataset_2000__3[[#This Row],[Discount Amount]]</f>
        <v>110781.93071</v>
      </c>
    </row>
    <row r="1555" spans="1:20" x14ac:dyDescent="0.25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>
        <v>35</v>
      </c>
      <c r="J1555" s="4">
        <v>1800.36</v>
      </c>
      <c r="K1555" s="6">
        <v>5.33</v>
      </c>
      <c r="L1555" s="4">
        <v>59654.03</v>
      </c>
      <c r="M1555" s="4" t="str" cm="1">
        <f t="array" ref="M1555">IF(Excel_Advanced_Sales_Dataset_2000__3[[#This Row],[Total Sales]]&gt;50000,{"Yes"},{"No"})</f>
        <v>Yes</v>
      </c>
      <c r="N1555" s="5">
        <v>46093</v>
      </c>
      <c r="O1555" s="1" t="s">
        <v>68</v>
      </c>
      <c r="P1555" t="s">
        <v>35</v>
      </c>
      <c r="Q1555" t="str">
        <f>IF(Excel_Advanced_Sales_Dataset_2000__3[[#This Row],[Delivery Status]]="Pending","Follow Up","Ok")</f>
        <v>Ok</v>
      </c>
      <c r="R1555" s="1" t="s">
        <v>36</v>
      </c>
      <c r="S1555">
        <f>Excel_Advanced_Sales_Dataset_2000__3[[#This Row],[Quantity]]*Excel_Advanced_Sales_Dataset_2000__3[[#This Row],[Unit Price]]*Excel_Advanced_Sales_Dataset_2000__3[[#This Row],[Discount %]]/100</f>
        <v>3358.5715799999998</v>
      </c>
      <c r="T1555" s="4">
        <f>Excel_Advanced_Sales_Dataset_2000__3[[#This Row],[Quantity]]*Excel_Advanced_Sales_Dataset_2000__3[[#This Row],[Unit Price]]-Excel_Advanced_Sales_Dataset_2000__3[[#This Row],[Discount Amount]]</f>
        <v>59654.028420000002</v>
      </c>
    </row>
    <row r="1556" spans="1:20" x14ac:dyDescent="0.25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>
        <v>9</v>
      </c>
      <c r="J1556" s="4">
        <v>29945.69</v>
      </c>
      <c r="K1556" s="6">
        <v>3.17</v>
      </c>
      <c r="L1556" s="4">
        <v>260967.7</v>
      </c>
      <c r="M1556" s="4" t="str" cm="1">
        <f t="array" ref="M1556">IF(Excel_Advanced_Sales_Dataset_2000__3[[#This Row],[Total Sales]]&gt;50000,{"Yes"},{"No"})</f>
        <v>Yes</v>
      </c>
      <c r="N1556" s="5">
        <v>46283</v>
      </c>
      <c r="O1556" s="1" t="s">
        <v>113</v>
      </c>
      <c r="P1556" t="s">
        <v>59</v>
      </c>
      <c r="Q1556" t="str">
        <f>IF(Excel_Advanced_Sales_Dataset_2000__3[[#This Row],[Delivery Status]]="Pending","Follow Up","Ok")</f>
        <v>Ok</v>
      </c>
      <c r="R1556" s="1" t="s">
        <v>36</v>
      </c>
      <c r="S1556">
        <f>Excel_Advanced_Sales_Dataset_2000__3[[#This Row],[Quantity]]*Excel_Advanced_Sales_Dataset_2000__3[[#This Row],[Unit Price]]*Excel_Advanced_Sales_Dataset_2000__3[[#This Row],[Discount %]]/100</f>
        <v>8543.5053569999982</v>
      </c>
      <c r="T1556" s="4">
        <f>Excel_Advanced_Sales_Dataset_2000__3[[#This Row],[Quantity]]*Excel_Advanced_Sales_Dataset_2000__3[[#This Row],[Unit Price]]-Excel_Advanced_Sales_Dataset_2000__3[[#This Row],[Discount Amount]]</f>
        <v>260967.70464299998</v>
      </c>
    </row>
    <row r="1557" spans="1:20" x14ac:dyDescent="0.25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>
        <v>20</v>
      </c>
      <c r="J1557" s="4">
        <v>14732.51</v>
      </c>
      <c r="K1557" s="6">
        <v>1.59</v>
      </c>
      <c r="L1557" s="4">
        <v>289965.26</v>
      </c>
      <c r="M1557" s="4" t="str" cm="1">
        <f t="array" ref="M1557">IF(Excel_Advanced_Sales_Dataset_2000__3[[#This Row],[Total Sales]]&gt;50000,{"Yes"},{"No"})</f>
        <v>Yes</v>
      </c>
      <c r="N1557" s="5">
        <v>46303</v>
      </c>
      <c r="O1557" s="1" t="s">
        <v>45</v>
      </c>
      <c r="P1557" t="s">
        <v>35</v>
      </c>
      <c r="Q1557" t="str">
        <f>IF(Excel_Advanced_Sales_Dataset_2000__3[[#This Row],[Delivery Status]]="Pending","Follow Up","Ok")</f>
        <v>Ok</v>
      </c>
      <c r="R1557" s="1" t="s">
        <v>26</v>
      </c>
      <c r="S1557">
        <f>Excel_Advanced_Sales_Dataset_2000__3[[#This Row],[Quantity]]*Excel_Advanced_Sales_Dataset_2000__3[[#This Row],[Unit Price]]*Excel_Advanced_Sales_Dataset_2000__3[[#This Row],[Discount %]]/100</f>
        <v>4684.9381800000001</v>
      </c>
      <c r="T1557" s="4">
        <f>Excel_Advanced_Sales_Dataset_2000__3[[#This Row],[Quantity]]*Excel_Advanced_Sales_Dataset_2000__3[[#This Row],[Unit Price]]-Excel_Advanced_Sales_Dataset_2000__3[[#This Row],[Discount Amount]]</f>
        <v>289965.26182000001</v>
      </c>
    </row>
    <row r="1558" spans="1:20" x14ac:dyDescent="0.25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>
        <v>39</v>
      </c>
      <c r="J1558" s="4">
        <v>2675.45</v>
      </c>
      <c r="K1558" s="6">
        <v>10.31</v>
      </c>
      <c r="L1558" s="4">
        <v>93584.83</v>
      </c>
      <c r="M1558" s="4" t="str" cm="1">
        <f t="array" ref="M1558">IF(Excel_Advanced_Sales_Dataset_2000__3[[#This Row],[Total Sales]]&gt;50000,{"Yes"},{"No"})</f>
        <v>Yes</v>
      </c>
      <c r="N1558" s="5">
        <v>46035</v>
      </c>
      <c r="O1558" s="1" t="s">
        <v>45</v>
      </c>
      <c r="P1558" t="s">
        <v>35</v>
      </c>
      <c r="Q1558" t="str">
        <f>IF(Excel_Advanced_Sales_Dataset_2000__3[[#This Row],[Delivery Status]]="Pending","Follow Up","Ok")</f>
        <v>Ok</v>
      </c>
      <c r="R1558" s="1" t="s">
        <v>53</v>
      </c>
      <c r="S1558">
        <f>Excel_Advanced_Sales_Dataset_2000__3[[#This Row],[Quantity]]*Excel_Advanced_Sales_Dataset_2000__3[[#This Row],[Unit Price]]*Excel_Advanced_Sales_Dataset_2000__3[[#This Row],[Discount %]]/100</f>
        <v>10757.716905000001</v>
      </c>
      <c r="T1558" s="4">
        <f>Excel_Advanced_Sales_Dataset_2000__3[[#This Row],[Quantity]]*Excel_Advanced_Sales_Dataset_2000__3[[#This Row],[Unit Price]]-Excel_Advanced_Sales_Dataset_2000__3[[#This Row],[Discount Amount]]</f>
        <v>93584.83309499998</v>
      </c>
    </row>
    <row r="1559" spans="1:20" x14ac:dyDescent="0.25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>
        <v>50</v>
      </c>
      <c r="J1559" s="4">
        <v>9884.07</v>
      </c>
      <c r="K1559" s="6">
        <v>12.02</v>
      </c>
      <c r="L1559" s="4">
        <v>434800.24</v>
      </c>
      <c r="M1559" s="4" t="str" cm="1">
        <f t="array" ref="M1559">IF(Excel_Advanced_Sales_Dataset_2000__3[[#This Row],[Total Sales]]&gt;50000,{"Yes"},{"No"})</f>
        <v>Yes</v>
      </c>
      <c r="N1559" s="5">
        <v>46234</v>
      </c>
      <c r="O1559" s="1" t="s">
        <v>58</v>
      </c>
      <c r="P1559" t="s">
        <v>35</v>
      </c>
      <c r="Q1559" t="str">
        <f>IF(Excel_Advanced_Sales_Dataset_2000__3[[#This Row],[Delivery Status]]="Pending","Follow Up","Ok")</f>
        <v>Ok</v>
      </c>
      <c r="R1559" s="1" t="s">
        <v>36</v>
      </c>
      <c r="S1559">
        <f>Excel_Advanced_Sales_Dataset_2000__3[[#This Row],[Quantity]]*Excel_Advanced_Sales_Dataset_2000__3[[#This Row],[Unit Price]]*Excel_Advanced_Sales_Dataset_2000__3[[#This Row],[Discount %]]/100</f>
        <v>59403.260699999992</v>
      </c>
      <c r="T1559" s="4">
        <f>Excel_Advanced_Sales_Dataset_2000__3[[#This Row],[Quantity]]*Excel_Advanced_Sales_Dataset_2000__3[[#This Row],[Unit Price]]-Excel_Advanced_Sales_Dataset_2000__3[[#This Row],[Discount Amount]]</f>
        <v>434800.23930000002</v>
      </c>
    </row>
    <row r="1560" spans="1:20" x14ac:dyDescent="0.25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>
        <v>11</v>
      </c>
      <c r="J1560" s="4">
        <v>23850.89</v>
      </c>
      <c r="K1560" s="6">
        <v>5.68</v>
      </c>
      <c r="L1560" s="4">
        <v>247457.75</v>
      </c>
      <c r="M1560" s="4" t="str" cm="1">
        <f t="array" ref="M1560">IF(Excel_Advanced_Sales_Dataset_2000__3[[#This Row],[Total Sales]]&gt;50000,{"Yes"},{"No"})</f>
        <v>Yes</v>
      </c>
      <c r="N1560" s="5">
        <v>46341</v>
      </c>
      <c r="O1560" s="1" t="s">
        <v>113</v>
      </c>
      <c r="P1560" t="s">
        <v>35</v>
      </c>
      <c r="Q1560" t="str">
        <f>IF(Excel_Advanced_Sales_Dataset_2000__3[[#This Row],[Delivery Status]]="Pending","Follow Up","Ok")</f>
        <v>Ok</v>
      </c>
      <c r="R1560" s="1" t="s">
        <v>53</v>
      </c>
      <c r="S1560">
        <f>Excel_Advanced_Sales_Dataset_2000__3[[#This Row],[Quantity]]*Excel_Advanced_Sales_Dataset_2000__3[[#This Row],[Unit Price]]*Excel_Advanced_Sales_Dataset_2000__3[[#This Row],[Discount %]]/100</f>
        <v>14902.036071999997</v>
      </c>
      <c r="T1560" s="4">
        <f>Excel_Advanced_Sales_Dataset_2000__3[[#This Row],[Quantity]]*Excel_Advanced_Sales_Dataset_2000__3[[#This Row],[Unit Price]]-Excel_Advanced_Sales_Dataset_2000__3[[#This Row],[Discount Amount]]</f>
        <v>247457.75392799999</v>
      </c>
    </row>
    <row r="1561" spans="1:20" x14ac:dyDescent="0.25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>
        <v>43</v>
      </c>
      <c r="J1561" s="4">
        <v>49129.94</v>
      </c>
      <c r="K1561" s="6">
        <v>1.71</v>
      </c>
      <c r="L1561" s="4">
        <v>2076462.18</v>
      </c>
      <c r="M1561" s="4" t="str" cm="1">
        <f t="array" ref="M1561">IF(Excel_Advanced_Sales_Dataset_2000__3[[#This Row],[Total Sales]]&gt;50000,{"Yes"},{"No"})</f>
        <v>Yes</v>
      </c>
      <c r="N1561" s="5">
        <v>46182</v>
      </c>
      <c r="O1561" s="1" t="s">
        <v>45</v>
      </c>
      <c r="P1561" t="s">
        <v>35</v>
      </c>
      <c r="Q1561" t="str">
        <f>IF(Excel_Advanced_Sales_Dataset_2000__3[[#This Row],[Delivery Status]]="Pending","Follow Up","Ok")</f>
        <v>Ok</v>
      </c>
      <c r="R1561" s="1" t="s">
        <v>53</v>
      </c>
      <c r="S1561">
        <f>Excel_Advanced_Sales_Dataset_2000__3[[#This Row],[Quantity]]*Excel_Advanced_Sales_Dataset_2000__3[[#This Row],[Unit Price]]*Excel_Advanced_Sales_Dataset_2000__3[[#This Row],[Discount %]]/100</f>
        <v>36125.244881999999</v>
      </c>
      <c r="T1561" s="4">
        <f>Excel_Advanced_Sales_Dataset_2000__3[[#This Row],[Quantity]]*Excel_Advanced_Sales_Dataset_2000__3[[#This Row],[Unit Price]]-Excel_Advanced_Sales_Dataset_2000__3[[#This Row],[Discount Amount]]</f>
        <v>2076462.175118</v>
      </c>
    </row>
    <row r="1562" spans="1:20" x14ac:dyDescent="0.25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>
        <v>18</v>
      </c>
      <c r="J1562" s="4">
        <v>8354.98</v>
      </c>
      <c r="K1562" s="6">
        <v>1.26</v>
      </c>
      <c r="L1562" s="4">
        <v>148494.73000000001</v>
      </c>
      <c r="M1562" s="4" t="str" cm="1">
        <f t="array" ref="M1562">IF(Excel_Advanced_Sales_Dataset_2000__3[[#This Row],[Total Sales]]&gt;50000,{"Yes"},{"No"})</f>
        <v>Yes</v>
      </c>
      <c r="N1562" s="5">
        <v>46303</v>
      </c>
      <c r="O1562" s="1" t="s">
        <v>68</v>
      </c>
      <c r="P1562" t="s">
        <v>35</v>
      </c>
      <c r="Q1562" t="str">
        <f>IF(Excel_Advanced_Sales_Dataset_2000__3[[#This Row],[Delivery Status]]="Pending","Follow Up","Ok")</f>
        <v>Ok</v>
      </c>
      <c r="R1562" s="1" t="s">
        <v>53</v>
      </c>
      <c r="S1562">
        <f>Excel_Advanced_Sales_Dataset_2000__3[[#This Row],[Quantity]]*Excel_Advanced_Sales_Dataset_2000__3[[#This Row],[Unit Price]]*Excel_Advanced_Sales_Dataset_2000__3[[#This Row],[Discount %]]/100</f>
        <v>1894.9094639999998</v>
      </c>
      <c r="T1562" s="4">
        <f>Excel_Advanced_Sales_Dataset_2000__3[[#This Row],[Quantity]]*Excel_Advanced_Sales_Dataset_2000__3[[#This Row],[Unit Price]]-Excel_Advanced_Sales_Dataset_2000__3[[#This Row],[Discount Amount]]</f>
        <v>148494.73053599999</v>
      </c>
    </row>
    <row r="1563" spans="1:20" x14ac:dyDescent="0.25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>
        <v>47</v>
      </c>
      <c r="J1563" s="4">
        <v>5674.73</v>
      </c>
      <c r="K1563" s="6">
        <v>8.76</v>
      </c>
      <c r="L1563" s="4">
        <v>243348.31</v>
      </c>
      <c r="M1563" s="4" t="str" cm="1">
        <f t="array" ref="M1563">IF(Excel_Advanced_Sales_Dataset_2000__3[[#This Row],[Total Sales]]&gt;50000,{"Yes"},{"No"})</f>
        <v>Yes</v>
      </c>
      <c r="N1563" s="5">
        <v>46137</v>
      </c>
      <c r="O1563" s="1" t="s">
        <v>58</v>
      </c>
      <c r="P1563" t="s">
        <v>25</v>
      </c>
      <c r="Q1563" t="str">
        <f>IF(Excel_Advanced_Sales_Dataset_2000__3[[#This Row],[Delivery Status]]="Pending","Follow Up","Ok")</f>
        <v>Follow Up</v>
      </c>
      <c r="R1563" s="1" t="s">
        <v>53</v>
      </c>
      <c r="S1563">
        <f>Excel_Advanced_Sales_Dataset_2000__3[[#This Row],[Quantity]]*Excel_Advanced_Sales_Dataset_2000__3[[#This Row],[Unit Price]]*Excel_Advanced_Sales_Dataset_2000__3[[#This Row],[Discount %]]/100</f>
        <v>23363.998356</v>
      </c>
      <c r="T1563" s="4">
        <f>Excel_Advanced_Sales_Dataset_2000__3[[#This Row],[Quantity]]*Excel_Advanced_Sales_Dataset_2000__3[[#This Row],[Unit Price]]-Excel_Advanced_Sales_Dataset_2000__3[[#This Row],[Discount Amount]]</f>
        <v>243348.311644</v>
      </c>
    </row>
    <row r="1564" spans="1:20" x14ac:dyDescent="0.25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>
        <v>7</v>
      </c>
      <c r="J1564" s="4">
        <v>34465.5</v>
      </c>
      <c r="K1564" s="6">
        <v>19.329999999999998</v>
      </c>
      <c r="L1564" s="4">
        <v>194623.23</v>
      </c>
      <c r="M1564" s="4" t="str" cm="1">
        <f t="array" ref="M1564">IF(Excel_Advanced_Sales_Dataset_2000__3[[#This Row],[Total Sales]]&gt;50000,{"Yes"},{"No"})</f>
        <v>Yes</v>
      </c>
      <c r="N1564" s="5">
        <v>46097</v>
      </c>
      <c r="O1564" s="1" t="s">
        <v>45</v>
      </c>
      <c r="P1564" t="s">
        <v>25</v>
      </c>
      <c r="Q1564" t="str">
        <f>IF(Excel_Advanced_Sales_Dataset_2000__3[[#This Row],[Delivery Status]]="Pending","Follow Up","Ok")</f>
        <v>Follow Up</v>
      </c>
      <c r="R1564" s="1" t="s">
        <v>53</v>
      </c>
      <c r="S1564">
        <f>Excel_Advanced_Sales_Dataset_2000__3[[#This Row],[Quantity]]*Excel_Advanced_Sales_Dataset_2000__3[[#This Row],[Unit Price]]*Excel_Advanced_Sales_Dataset_2000__3[[#This Row],[Discount %]]/100</f>
        <v>46635.268049999999</v>
      </c>
      <c r="T1564" s="4">
        <f>Excel_Advanced_Sales_Dataset_2000__3[[#This Row],[Quantity]]*Excel_Advanced_Sales_Dataset_2000__3[[#This Row],[Unit Price]]-Excel_Advanced_Sales_Dataset_2000__3[[#This Row],[Discount Amount]]</f>
        <v>194623.23194999999</v>
      </c>
    </row>
    <row r="1565" spans="1:20" x14ac:dyDescent="0.25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>
        <v>45</v>
      </c>
      <c r="J1565" s="4">
        <v>27284.7</v>
      </c>
      <c r="K1565" s="6">
        <v>18.16</v>
      </c>
      <c r="L1565" s="4">
        <v>1004840.93</v>
      </c>
      <c r="M1565" s="4" t="str" cm="1">
        <f t="array" ref="M1565">IF(Excel_Advanced_Sales_Dataset_2000__3[[#This Row],[Total Sales]]&gt;50000,{"Yes"},{"No"})</f>
        <v>Yes</v>
      </c>
      <c r="N1565" s="5">
        <v>46059</v>
      </c>
      <c r="O1565" s="1" t="s">
        <v>45</v>
      </c>
      <c r="P1565" t="s">
        <v>35</v>
      </c>
      <c r="Q1565" t="str">
        <f>IF(Excel_Advanced_Sales_Dataset_2000__3[[#This Row],[Delivery Status]]="Pending","Follow Up","Ok")</f>
        <v>Ok</v>
      </c>
      <c r="R1565" s="1" t="s">
        <v>53</v>
      </c>
      <c r="S1565">
        <f>Excel_Advanced_Sales_Dataset_2000__3[[#This Row],[Quantity]]*Excel_Advanced_Sales_Dataset_2000__3[[#This Row],[Unit Price]]*Excel_Advanced_Sales_Dataset_2000__3[[#This Row],[Discount %]]/100</f>
        <v>222970.56839999999</v>
      </c>
      <c r="T1565" s="4">
        <f>Excel_Advanced_Sales_Dataset_2000__3[[#This Row],[Quantity]]*Excel_Advanced_Sales_Dataset_2000__3[[#This Row],[Unit Price]]-Excel_Advanced_Sales_Dataset_2000__3[[#This Row],[Discount Amount]]</f>
        <v>1004840.9316</v>
      </c>
    </row>
    <row r="1566" spans="1:20" x14ac:dyDescent="0.25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>
        <v>19</v>
      </c>
      <c r="J1566" s="4">
        <v>40800.120000000003</v>
      </c>
      <c r="K1566" s="6">
        <v>11.12</v>
      </c>
      <c r="L1566" s="4">
        <v>688999.79</v>
      </c>
      <c r="M1566" s="4" t="str" cm="1">
        <f t="array" ref="M1566">IF(Excel_Advanced_Sales_Dataset_2000__3[[#This Row],[Total Sales]]&gt;50000,{"Yes"},{"No"})</f>
        <v>Yes</v>
      </c>
      <c r="N1566" s="5">
        <v>46067</v>
      </c>
      <c r="O1566" s="1" t="s">
        <v>113</v>
      </c>
      <c r="P1566" t="s">
        <v>35</v>
      </c>
      <c r="Q1566" t="str">
        <f>IF(Excel_Advanced_Sales_Dataset_2000__3[[#This Row],[Delivery Status]]="Pending","Follow Up","Ok")</f>
        <v>Ok</v>
      </c>
      <c r="R1566" s="1" t="s">
        <v>53</v>
      </c>
      <c r="S1566">
        <f>Excel_Advanced_Sales_Dataset_2000__3[[#This Row],[Quantity]]*Excel_Advanced_Sales_Dataset_2000__3[[#This Row],[Unit Price]]*Excel_Advanced_Sales_Dataset_2000__3[[#This Row],[Discount %]]/100</f>
        <v>86202.493535999994</v>
      </c>
      <c r="T1566" s="4">
        <f>Excel_Advanced_Sales_Dataset_2000__3[[#This Row],[Quantity]]*Excel_Advanced_Sales_Dataset_2000__3[[#This Row],[Unit Price]]-Excel_Advanced_Sales_Dataset_2000__3[[#This Row],[Discount Amount]]</f>
        <v>688999.786464</v>
      </c>
    </row>
    <row r="1567" spans="1:20" x14ac:dyDescent="0.25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>
        <v>50</v>
      </c>
      <c r="J1567" s="4">
        <v>48361.49</v>
      </c>
      <c r="K1567" s="6">
        <v>6.06</v>
      </c>
      <c r="L1567" s="4">
        <v>2271539.19</v>
      </c>
      <c r="M1567" s="4" t="str" cm="1">
        <f t="array" ref="M1567">IF(Excel_Advanced_Sales_Dataset_2000__3[[#This Row],[Total Sales]]&gt;50000,{"Yes"},{"No"})</f>
        <v>Yes</v>
      </c>
      <c r="N1567" s="5">
        <v>46319</v>
      </c>
      <c r="O1567" s="1" t="s">
        <v>113</v>
      </c>
      <c r="P1567" t="s">
        <v>35</v>
      </c>
      <c r="Q1567" t="str">
        <f>IF(Excel_Advanced_Sales_Dataset_2000__3[[#This Row],[Delivery Status]]="Pending","Follow Up","Ok")</f>
        <v>Ok</v>
      </c>
      <c r="R1567" s="1" t="s">
        <v>26</v>
      </c>
      <c r="S1567">
        <f>Excel_Advanced_Sales_Dataset_2000__3[[#This Row],[Quantity]]*Excel_Advanced_Sales_Dataset_2000__3[[#This Row],[Unit Price]]*Excel_Advanced_Sales_Dataset_2000__3[[#This Row],[Discount %]]/100</f>
        <v>146535.31469999999</v>
      </c>
      <c r="T1567" s="4">
        <f>Excel_Advanced_Sales_Dataset_2000__3[[#This Row],[Quantity]]*Excel_Advanced_Sales_Dataset_2000__3[[#This Row],[Unit Price]]-Excel_Advanced_Sales_Dataset_2000__3[[#This Row],[Discount Amount]]</f>
        <v>2271539.1853</v>
      </c>
    </row>
    <row r="1568" spans="1:20" x14ac:dyDescent="0.25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>
        <v>39</v>
      </c>
      <c r="J1568" s="4">
        <v>12288.85</v>
      </c>
      <c r="K1568" s="6">
        <v>17.36</v>
      </c>
      <c r="L1568" s="4">
        <v>396064.72</v>
      </c>
      <c r="M1568" s="4" t="str" cm="1">
        <f t="array" ref="M1568">IF(Excel_Advanced_Sales_Dataset_2000__3[[#This Row],[Total Sales]]&gt;50000,{"Yes"},{"No"})</f>
        <v>Yes</v>
      </c>
      <c r="N1568" s="5">
        <v>46078</v>
      </c>
      <c r="O1568" s="1" t="s">
        <v>24</v>
      </c>
      <c r="P1568" t="s">
        <v>35</v>
      </c>
      <c r="Q1568" t="str">
        <f>IF(Excel_Advanced_Sales_Dataset_2000__3[[#This Row],[Delivery Status]]="Pending","Follow Up","Ok")</f>
        <v>Ok</v>
      </c>
      <c r="R1568" s="1" t="s">
        <v>26</v>
      </c>
      <c r="S1568">
        <f>Excel_Advanced_Sales_Dataset_2000__3[[#This Row],[Quantity]]*Excel_Advanced_Sales_Dataset_2000__3[[#This Row],[Unit Price]]*Excel_Advanced_Sales_Dataset_2000__3[[#This Row],[Discount %]]/100</f>
        <v>83200.430039999992</v>
      </c>
      <c r="T1568" s="4">
        <f>Excel_Advanced_Sales_Dataset_2000__3[[#This Row],[Quantity]]*Excel_Advanced_Sales_Dataset_2000__3[[#This Row],[Unit Price]]-Excel_Advanced_Sales_Dataset_2000__3[[#This Row],[Discount Amount]]</f>
        <v>396064.71996000002</v>
      </c>
    </row>
    <row r="1569" spans="1:20" x14ac:dyDescent="0.25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>
        <v>5</v>
      </c>
      <c r="J1569" s="4">
        <v>14196.69</v>
      </c>
      <c r="K1569" s="6">
        <v>9.14</v>
      </c>
      <c r="L1569" s="4">
        <v>64495.56</v>
      </c>
      <c r="M1569" s="4" t="str" cm="1">
        <f t="array" ref="M1569">IF(Excel_Advanced_Sales_Dataset_2000__3[[#This Row],[Total Sales]]&gt;50000,{"Yes"},{"No"})</f>
        <v>Yes</v>
      </c>
      <c r="N1569" s="5">
        <v>46169</v>
      </c>
      <c r="O1569" s="1" t="s">
        <v>24</v>
      </c>
      <c r="P1569" t="s">
        <v>35</v>
      </c>
      <c r="Q1569" t="str">
        <f>IF(Excel_Advanced_Sales_Dataset_2000__3[[#This Row],[Delivery Status]]="Pending","Follow Up","Ok")</f>
        <v>Ok</v>
      </c>
      <c r="R1569" s="1" t="s">
        <v>36</v>
      </c>
      <c r="S1569">
        <f>Excel_Advanced_Sales_Dataset_2000__3[[#This Row],[Quantity]]*Excel_Advanced_Sales_Dataset_2000__3[[#This Row],[Unit Price]]*Excel_Advanced_Sales_Dataset_2000__3[[#This Row],[Discount %]]/100</f>
        <v>6487.8873300000005</v>
      </c>
      <c r="T1569" s="4">
        <f>Excel_Advanced_Sales_Dataset_2000__3[[#This Row],[Quantity]]*Excel_Advanced_Sales_Dataset_2000__3[[#This Row],[Unit Price]]-Excel_Advanced_Sales_Dataset_2000__3[[#This Row],[Discount Amount]]</f>
        <v>64495.562669999999</v>
      </c>
    </row>
    <row r="1570" spans="1:20" x14ac:dyDescent="0.25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>
        <v>28</v>
      </c>
      <c r="J1570" s="4">
        <v>25701.69</v>
      </c>
      <c r="K1570" s="6">
        <v>3.14</v>
      </c>
      <c r="L1570" s="4">
        <v>697050.39</v>
      </c>
      <c r="M1570" s="4" t="str" cm="1">
        <f t="array" ref="M1570">IF(Excel_Advanced_Sales_Dataset_2000__3[[#This Row],[Total Sales]]&gt;50000,{"Yes"},{"No"})</f>
        <v>Yes</v>
      </c>
      <c r="N1570" s="5">
        <v>46116</v>
      </c>
      <c r="O1570" s="1" t="s">
        <v>58</v>
      </c>
      <c r="P1570" t="s">
        <v>35</v>
      </c>
      <c r="Q1570" t="str">
        <f>IF(Excel_Advanced_Sales_Dataset_2000__3[[#This Row],[Delivery Status]]="Pending","Follow Up","Ok")</f>
        <v>Ok</v>
      </c>
      <c r="R1570" s="1" t="s">
        <v>53</v>
      </c>
      <c r="S1570">
        <f>Excel_Advanced_Sales_Dataset_2000__3[[#This Row],[Quantity]]*Excel_Advanced_Sales_Dataset_2000__3[[#This Row],[Unit Price]]*Excel_Advanced_Sales_Dataset_2000__3[[#This Row],[Discount %]]/100</f>
        <v>22596.925847999999</v>
      </c>
      <c r="T1570" s="4">
        <f>Excel_Advanced_Sales_Dataset_2000__3[[#This Row],[Quantity]]*Excel_Advanced_Sales_Dataset_2000__3[[#This Row],[Unit Price]]-Excel_Advanced_Sales_Dataset_2000__3[[#This Row],[Discount Amount]]</f>
        <v>697050.39415199996</v>
      </c>
    </row>
    <row r="1571" spans="1:20" x14ac:dyDescent="0.25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>
        <v>8</v>
      </c>
      <c r="J1571" s="4">
        <v>5716.72</v>
      </c>
      <c r="K1571" s="6">
        <v>1.1399999999999999</v>
      </c>
      <c r="L1571" s="4">
        <v>45212.4</v>
      </c>
      <c r="M1571" s="4" t="str" cm="1">
        <f t="array" ref="M1571">IF(Excel_Advanced_Sales_Dataset_2000__3[[#This Row],[Total Sales]]&gt;50000,{"Yes"},{"No"})</f>
        <v>No</v>
      </c>
      <c r="N1571" s="5">
        <v>46058</v>
      </c>
      <c r="O1571" s="1" t="s">
        <v>58</v>
      </c>
      <c r="P1571" t="s">
        <v>35</v>
      </c>
      <c r="Q1571" t="str">
        <f>IF(Excel_Advanced_Sales_Dataset_2000__3[[#This Row],[Delivery Status]]="Pending","Follow Up","Ok")</f>
        <v>Ok</v>
      </c>
      <c r="R1571" s="1" t="s">
        <v>26</v>
      </c>
      <c r="S1571">
        <f>Excel_Advanced_Sales_Dataset_2000__3[[#This Row],[Quantity]]*Excel_Advanced_Sales_Dataset_2000__3[[#This Row],[Unit Price]]*Excel_Advanced_Sales_Dataset_2000__3[[#This Row],[Discount %]]/100</f>
        <v>521.3648639999999</v>
      </c>
      <c r="T1571" s="4">
        <f>Excel_Advanced_Sales_Dataset_2000__3[[#This Row],[Quantity]]*Excel_Advanced_Sales_Dataset_2000__3[[#This Row],[Unit Price]]-Excel_Advanced_Sales_Dataset_2000__3[[#This Row],[Discount Amount]]</f>
        <v>45212.395135999999</v>
      </c>
    </row>
    <row r="1572" spans="1:20" x14ac:dyDescent="0.25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>
        <v>49</v>
      </c>
      <c r="J1572" s="4">
        <v>15529.71</v>
      </c>
      <c r="K1572" s="6">
        <v>4.17</v>
      </c>
      <c r="L1572" s="4">
        <v>729223.93</v>
      </c>
      <c r="M1572" s="4" t="str" cm="1">
        <f t="array" ref="M1572">IF(Excel_Advanced_Sales_Dataset_2000__3[[#This Row],[Total Sales]]&gt;50000,{"Yes"},{"No"})</f>
        <v>Yes</v>
      </c>
      <c r="N1572" s="5">
        <v>46239</v>
      </c>
      <c r="O1572" s="1" t="s">
        <v>45</v>
      </c>
      <c r="P1572" t="s">
        <v>35</v>
      </c>
      <c r="Q1572" t="str">
        <f>IF(Excel_Advanced_Sales_Dataset_2000__3[[#This Row],[Delivery Status]]="Pending","Follow Up","Ok")</f>
        <v>Ok</v>
      </c>
      <c r="R1572" s="1" t="s">
        <v>53</v>
      </c>
      <c r="S1572">
        <f>Excel_Advanced_Sales_Dataset_2000__3[[#This Row],[Quantity]]*Excel_Advanced_Sales_Dataset_2000__3[[#This Row],[Unit Price]]*Excel_Advanced_Sales_Dataset_2000__3[[#This Row],[Discount %]]/100</f>
        <v>31731.856442999997</v>
      </c>
      <c r="T1572" s="4">
        <f>Excel_Advanced_Sales_Dataset_2000__3[[#This Row],[Quantity]]*Excel_Advanced_Sales_Dataset_2000__3[[#This Row],[Unit Price]]-Excel_Advanced_Sales_Dataset_2000__3[[#This Row],[Discount Amount]]</f>
        <v>729223.93355699989</v>
      </c>
    </row>
    <row r="1573" spans="1:20" x14ac:dyDescent="0.25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>
        <v>3</v>
      </c>
      <c r="J1573" s="4">
        <v>47176.53</v>
      </c>
      <c r="K1573" s="6">
        <v>4.6500000000000004</v>
      </c>
      <c r="L1573" s="4">
        <v>134948.46</v>
      </c>
      <c r="M1573" s="4" t="str" cm="1">
        <f t="array" ref="M1573">IF(Excel_Advanced_Sales_Dataset_2000__3[[#This Row],[Total Sales]]&gt;50000,{"Yes"},{"No"})</f>
        <v>Yes</v>
      </c>
      <c r="N1573" s="5">
        <v>46166</v>
      </c>
      <c r="O1573" s="1" t="s">
        <v>68</v>
      </c>
      <c r="P1573" t="s">
        <v>59</v>
      </c>
      <c r="Q1573" t="str">
        <f>IF(Excel_Advanced_Sales_Dataset_2000__3[[#This Row],[Delivery Status]]="Pending","Follow Up","Ok")</f>
        <v>Ok</v>
      </c>
      <c r="R1573" s="1" t="s">
        <v>26</v>
      </c>
      <c r="S1573">
        <f>Excel_Advanced_Sales_Dataset_2000__3[[#This Row],[Quantity]]*Excel_Advanced_Sales_Dataset_2000__3[[#This Row],[Unit Price]]*Excel_Advanced_Sales_Dataset_2000__3[[#This Row],[Discount %]]/100</f>
        <v>6581.1259350000009</v>
      </c>
      <c r="T1573" s="4">
        <f>Excel_Advanced_Sales_Dataset_2000__3[[#This Row],[Quantity]]*Excel_Advanced_Sales_Dataset_2000__3[[#This Row],[Unit Price]]-Excel_Advanced_Sales_Dataset_2000__3[[#This Row],[Discount Amount]]</f>
        <v>134948.46406500001</v>
      </c>
    </row>
    <row r="1574" spans="1:20" x14ac:dyDescent="0.25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>
        <v>32</v>
      </c>
      <c r="J1574" s="4">
        <v>20962.63</v>
      </c>
      <c r="K1574" s="6">
        <v>8.51</v>
      </c>
      <c r="L1574" s="4">
        <v>613718.73</v>
      </c>
      <c r="M1574" s="4" t="str" cm="1">
        <f t="array" ref="M1574">IF(Excel_Advanced_Sales_Dataset_2000__3[[#This Row],[Total Sales]]&gt;50000,{"Yes"},{"No"})</f>
        <v>Yes</v>
      </c>
      <c r="N1574" s="5">
        <v>46229</v>
      </c>
      <c r="O1574" s="1" t="s">
        <v>58</v>
      </c>
      <c r="P1574" t="s">
        <v>35</v>
      </c>
      <c r="Q1574" t="str">
        <f>IF(Excel_Advanced_Sales_Dataset_2000__3[[#This Row],[Delivery Status]]="Pending","Follow Up","Ok")</f>
        <v>Ok</v>
      </c>
      <c r="R1574" s="1" t="s">
        <v>53</v>
      </c>
      <c r="S1574">
        <f>Excel_Advanced_Sales_Dataset_2000__3[[#This Row],[Quantity]]*Excel_Advanced_Sales_Dataset_2000__3[[#This Row],[Unit Price]]*Excel_Advanced_Sales_Dataset_2000__3[[#This Row],[Discount %]]/100</f>
        <v>57085.434016000007</v>
      </c>
      <c r="T1574" s="4">
        <f>Excel_Advanced_Sales_Dataset_2000__3[[#This Row],[Quantity]]*Excel_Advanced_Sales_Dataset_2000__3[[#This Row],[Unit Price]]-Excel_Advanced_Sales_Dataset_2000__3[[#This Row],[Discount Amount]]</f>
        <v>613718.72598400002</v>
      </c>
    </row>
    <row r="1575" spans="1:20" x14ac:dyDescent="0.25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>
        <v>47</v>
      </c>
      <c r="J1575" s="4">
        <v>3460.18</v>
      </c>
      <c r="K1575" s="6">
        <v>10.43</v>
      </c>
      <c r="L1575" s="4">
        <v>145666.31</v>
      </c>
      <c r="M1575" s="4" t="str" cm="1">
        <f t="array" ref="M1575">IF(Excel_Advanced_Sales_Dataset_2000__3[[#This Row],[Total Sales]]&gt;50000,{"Yes"},{"No"})</f>
        <v>Yes</v>
      </c>
      <c r="N1575" s="5">
        <v>46118</v>
      </c>
      <c r="O1575" s="1" t="s">
        <v>45</v>
      </c>
      <c r="P1575" t="s">
        <v>35</v>
      </c>
      <c r="Q1575" t="str">
        <f>IF(Excel_Advanced_Sales_Dataset_2000__3[[#This Row],[Delivery Status]]="Pending","Follow Up","Ok")</f>
        <v>Ok</v>
      </c>
      <c r="R1575" s="1" t="s">
        <v>53</v>
      </c>
      <c r="S1575">
        <f>Excel_Advanced_Sales_Dataset_2000__3[[#This Row],[Quantity]]*Excel_Advanced_Sales_Dataset_2000__3[[#This Row],[Unit Price]]*Excel_Advanced_Sales_Dataset_2000__3[[#This Row],[Discount %]]/100</f>
        <v>16962.148377999998</v>
      </c>
      <c r="T1575" s="4">
        <f>Excel_Advanced_Sales_Dataset_2000__3[[#This Row],[Quantity]]*Excel_Advanced_Sales_Dataset_2000__3[[#This Row],[Unit Price]]-Excel_Advanced_Sales_Dataset_2000__3[[#This Row],[Discount Amount]]</f>
        <v>145666.31162200001</v>
      </c>
    </row>
    <row r="1576" spans="1:20" x14ac:dyDescent="0.25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>
        <v>14</v>
      </c>
      <c r="J1576" s="4">
        <v>21707.83</v>
      </c>
      <c r="K1576" s="6">
        <v>0.78</v>
      </c>
      <c r="L1576" s="4">
        <v>301539.12</v>
      </c>
      <c r="M1576" s="4" t="str" cm="1">
        <f t="array" ref="M1576">IF(Excel_Advanced_Sales_Dataset_2000__3[[#This Row],[Total Sales]]&gt;50000,{"Yes"},{"No"})</f>
        <v>Yes</v>
      </c>
      <c r="N1576" s="5">
        <v>46039</v>
      </c>
      <c r="O1576" s="1" t="s">
        <v>68</v>
      </c>
      <c r="P1576" t="s">
        <v>35</v>
      </c>
      <c r="Q1576" t="str">
        <f>IF(Excel_Advanced_Sales_Dataset_2000__3[[#This Row],[Delivery Status]]="Pending","Follow Up","Ok")</f>
        <v>Ok</v>
      </c>
      <c r="R1576" s="1" t="s">
        <v>53</v>
      </c>
      <c r="S1576">
        <f>Excel_Advanced_Sales_Dataset_2000__3[[#This Row],[Quantity]]*Excel_Advanced_Sales_Dataset_2000__3[[#This Row],[Unit Price]]*Excel_Advanced_Sales_Dataset_2000__3[[#This Row],[Discount %]]/100</f>
        <v>2370.4950359999998</v>
      </c>
      <c r="T1576" s="4">
        <f>Excel_Advanced_Sales_Dataset_2000__3[[#This Row],[Quantity]]*Excel_Advanced_Sales_Dataset_2000__3[[#This Row],[Unit Price]]-Excel_Advanced_Sales_Dataset_2000__3[[#This Row],[Discount Amount]]</f>
        <v>301539.12496400002</v>
      </c>
    </row>
    <row r="1577" spans="1:20" x14ac:dyDescent="0.25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>
        <v>20</v>
      </c>
      <c r="J1577" s="4">
        <v>36978.26</v>
      </c>
      <c r="K1577" s="6">
        <v>4.38</v>
      </c>
      <c r="L1577" s="4">
        <v>707172.24</v>
      </c>
      <c r="M1577" s="4" t="str" cm="1">
        <f t="array" ref="M1577">IF(Excel_Advanced_Sales_Dataset_2000__3[[#This Row],[Total Sales]]&gt;50000,{"Yes"},{"No"})</f>
        <v>Yes</v>
      </c>
      <c r="N1577" s="5">
        <v>46056</v>
      </c>
      <c r="O1577" s="1" t="s">
        <v>58</v>
      </c>
      <c r="P1577" t="s">
        <v>35</v>
      </c>
      <c r="Q1577" t="str">
        <f>IF(Excel_Advanced_Sales_Dataset_2000__3[[#This Row],[Delivery Status]]="Pending","Follow Up","Ok")</f>
        <v>Ok</v>
      </c>
      <c r="R1577" s="1" t="s">
        <v>36</v>
      </c>
      <c r="S1577">
        <f>Excel_Advanced_Sales_Dataset_2000__3[[#This Row],[Quantity]]*Excel_Advanced_Sales_Dataset_2000__3[[#This Row],[Unit Price]]*Excel_Advanced_Sales_Dataset_2000__3[[#This Row],[Discount %]]/100</f>
        <v>32392.955760000004</v>
      </c>
      <c r="T1577" s="4">
        <f>Excel_Advanced_Sales_Dataset_2000__3[[#This Row],[Quantity]]*Excel_Advanced_Sales_Dataset_2000__3[[#This Row],[Unit Price]]-Excel_Advanced_Sales_Dataset_2000__3[[#This Row],[Discount Amount]]</f>
        <v>707172.24424000003</v>
      </c>
    </row>
    <row r="1578" spans="1:20" x14ac:dyDescent="0.25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>
        <v>50</v>
      </c>
      <c r="J1578" s="4">
        <v>21008.78</v>
      </c>
      <c r="K1578" s="6">
        <v>18.07</v>
      </c>
      <c r="L1578" s="4">
        <v>860624.67</v>
      </c>
      <c r="M1578" s="4" t="str" cm="1">
        <f t="array" ref="M1578">IF(Excel_Advanced_Sales_Dataset_2000__3[[#This Row],[Total Sales]]&gt;50000,{"Yes"},{"No"})</f>
        <v>Yes</v>
      </c>
      <c r="N1578" s="5">
        <v>46139</v>
      </c>
      <c r="O1578" s="1" t="s">
        <v>24</v>
      </c>
      <c r="P1578" t="s">
        <v>35</v>
      </c>
      <c r="Q1578" t="str">
        <f>IF(Excel_Advanced_Sales_Dataset_2000__3[[#This Row],[Delivery Status]]="Pending","Follow Up","Ok")</f>
        <v>Ok</v>
      </c>
      <c r="R1578" s="1" t="s">
        <v>53</v>
      </c>
      <c r="S1578">
        <f>Excel_Advanced_Sales_Dataset_2000__3[[#This Row],[Quantity]]*Excel_Advanced_Sales_Dataset_2000__3[[#This Row],[Unit Price]]*Excel_Advanced_Sales_Dataset_2000__3[[#This Row],[Discount %]]/100</f>
        <v>189814.3273</v>
      </c>
      <c r="T1578" s="4">
        <f>Excel_Advanced_Sales_Dataset_2000__3[[#This Row],[Quantity]]*Excel_Advanced_Sales_Dataset_2000__3[[#This Row],[Unit Price]]-Excel_Advanced_Sales_Dataset_2000__3[[#This Row],[Discount Amount]]</f>
        <v>860624.6727</v>
      </c>
    </row>
    <row r="1579" spans="1:20" x14ac:dyDescent="0.25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>
        <v>5</v>
      </c>
      <c r="J1579" s="4">
        <v>48930.47</v>
      </c>
      <c r="K1579" s="6">
        <v>9.2100000000000009</v>
      </c>
      <c r="L1579" s="4">
        <v>222119.87</v>
      </c>
      <c r="M1579" s="4" t="str" cm="1">
        <f t="array" ref="M1579">IF(Excel_Advanced_Sales_Dataset_2000__3[[#This Row],[Total Sales]]&gt;50000,{"Yes"},{"No"})</f>
        <v>Yes</v>
      </c>
      <c r="N1579" s="5">
        <v>46371</v>
      </c>
      <c r="O1579" s="1" t="s">
        <v>24</v>
      </c>
      <c r="P1579" t="s">
        <v>35</v>
      </c>
      <c r="Q1579" t="str">
        <f>IF(Excel_Advanced_Sales_Dataset_2000__3[[#This Row],[Delivery Status]]="Pending","Follow Up","Ok")</f>
        <v>Ok</v>
      </c>
      <c r="R1579" s="1" t="s">
        <v>26</v>
      </c>
      <c r="S1579">
        <f>Excel_Advanced_Sales_Dataset_2000__3[[#This Row],[Quantity]]*Excel_Advanced_Sales_Dataset_2000__3[[#This Row],[Unit Price]]*Excel_Advanced_Sales_Dataset_2000__3[[#This Row],[Discount %]]/100</f>
        <v>22532.481435000002</v>
      </c>
      <c r="T1579" s="4">
        <f>Excel_Advanced_Sales_Dataset_2000__3[[#This Row],[Quantity]]*Excel_Advanced_Sales_Dataset_2000__3[[#This Row],[Unit Price]]-Excel_Advanced_Sales_Dataset_2000__3[[#This Row],[Discount Amount]]</f>
        <v>222119.86856500001</v>
      </c>
    </row>
    <row r="1580" spans="1:20" x14ac:dyDescent="0.25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>
        <v>27</v>
      </c>
      <c r="J1580" s="4">
        <v>20393.099999999999</v>
      </c>
      <c r="K1580" s="6">
        <v>16.170000000000002</v>
      </c>
      <c r="L1580" s="4">
        <v>461579.46</v>
      </c>
      <c r="M1580" s="4" t="str" cm="1">
        <f t="array" ref="M1580">IF(Excel_Advanced_Sales_Dataset_2000__3[[#This Row],[Total Sales]]&gt;50000,{"Yes"},{"No"})</f>
        <v>Yes</v>
      </c>
      <c r="N1580" s="5">
        <v>46039</v>
      </c>
      <c r="O1580" s="1" t="s">
        <v>68</v>
      </c>
      <c r="P1580" t="s">
        <v>35</v>
      </c>
      <c r="Q1580" t="str">
        <f>IF(Excel_Advanced_Sales_Dataset_2000__3[[#This Row],[Delivery Status]]="Pending","Follow Up","Ok")</f>
        <v>Ok</v>
      </c>
      <c r="R1580" s="1" t="s">
        <v>26</v>
      </c>
      <c r="S1580">
        <f>Excel_Advanced_Sales_Dataset_2000__3[[#This Row],[Quantity]]*Excel_Advanced_Sales_Dataset_2000__3[[#This Row],[Unit Price]]*Excel_Advanced_Sales_Dataset_2000__3[[#This Row],[Discount %]]/100</f>
        <v>89034.235290000011</v>
      </c>
      <c r="T1580" s="4">
        <f>Excel_Advanced_Sales_Dataset_2000__3[[#This Row],[Quantity]]*Excel_Advanced_Sales_Dataset_2000__3[[#This Row],[Unit Price]]-Excel_Advanced_Sales_Dataset_2000__3[[#This Row],[Discount Amount]]</f>
        <v>461579.46470999997</v>
      </c>
    </row>
    <row r="1581" spans="1:20" x14ac:dyDescent="0.25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>
        <v>30</v>
      </c>
      <c r="J1581" s="4">
        <v>39179.449999999997</v>
      </c>
      <c r="K1581" s="6">
        <v>11.8</v>
      </c>
      <c r="L1581" s="4">
        <v>1036688.25</v>
      </c>
      <c r="M1581" s="4" t="str" cm="1">
        <f t="array" ref="M1581">IF(Excel_Advanced_Sales_Dataset_2000__3[[#This Row],[Total Sales]]&gt;50000,{"Yes"},{"No"})</f>
        <v>Yes</v>
      </c>
      <c r="N1581" s="5">
        <v>46063</v>
      </c>
      <c r="O1581" s="1" t="s">
        <v>58</v>
      </c>
      <c r="P1581" t="s">
        <v>35</v>
      </c>
      <c r="Q1581" t="str">
        <f>IF(Excel_Advanced_Sales_Dataset_2000__3[[#This Row],[Delivery Status]]="Pending","Follow Up","Ok")</f>
        <v>Ok</v>
      </c>
      <c r="R1581" s="1" t="s">
        <v>36</v>
      </c>
      <c r="S1581">
        <f>Excel_Advanced_Sales_Dataset_2000__3[[#This Row],[Quantity]]*Excel_Advanced_Sales_Dataset_2000__3[[#This Row],[Unit Price]]*Excel_Advanced_Sales_Dataset_2000__3[[#This Row],[Discount %]]/100</f>
        <v>138695.253</v>
      </c>
      <c r="T1581" s="4">
        <f>Excel_Advanced_Sales_Dataset_2000__3[[#This Row],[Quantity]]*Excel_Advanced_Sales_Dataset_2000__3[[#This Row],[Unit Price]]-Excel_Advanced_Sales_Dataset_2000__3[[#This Row],[Discount Amount]]</f>
        <v>1036688.247</v>
      </c>
    </row>
    <row r="1582" spans="1:20" x14ac:dyDescent="0.25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>
        <v>4</v>
      </c>
      <c r="J1582" s="4">
        <v>2596.09</v>
      </c>
      <c r="K1582" s="6">
        <v>14.24</v>
      </c>
      <c r="L1582" s="4">
        <v>8905.6299999999992</v>
      </c>
      <c r="M1582" s="4" t="str" cm="1">
        <f t="array" ref="M1582">IF(Excel_Advanced_Sales_Dataset_2000__3[[#This Row],[Total Sales]]&gt;50000,{"Yes"},{"No"})</f>
        <v>No</v>
      </c>
      <c r="N1582" s="5">
        <v>46056</v>
      </c>
      <c r="O1582" s="1" t="s">
        <v>113</v>
      </c>
      <c r="P1582" t="s">
        <v>35</v>
      </c>
      <c r="Q1582" t="str">
        <f>IF(Excel_Advanced_Sales_Dataset_2000__3[[#This Row],[Delivery Status]]="Pending","Follow Up","Ok")</f>
        <v>Ok</v>
      </c>
      <c r="R1582" s="1" t="s">
        <v>53</v>
      </c>
      <c r="S1582">
        <f>Excel_Advanced_Sales_Dataset_2000__3[[#This Row],[Quantity]]*Excel_Advanced_Sales_Dataset_2000__3[[#This Row],[Unit Price]]*Excel_Advanced_Sales_Dataset_2000__3[[#This Row],[Discount %]]/100</f>
        <v>1478.7328640000001</v>
      </c>
      <c r="T1582" s="4">
        <f>Excel_Advanced_Sales_Dataset_2000__3[[#This Row],[Quantity]]*Excel_Advanced_Sales_Dataset_2000__3[[#This Row],[Unit Price]]-Excel_Advanced_Sales_Dataset_2000__3[[#This Row],[Discount Amount]]</f>
        <v>8905.627136000001</v>
      </c>
    </row>
    <row r="1583" spans="1:20" x14ac:dyDescent="0.25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>
        <v>24</v>
      </c>
      <c r="J1583" s="4">
        <v>40819.910000000003</v>
      </c>
      <c r="K1583" s="6">
        <v>1.4</v>
      </c>
      <c r="L1583" s="4">
        <v>965962.35</v>
      </c>
      <c r="M1583" s="4" t="str" cm="1">
        <f t="array" ref="M1583">IF(Excel_Advanced_Sales_Dataset_2000__3[[#This Row],[Total Sales]]&gt;50000,{"Yes"},{"No"})</f>
        <v>Yes</v>
      </c>
      <c r="N1583" s="5">
        <v>46339</v>
      </c>
      <c r="O1583" s="1" t="s">
        <v>58</v>
      </c>
      <c r="P1583" t="s">
        <v>25</v>
      </c>
      <c r="Q1583" t="str">
        <f>IF(Excel_Advanced_Sales_Dataset_2000__3[[#This Row],[Delivery Status]]="Pending","Follow Up","Ok")</f>
        <v>Follow Up</v>
      </c>
      <c r="R1583" s="1" t="s">
        <v>53</v>
      </c>
      <c r="S1583">
        <f>Excel_Advanced_Sales_Dataset_2000__3[[#This Row],[Quantity]]*Excel_Advanced_Sales_Dataset_2000__3[[#This Row],[Unit Price]]*Excel_Advanced_Sales_Dataset_2000__3[[#This Row],[Discount %]]/100</f>
        <v>13715.48976</v>
      </c>
      <c r="T1583" s="4">
        <f>Excel_Advanced_Sales_Dataset_2000__3[[#This Row],[Quantity]]*Excel_Advanced_Sales_Dataset_2000__3[[#This Row],[Unit Price]]-Excel_Advanced_Sales_Dataset_2000__3[[#This Row],[Discount Amount]]</f>
        <v>965962.35024000006</v>
      </c>
    </row>
    <row r="1584" spans="1:20" x14ac:dyDescent="0.25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>
        <v>24</v>
      </c>
      <c r="J1584" s="4">
        <v>43039.040000000001</v>
      </c>
      <c r="K1584" s="6">
        <v>0.79</v>
      </c>
      <c r="L1584" s="4">
        <v>1024776.76</v>
      </c>
      <c r="M1584" s="4" t="str" cm="1">
        <f t="array" ref="M1584">IF(Excel_Advanced_Sales_Dataset_2000__3[[#This Row],[Total Sales]]&gt;50000,{"Yes"},{"No"})</f>
        <v>Yes</v>
      </c>
      <c r="N1584" s="5">
        <v>46116</v>
      </c>
      <c r="O1584" s="1" t="s">
        <v>58</v>
      </c>
      <c r="P1584" t="s">
        <v>59</v>
      </c>
      <c r="Q1584" t="str">
        <f>IF(Excel_Advanced_Sales_Dataset_2000__3[[#This Row],[Delivery Status]]="Pending","Follow Up","Ok")</f>
        <v>Ok</v>
      </c>
      <c r="R1584" s="1" t="s">
        <v>36</v>
      </c>
      <c r="S1584">
        <f>Excel_Advanced_Sales_Dataset_2000__3[[#This Row],[Quantity]]*Excel_Advanced_Sales_Dataset_2000__3[[#This Row],[Unit Price]]*Excel_Advanced_Sales_Dataset_2000__3[[#This Row],[Discount %]]/100</f>
        <v>8160.2019840000003</v>
      </c>
      <c r="T1584" s="4">
        <f>Excel_Advanced_Sales_Dataset_2000__3[[#This Row],[Quantity]]*Excel_Advanced_Sales_Dataset_2000__3[[#This Row],[Unit Price]]-Excel_Advanced_Sales_Dataset_2000__3[[#This Row],[Discount Amount]]</f>
        <v>1024776.7580159999</v>
      </c>
    </row>
    <row r="1585" spans="1:20" x14ac:dyDescent="0.25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>
        <v>14</v>
      </c>
      <c r="J1585" s="4">
        <v>5745</v>
      </c>
      <c r="K1585" s="6">
        <v>17.739999999999998</v>
      </c>
      <c r="L1585" s="4">
        <v>66161.72</v>
      </c>
      <c r="M1585" s="4" t="str" cm="1">
        <f t="array" ref="M1585">IF(Excel_Advanced_Sales_Dataset_2000__3[[#This Row],[Total Sales]]&gt;50000,{"Yes"},{"No"})</f>
        <v>Yes</v>
      </c>
      <c r="N1585" s="5">
        <v>46365</v>
      </c>
      <c r="O1585" s="1" t="s">
        <v>68</v>
      </c>
      <c r="P1585" t="s">
        <v>35</v>
      </c>
      <c r="Q1585" t="str">
        <f>IF(Excel_Advanced_Sales_Dataset_2000__3[[#This Row],[Delivery Status]]="Pending","Follow Up","Ok")</f>
        <v>Ok</v>
      </c>
      <c r="R1585" s="1" t="s">
        <v>26</v>
      </c>
      <c r="S1585">
        <f>Excel_Advanced_Sales_Dataset_2000__3[[#This Row],[Quantity]]*Excel_Advanced_Sales_Dataset_2000__3[[#This Row],[Unit Price]]*Excel_Advanced_Sales_Dataset_2000__3[[#This Row],[Discount %]]/100</f>
        <v>14268.281999999999</v>
      </c>
      <c r="T1585" s="4">
        <f>Excel_Advanced_Sales_Dataset_2000__3[[#This Row],[Quantity]]*Excel_Advanced_Sales_Dataset_2000__3[[#This Row],[Unit Price]]-Excel_Advanced_Sales_Dataset_2000__3[[#This Row],[Discount Amount]]</f>
        <v>66161.717999999993</v>
      </c>
    </row>
    <row r="1586" spans="1:20" x14ac:dyDescent="0.25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>
        <v>38</v>
      </c>
      <c r="J1586" s="4">
        <v>585.79</v>
      </c>
      <c r="K1586" s="6">
        <v>4.54</v>
      </c>
      <c r="L1586" s="4">
        <v>21249.42</v>
      </c>
      <c r="M1586" s="4" t="str" cm="1">
        <f t="array" ref="M1586">IF(Excel_Advanced_Sales_Dataset_2000__3[[#This Row],[Total Sales]]&gt;50000,{"Yes"},{"No"})</f>
        <v>No</v>
      </c>
      <c r="N1586" s="5">
        <v>46094</v>
      </c>
      <c r="O1586" s="1" t="s">
        <v>113</v>
      </c>
      <c r="P1586" t="s">
        <v>25</v>
      </c>
      <c r="Q1586" t="str">
        <f>IF(Excel_Advanced_Sales_Dataset_2000__3[[#This Row],[Delivery Status]]="Pending","Follow Up","Ok")</f>
        <v>Follow Up</v>
      </c>
      <c r="R1586" s="1" t="s">
        <v>53</v>
      </c>
      <c r="S1586">
        <f>Excel_Advanced_Sales_Dataset_2000__3[[#This Row],[Quantity]]*Excel_Advanced_Sales_Dataset_2000__3[[#This Row],[Unit Price]]*Excel_Advanced_Sales_Dataset_2000__3[[#This Row],[Discount %]]/100</f>
        <v>1010.6049079999998</v>
      </c>
      <c r="T1586" s="4">
        <f>Excel_Advanced_Sales_Dataset_2000__3[[#This Row],[Quantity]]*Excel_Advanced_Sales_Dataset_2000__3[[#This Row],[Unit Price]]-Excel_Advanced_Sales_Dataset_2000__3[[#This Row],[Discount Amount]]</f>
        <v>21249.415091999996</v>
      </c>
    </row>
    <row r="1587" spans="1:20" x14ac:dyDescent="0.25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>
        <v>41</v>
      </c>
      <c r="J1587" s="4">
        <v>31614.31</v>
      </c>
      <c r="K1587" s="6">
        <v>6.12</v>
      </c>
      <c r="L1587" s="4">
        <v>1216860.08</v>
      </c>
      <c r="M1587" s="4" t="str" cm="1">
        <f t="array" ref="M1587">IF(Excel_Advanced_Sales_Dataset_2000__3[[#This Row],[Total Sales]]&gt;50000,{"Yes"},{"No"})</f>
        <v>Yes</v>
      </c>
      <c r="N1587" s="5">
        <v>46159</v>
      </c>
      <c r="O1587" s="1" t="s">
        <v>68</v>
      </c>
      <c r="P1587" t="s">
        <v>35</v>
      </c>
      <c r="Q1587" t="str">
        <f>IF(Excel_Advanced_Sales_Dataset_2000__3[[#This Row],[Delivery Status]]="Pending","Follow Up","Ok")</f>
        <v>Ok</v>
      </c>
      <c r="R1587" s="1" t="s">
        <v>26</v>
      </c>
      <c r="S1587">
        <f>Excel_Advanced_Sales_Dataset_2000__3[[#This Row],[Quantity]]*Excel_Advanced_Sales_Dataset_2000__3[[#This Row],[Unit Price]]*Excel_Advanced_Sales_Dataset_2000__3[[#This Row],[Discount %]]/100</f>
        <v>79326.626651999992</v>
      </c>
      <c r="T1587" s="4">
        <f>Excel_Advanced_Sales_Dataset_2000__3[[#This Row],[Quantity]]*Excel_Advanced_Sales_Dataset_2000__3[[#This Row],[Unit Price]]-Excel_Advanced_Sales_Dataset_2000__3[[#This Row],[Discount Amount]]</f>
        <v>1216860.083348</v>
      </c>
    </row>
    <row r="1588" spans="1:20" x14ac:dyDescent="0.25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>
        <v>10</v>
      </c>
      <c r="J1588" s="4">
        <v>871.15</v>
      </c>
      <c r="K1588" s="6">
        <v>14.28</v>
      </c>
      <c r="L1588" s="4">
        <v>7467.5</v>
      </c>
      <c r="M1588" s="4" t="str" cm="1">
        <f t="array" ref="M1588">IF(Excel_Advanced_Sales_Dataset_2000__3[[#This Row],[Total Sales]]&gt;50000,{"Yes"},{"No"})</f>
        <v>No</v>
      </c>
      <c r="N1588" s="5">
        <v>46067</v>
      </c>
      <c r="O1588" s="1" t="s">
        <v>58</v>
      </c>
      <c r="P1588" t="s">
        <v>35</v>
      </c>
      <c r="Q1588" t="str">
        <f>IF(Excel_Advanced_Sales_Dataset_2000__3[[#This Row],[Delivery Status]]="Pending","Follow Up","Ok")</f>
        <v>Ok</v>
      </c>
      <c r="R1588" s="1" t="s">
        <v>36</v>
      </c>
      <c r="S1588">
        <f>Excel_Advanced_Sales_Dataset_2000__3[[#This Row],[Quantity]]*Excel_Advanced_Sales_Dataset_2000__3[[#This Row],[Unit Price]]*Excel_Advanced_Sales_Dataset_2000__3[[#This Row],[Discount %]]/100</f>
        <v>1244.0021999999999</v>
      </c>
      <c r="T1588" s="4">
        <f>Excel_Advanced_Sales_Dataset_2000__3[[#This Row],[Quantity]]*Excel_Advanced_Sales_Dataset_2000__3[[#This Row],[Unit Price]]-Excel_Advanced_Sales_Dataset_2000__3[[#This Row],[Discount Amount]]</f>
        <v>7467.4978000000001</v>
      </c>
    </row>
    <row r="1589" spans="1:20" x14ac:dyDescent="0.25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>
        <v>50</v>
      </c>
      <c r="J1589" s="4">
        <v>49415.98</v>
      </c>
      <c r="K1589" s="6">
        <v>7.8</v>
      </c>
      <c r="L1589" s="4">
        <v>2278076.6800000002</v>
      </c>
      <c r="M1589" s="4" t="str" cm="1">
        <f t="array" ref="M1589">IF(Excel_Advanced_Sales_Dataset_2000__3[[#This Row],[Total Sales]]&gt;50000,{"Yes"},{"No"})</f>
        <v>Yes</v>
      </c>
      <c r="N1589" s="5">
        <v>46356</v>
      </c>
      <c r="O1589" s="1" t="s">
        <v>68</v>
      </c>
      <c r="P1589" t="s">
        <v>35</v>
      </c>
      <c r="Q1589" t="str">
        <f>IF(Excel_Advanced_Sales_Dataset_2000__3[[#This Row],[Delivery Status]]="Pending","Follow Up","Ok")</f>
        <v>Ok</v>
      </c>
      <c r="R1589" s="1" t="s">
        <v>53</v>
      </c>
      <c r="S1589">
        <f>Excel_Advanced_Sales_Dataset_2000__3[[#This Row],[Quantity]]*Excel_Advanced_Sales_Dataset_2000__3[[#This Row],[Unit Price]]*Excel_Advanced_Sales_Dataset_2000__3[[#This Row],[Discount %]]/100</f>
        <v>192722.32199999999</v>
      </c>
      <c r="T1589" s="4">
        <f>Excel_Advanced_Sales_Dataset_2000__3[[#This Row],[Quantity]]*Excel_Advanced_Sales_Dataset_2000__3[[#This Row],[Unit Price]]-Excel_Advanced_Sales_Dataset_2000__3[[#This Row],[Discount Amount]]</f>
        <v>2278076.6779999998</v>
      </c>
    </row>
    <row r="1590" spans="1:20" x14ac:dyDescent="0.25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>
        <v>11</v>
      </c>
      <c r="J1590" s="4">
        <v>14981.67</v>
      </c>
      <c r="K1590" s="6">
        <v>10.06</v>
      </c>
      <c r="L1590" s="4">
        <v>148219.65</v>
      </c>
      <c r="M1590" s="4" t="str" cm="1">
        <f t="array" ref="M1590">IF(Excel_Advanced_Sales_Dataset_2000__3[[#This Row],[Total Sales]]&gt;50000,{"Yes"},{"No"})</f>
        <v>Yes</v>
      </c>
      <c r="N1590" s="5">
        <v>46320</v>
      </c>
      <c r="O1590" s="1" t="s">
        <v>24</v>
      </c>
      <c r="P1590" t="s">
        <v>25</v>
      </c>
      <c r="Q1590" t="str">
        <f>IF(Excel_Advanced_Sales_Dataset_2000__3[[#This Row],[Delivery Status]]="Pending","Follow Up","Ok")</f>
        <v>Follow Up</v>
      </c>
      <c r="R1590" s="1" t="s">
        <v>36</v>
      </c>
      <c r="S1590">
        <f>Excel_Advanced_Sales_Dataset_2000__3[[#This Row],[Quantity]]*Excel_Advanced_Sales_Dataset_2000__3[[#This Row],[Unit Price]]*Excel_Advanced_Sales_Dataset_2000__3[[#This Row],[Discount %]]/100</f>
        <v>16578.716022000001</v>
      </c>
      <c r="T1590" s="4">
        <f>Excel_Advanced_Sales_Dataset_2000__3[[#This Row],[Quantity]]*Excel_Advanced_Sales_Dataset_2000__3[[#This Row],[Unit Price]]-Excel_Advanced_Sales_Dataset_2000__3[[#This Row],[Discount Amount]]</f>
        <v>148219.65397799999</v>
      </c>
    </row>
    <row r="1591" spans="1:20" x14ac:dyDescent="0.25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>
        <v>13</v>
      </c>
      <c r="J1591" s="4">
        <v>17954.82</v>
      </c>
      <c r="K1591" s="6">
        <v>7.25</v>
      </c>
      <c r="L1591" s="4">
        <v>216490.23999999999</v>
      </c>
      <c r="M1591" s="4" t="str" cm="1">
        <f t="array" ref="M1591">IF(Excel_Advanced_Sales_Dataset_2000__3[[#This Row],[Total Sales]]&gt;50000,{"Yes"},{"No"})</f>
        <v>Yes</v>
      </c>
      <c r="N1591" s="5">
        <v>46129</v>
      </c>
      <c r="O1591" s="1" t="s">
        <v>45</v>
      </c>
      <c r="P1591" t="s">
        <v>35</v>
      </c>
      <c r="Q1591" t="str">
        <f>IF(Excel_Advanced_Sales_Dataset_2000__3[[#This Row],[Delivery Status]]="Pending","Follow Up","Ok")</f>
        <v>Ok</v>
      </c>
      <c r="R1591" s="1" t="s">
        <v>26</v>
      </c>
      <c r="S1591">
        <f>Excel_Advanced_Sales_Dataset_2000__3[[#This Row],[Quantity]]*Excel_Advanced_Sales_Dataset_2000__3[[#This Row],[Unit Price]]*Excel_Advanced_Sales_Dataset_2000__3[[#This Row],[Discount %]]/100</f>
        <v>16922.417849999998</v>
      </c>
      <c r="T1591" s="4">
        <f>Excel_Advanced_Sales_Dataset_2000__3[[#This Row],[Quantity]]*Excel_Advanced_Sales_Dataset_2000__3[[#This Row],[Unit Price]]-Excel_Advanced_Sales_Dataset_2000__3[[#This Row],[Discount Amount]]</f>
        <v>216490.24215000001</v>
      </c>
    </row>
    <row r="1592" spans="1:20" x14ac:dyDescent="0.25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>
        <v>34</v>
      </c>
      <c r="J1592" s="4">
        <v>37766.11</v>
      </c>
      <c r="K1592" s="6">
        <v>15.58</v>
      </c>
      <c r="L1592" s="4">
        <v>1083993.1000000001</v>
      </c>
      <c r="M1592" s="4" t="str" cm="1">
        <f t="array" ref="M1592">IF(Excel_Advanced_Sales_Dataset_2000__3[[#This Row],[Total Sales]]&gt;50000,{"Yes"},{"No"})</f>
        <v>Yes</v>
      </c>
      <c r="N1592" s="5">
        <v>46040</v>
      </c>
      <c r="O1592" s="1" t="s">
        <v>45</v>
      </c>
      <c r="P1592" t="s">
        <v>35</v>
      </c>
      <c r="Q1592" t="str">
        <f>IF(Excel_Advanced_Sales_Dataset_2000__3[[#This Row],[Delivery Status]]="Pending","Follow Up","Ok")</f>
        <v>Ok</v>
      </c>
      <c r="R1592" s="1" t="s">
        <v>36</v>
      </c>
      <c r="S1592">
        <f>Excel_Advanced_Sales_Dataset_2000__3[[#This Row],[Quantity]]*Excel_Advanced_Sales_Dataset_2000__3[[#This Row],[Unit Price]]*Excel_Advanced_Sales_Dataset_2000__3[[#This Row],[Discount %]]/100</f>
        <v>200054.637892</v>
      </c>
      <c r="T1592" s="4">
        <f>Excel_Advanced_Sales_Dataset_2000__3[[#This Row],[Quantity]]*Excel_Advanced_Sales_Dataset_2000__3[[#This Row],[Unit Price]]-Excel_Advanced_Sales_Dataset_2000__3[[#This Row],[Discount Amount]]</f>
        <v>1083993.1021080001</v>
      </c>
    </row>
    <row r="1593" spans="1:20" x14ac:dyDescent="0.25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>
        <v>17</v>
      </c>
      <c r="J1593" s="4">
        <v>4692.67</v>
      </c>
      <c r="K1593" s="6">
        <v>11.58</v>
      </c>
      <c r="L1593" s="4">
        <v>70537.399999999994</v>
      </c>
      <c r="M1593" s="4" t="str" cm="1">
        <f t="array" ref="M1593">IF(Excel_Advanced_Sales_Dataset_2000__3[[#This Row],[Total Sales]]&gt;50000,{"Yes"},{"No"})</f>
        <v>Yes</v>
      </c>
      <c r="N1593" s="5">
        <v>46235</v>
      </c>
      <c r="O1593" s="1" t="s">
        <v>113</v>
      </c>
      <c r="P1593" t="s">
        <v>35</v>
      </c>
      <c r="Q1593" t="str">
        <f>IF(Excel_Advanced_Sales_Dataset_2000__3[[#This Row],[Delivery Status]]="Pending","Follow Up","Ok")</f>
        <v>Ok</v>
      </c>
      <c r="R1593" s="1" t="s">
        <v>53</v>
      </c>
      <c r="S1593">
        <f>Excel_Advanced_Sales_Dataset_2000__3[[#This Row],[Quantity]]*Excel_Advanced_Sales_Dataset_2000__3[[#This Row],[Unit Price]]*Excel_Advanced_Sales_Dataset_2000__3[[#This Row],[Discount %]]/100</f>
        <v>9237.9901620000001</v>
      </c>
      <c r="T1593" s="4">
        <f>Excel_Advanced_Sales_Dataset_2000__3[[#This Row],[Quantity]]*Excel_Advanced_Sales_Dataset_2000__3[[#This Row],[Unit Price]]-Excel_Advanced_Sales_Dataset_2000__3[[#This Row],[Discount Amount]]</f>
        <v>70537.399837999998</v>
      </c>
    </row>
    <row r="1594" spans="1:20" x14ac:dyDescent="0.25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>
        <v>1</v>
      </c>
      <c r="J1594" s="4">
        <v>2344.39</v>
      </c>
      <c r="K1594" s="6">
        <v>18.09</v>
      </c>
      <c r="L1594" s="4">
        <v>1920.29</v>
      </c>
      <c r="M1594" s="4" t="str" cm="1">
        <f t="array" ref="M1594">IF(Excel_Advanced_Sales_Dataset_2000__3[[#This Row],[Total Sales]]&gt;50000,{"Yes"},{"No"})</f>
        <v>No</v>
      </c>
      <c r="N1594" s="5">
        <v>46198</v>
      </c>
      <c r="O1594" s="1" t="s">
        <v>24</v>
      </c>
      <c r="P1594" t="s">
        <v>35</v>
      </c>
      <c r="Q1594" t="str">
        <f>IF(Excel_Advanced_Sales_Dataset_2000__3[[#This Row],[Delivery Status]]="Pending","Follow Up","Ok")</f>
        <v>Ok</v>
      </c>
      <c r="R1594" s="1" t="s">
        <v>36</v>
      </c>
      <c r="S1594">
        <f>Excel_Advanced_Sales_Dataset_2000__3[[#This Row],[Quantity]]*Excel_Advanced_Sales_Dataset_2000__3[[#This Row],[Unit Price]]*Excel_Advanced_Sales_Dataset_2000__3[[#This Row],[Discount %]]/100</f>
        <v>424.10015099999998</v>
      </c>
      <c r="T1594" s="4">
        <f>Excel_Advanced_Sales_Dataset_2000__3[[#This Row],[Quantity]]*Excel_Advanced_Sales_Dataset_2000__3[[#This Row],[Unit Price]]-Excel_Advanced_Sales_Dataset_2000__3[[#This Row],[Discount Amount]]</f>
        <v>1920.2898489999998</v>
      </c>
    </row>
    <row r="1595" spans="1:20" x14ac:dyDescent="0.25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>
        <v>12</v>
      </c>
      <c r="J1595" s="4">
        <v>2779.89</v>
      </c>
      <c r="K1595" s="6">
        <v>19.3</v>
      </c>
      <c r="L1595" s="4">
        <v>26920.45</v>
      </c>
      <c r="M1595" s="4" t="str" cm="1">
        <f t="array" ref="M1595">IF(Excel_Advanced_Sales_Dataset_2000__3[[#This Row],[Total Sales]]&gt;50000,{"Yes"},{"No"})</f>
        <v>No</v>
      </c>
      <c r="N1595" s="5">
        <v>46316</v>
      </c>
      <c r="O1595" s="1" t="s">
        <v>24</v>
      </c>
      <c r="P1595" t="s">
        <v>35</v>
      </c>
      <c r="Q1595" t="str">
        <f>IF(Excel_Advanced_Sales_Dataset_2000__3[[#This Row],[Delivery Status]]="Pending","Follow Up","Ok")</f>
        <v>Ok</v>
      </c>
      <c r="R1595" s="1" t="s">
        <v>26</v>
      </c>
      <c r="S1595">
        <f>Excel_Advanced_Sales_Dataset_2000__3[[#This Row],[Quantity]]*Excel_Advanced_Sales_Dataset_2000__3[[#This Row],[Unit Price]]*Excel_Advanced_Sales_Dataset_2000__3[[#This Row],[Discount %]]/100</f>
        <v>6438.2252399999998</v>
      </c>
      <c r="T1595" s="4">
        <f>Excel_Advanced_Sales_Dataset_2000__3[[#This Row],[Quantity]]*Excel_Advanced_Sales_Dataset_2000__3[[#This Row],[Unit Price]]-Excel_Advanced_Sales_Dataset_2000__3[[#This Row],[Discount Amount]]</f>
        <v>26920.454760000001</v>
      </c>
    </row>
    <row r="1596" spans="1:20" x14ac:dyDescent="0.25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>
        <v>35</v>
      </c>
      <c r="J1596" s="4">
        <v>36948.43</v>
      </c>
      <c r="K1596" s="6">
        <v>16.37</v>
      </c>
      <c r="L1596" s="4">
        <v>1081499.02</v>
      </c>
      <c r="M1596" s="4" t="str" cm="1">
        <f t="array" ref="M1596">IF(Excel_Advanced_Sales_Dataset_2000__3[[#This Row],[Total Sales]]&gt;50000,{"Yes"},{"No"})</f>
        <v>Yes</v>
      </c>
      <c r="N1596" s="5">
        <v>46085</v>
      </c>
      <c r="O1596" s="1" t="s">
        <v>45</v>
      </c>
      <c r="P1596" t="s">
        <v>35</v>
      </c>
      <c r="Q1596" t="str">
        <f>IF(Excel_Advanced_Sales_Dataset_2000__3[[#This Row],[Delivery Status]]="Pending","Follow Up","Ok")</f>
        <v>Ok</v>
      </c>
      <c r="R1596" s="1" t="s">
        <v>26</v>
      </c>
      <c r="S1596">
        <f>Excel_Advanced_Sales_Dataset_2000__3[[#This Row],[Quantity]]*Excel_Advanced_Sales_Dataset_2000__3[[#This Row],[Unit Price]]*Excel_Advanced_Sales_Dataset_2000__3[[#This Row],[Discount %]]/100</f>
        <v>211696.02968500004</v>
      </c>
      <c r="T1596" s="4">
        <f>Excel_Advanced_Sales_Dataset_2000__3[[#This Row],[Quantity]]*Excel_Advanced_Sales_Dataset_2000__3[[#This Row],[Unit Price]]-Excel_Advanced_Sales_Dataset_2000__3[[#This Row],[Discount Amount]]</f>
        <v>1081499.0203150001</v>
      </c>
    </row>
    <row r="1597" spans="1:20" x14ac:dyDescent="0.25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>
        <v>21</v>
      </c>
      <c r="J1597" s="4">
        <v>8008.13</v>
      </c>
      <c r="K1597" s="6">
        <v>2.65</v>
      </c>
      <c r="L1597" s="4">
        <v>163714.21</v>
      </c>
      <c r="M1597" s="4" t="str" cm="1">
        <f t="array" ref="M1597">IF(Excel_Advanced_Sales_Dataset_2000__3[[#This Row],[Total Sales]]&gt;50000,{"Yes"},{"No"})</f>
        <v>Yes</v>
      </c>
      <c r="N1597" s="5">
        <v>46170</v>
      </c>
      <c r="O1597" s="1" t="s">
        <v>24</v>
      </c>
      <c r="P1597" t="s">
        <v>35</v>
      </c>
      <c r="Q1597" t="str">
        <f>IF(Excel_Advanced_Sales_Dataset_2000__3[[#This Row],[Delivery Status]]="Pending","Follow Up","Ok")</f>
        <v>Ok</v>
      </c>
      <c r="R1597" s="1" t="s">
        <v>36</v>
      </c>
      <c r="S1597">
        <f>Excel_Advanced_Sales_Dataset_2000__3[[#This Row],[Quantity]]*Excel_Advanced_Sales_Dataset_2000__3[[#This Row],[Unit Price]]*Excel_Advanced_Sales_Dataset_2000__3[[#This Row],[Discount %]]/100</f>
        <v>4456.5243450000007</v>
      </c>
      <c r="T1597" s="4">
        <f>Excel_Advanced_Sales_Dataset_2000__3[[#This Row],[Quantity]]*Excel_Advanced_Sales_Dataset_2000__3[[#This Row],[Unit Price]]-Excel_Advanced_Sales_Dataset_2000__3[[#This Row],[Discount Amount]]</f>
        <v>163714.205655</v>
      </c>
    </row>
    <row r="1598" spans="1:20" x14ac:dyDescent="0.25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>
        <v>36</v>
      </c>
      <c r="J1598" s="4">
        <v>42071.29</v>
      </c>
      <c r="K1598" s="6">
        <v>12.57</v>
      </c>
      <c r="L1598" s="4">
        <v>1324185.44</v>
      </c>
      <c r="M1598" s="4" t="str" cm="1">
        <f t="array" ref="M1598">IF(Excel_Advanced_Sales_Dataset_2000__3[[#This Row],[Total Sales]]&gt;50000,{"Yes"},{"No"})</f>
        <v>Yes</v>
      </c>
      <c r="N1598" s="5">
        <v>46109</v>
      </c>
      <c r="O1598" s="1" t="s">
        <v>58</v>
      </c>
      <c r="P1598" t="s">
        <v>35</v>
      </c>
      <c r="Q1598" t="str">
        <f>IF(Excel_Advanced_Sales_Dataset_2000__3[[#This Row],[Delivery Status]]="Pending","Follow Up","Ok")</f>
        <v>Ok</v>
      </c>
      <c r="R1598" s="1" t="s">
        <v>36</v>
      </c>
      <c r="S1598">
        <f>Excel_Advanced_Sales_Dataset_2000__3[[#This Row],[Quantity]]*Excel_Advanced_Sales_Dataset_2000__3[[#This Row],[Unit Price]]*Excel_Advanced_Sales_Dataset_2000__3[[#This Row],[Discount %]]/100</f>
        <v>190381.00150800002</v>
      </c>
      <c r="T1598" s="4">
        <f>Excel_Advanced_Sales_Dataset_2000__3[[#This Row],[Quantity]]*Excel_Advanced_Sales_Dataset_2000__3[[#This Row],[Unit Price]]-Excel_Advanced_Sales_Dataset_2000__3[[#This Row],[Discount Amount]]</f>
        <v>1324185.4384919999</v>
      </c>
    </row>
    <row r="1599" spans="1:20" x14ac:dyDescent="0.25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>
        <v>8</v>
      </c>
      <c r="J1599" s="4">
        <v>18066.849999999999</v>
      </c>
      <c r="K1599" s="6">
        <v>19.989999999999998</v>
      </c>
      <c r="L1599" s="4">
        <v>115642.29</v>
      </c>
      <c r="M1599" s="4" t="str" cm="1">
        <f t="array" ref="M1599">IF(Excel_Advanced_Sales_Dataset_2000__3[[#This Row],[Total Sales]]&gt;50000,{"Yes"},{"No"})</f>
        <v>Yes</v>
      </c>
      <c r="N1599" s="5">
        <v>46047</v>
      </c>
      <c r="O1599" s="1" t="s">
        <v>45</v>
      </c>
      <c r="P1599" t="s">
        <v>35</v>
      </c>
      <c r="Q1599" t="str">
        <f>IF(Excel_Advanced_Sales_Dataset_2000__3[[#This Row],[Delivery Status]]="Pending","Follow Up","Ok")</f>
        <v>Ok</v>
      </c>
      <c r="R1599" s="1" t="s">
        <v>26</v>
      </c>
      <c r="S1599">
        <f>Excel_Advanced_Sales_Dataset_2000__3[[#This Row],[Quantity]]*Excel_Advanced_Sales_Dataset_2000__3[[#This Row],[Unit Price]]*Excel_Advanced_Sales_Dataset_2000__3[[#This Row],[Discount %]]/100</f>
        <v>28892.506519999999</v>
      </c>
      <c r="T1599" s="4">
        <f>Excel_Advanced_Sales_Dataset_2000__3[[#This Row],[Quantity]]*Excel_Advanced_Sales_Dataset_2000__3[[#This Row],[Unit Price]]-Excel_Advanced_Sales_Dataset_2000__3[[#This Row],[Discount Amount]]</f>
        <v>115642.29347999999</v>
      </c>
    </row>
    <row r="1600" spans="1:20" x14ac:dyDescent="0.25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>
        <v>27</v>
      </c>
      <c r="J1600" s="4">
        <v>6578.21</v>
      </c>
      <c r="K1600" s="6">
        <v>14.07</v>
      </c>
      <c r="L1600" s="4">
        <v>152621.71</v>
      </c>
      <c r="M1600" s="4" t="str" cm="1">
        <f t="array" ref="M1600">IF(Excel_Advanced_Sales_Dataset_2000__3[[#This Row],[Total Sales]]&gt;50000,{"Yes"},{"No"})</f>
        <v>Yes</v>
      </c>
      <c r="N1600" s="5">
        <v>46246</v>
      </c>
      <c r="O1600" s="1" t="s">
        <v>113</v>
      </c>
      <c r="P1600" t="s">
        <v>59</v>
      </c>
      <c r="Q1600" t="str">
        <f>IF(Excel_Advanced_Sales_Dataset_2000__3[[#This Row],[Delivery Status]]="Pending","Follow Up","Ok")</f>
        <v>Ok</v>
      </c>
      <c r="R1600" s="1" t="s">
        <v>36</v>
      </c>
      <c r="S1600">
        <f>Excel_Advanced_Sales_Dataset_2000__3[[#This Row],[Quantity]]*Excel_Advanced_Sales_Dataset_2000__3[[#This Row],[Unit Price]]*Excel_Advanced_Sales_Dataset_2000__3[[#This Row],[Discount %]]/100</f>
        <v>24989.961969000004</v>
      </c>
      <c r="T1600" s="4">
        <f>Excel_Advanced_Sales_Dataset_2000__3[[#This Row],[Quantity]]*Excel_Advanced_Sales_Dataset_2000__3[[#This Row],[Unit Price]]-Excel_Advanced_Sales_Dataset_2000__3[[#This Row],[Discount Amount]]</f>
        <v>152621.70803100002</v>
      </c>
    </row>
    <row r="1601" spans="1:20" x14ac:dyDescent="0.25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>
        <v>7</v>
      </c>
      <c r="J1601" s="4">
        <v>40465.019999999997</v>
      </c>
      <c r="K1601" s="6">
        <v>16.420000000000002</v>
      </c>
      <c r="L1601" s="4">
        <v>236744.65</v>
      </c>
      <c r="M1601" s="4" t="str" cm="1">
        <f t="array" ref="M1601">IF(Excel_Advanced_Sales_Dataset_2000__3[[#This Row],[Total Sales]]&gt;50000,{"Yes"},{"No"})</f>
        <v>Yes</v>
      </c>
      <c r="N1601" s="5">
        <v>46294</v>
      </c>
      <c r="O1601" s="1" t="s">
        <v>68</v>
      </c>
      <c r="P1601" t="s">
        <v>35</v>
      </c>
      <c r="Q1601" t="str">
        <f>IF(Excel_Advanced_Sales_Dataset_2000__3[[#This Row],[Delivery Status]]="Pending","Follow Up","Ok")</f>
        <v>Ok</v>
      </c>
      <c r="R1601" s="1" t="s">
        <v>26</v>
      </c>
      <c r="S1601">
        <f>Excel_Advanced_Sales_Dataset_2000__3[[#This Row],[Quantity]]*Excel_Advanced_Sales_Dataset_2000__3[[#This Row],[Unit Price]]*Excel_Advanced_Sales_Dataset_2000__3[[#This Row],[Discount %]]/100</f>
        <v>46510.493987999995</v>
      </c>
      <c r="T1601" s="4">
        <f>Excel_Advanced_Sales_Dataset_2000__3[[#This Row],[Quantity]]*Excel_Advanced_Sales_Dataset_2000__3[[#This Row],[Unit Price]]-Excel_Advanced_Sales_Dataset_2000__3[[#This Row],[Discount Amount]]</f>
        <v>236744.64601199995</v>
      </c>
    </row>
    <row r="1602" spans="1:20" x14ac:dyDescent="0.25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>
        <v>1</v>
      </c>
      <c r="J1602" s="4">
        <v>49856.91</v>
      </c>
      <c r="K1602" s="6">
        <v>0.56999999999999995</v>
      </c>
      <c r="L1602" s="4">
        <v>49572.73</v>
      </c>
      <c r="M1602" s="4" t="str" cm="1">
        <f t="array" ref="M1602">IF(Excel_Advanced_Sales_Dataset_2000__3[[#This Row],[Total Sales]]&gt;50000,{"Yes"},{"No"})</f>
        <v>No</v>
      </c>
      <c r="N1602" s="5">
        <v>46327</v>
      </c>
      <c r="O1602" s="1" t="s">
        <v>45</v>
      </c>
      <c r="P1602" t="s">
        <v>35</v>
      </c>
      <c r="Q1602" t="str">
        <f>IF(Excel_Advanced_Sales_Dataset_2000__3[[#This Row],[Delivery Status]]="Pending","Follow Up","Ok")</f>
        <v>Ok</v>
      </c>
      <c r="R1602" s="1" t="s">
        <v>26</v>
      </c>
      <c r="S1602">
        <f>Excel_Advanced_Sales_Dataset_2000__3[[#This Row],[Quantity]]*Excel_Advanced_Sales_Dataset_2000__3[[#This Row],[Unit Price]]*Excel_Advanced_Sales_Dataset_2000__3[[#This Row],[Discount %]]/100</f>
        <v>284.18438700000002</v>
      </c>
      <c r="T1602" s="4">
        <f>Excel_Advanced_Sales_Dataset_2000__3[[#This Row],[Quantity]]*Excel_Advanced_Sales_Dataset_2000__3[[#This Row],[Unit Price]]-Excel_Advanced_Sales_Dataset_2000__3[[#This Row],[Discount Amount]]</f>
        <v>49572.725613000002</v>
      </c>
    </row>
    <row r="1603" spans="1:20" x14ac:dyDescent="0.25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>
        <v>18</v>
      </c>
      <c r="J1603" s="4">
        <v>40660.17</v>
      </c>
      <c r="K1603" s="6">
        <v>4.5</v>
      </c>
      <c r="L1603" s="4">
        <v>698948.32</v>
      </c>
      <c r="M1603" s="4" t="str" cm="1">
        <f t="array" ref="M1603">IF(Excel_Advanced_Sales_Dataset_2000__3[[#This Row],[Total Sales]]&gt;50000,{"Yes"},{"No"})</f>
        <v>Yes</v>
      </c>
      <c r="N1603" s="5">
        <v>46156</v>
      </c>
      <c r="O1603" s="1" t="s">
        <v>68</v>
      </c>
      <c r="P1603" t="s">
        <v>35</v>
      </c>
      <c r="Q1603" t="str">
        <f>IF(Excel_Advanced_Sales_Dataset_2000__3[[#This Row],[Delivery Status]]="Pending","Follow Up","Ok")</f>
        <v>Ok</v>
      </c>
      <c r="R1603" s="1" t="s">
        <v>53</v>
      </c>
      <c r="S1603">
        <f>Excel_Advanced_Sales_Dataset_2000__3[[#This Row],[Quantity]]*Excel_Advanced_Sales_Dataset_2000__3[[#This Row],[Unit Price]]*Excel_Advanced_Sales_Dataset_2000__3[[#This Row],[Discount %]]/100</f>
        <v>32934.737699999998</v>
      </c>
      <c r="T1603" s="4">
        <f>Excel_Advanced_Sales_Dataset_2000__3[[#This Row],[Quantity]]*Excel_Advanced_Sales_Dataset_2000__3[[#This Row],[Unit Price]]-Excel_Advanced_Sales_Dataset_2000__3[[#This Row],[Discount Amount]]</f>
        <v>698948.32229999988</v>
      </c>
    </row>
    <row r="1604" spans="1:20" x14ac:dyDescent="0.25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>
        <v>9</v>
      </c>
      <c r="J1604" s="4">
        <v>49743.42</v>
      </c>
      <c r="K1604" s="6">
        <v>12.54</v>
      </c>
      <c r="L1604" s="4">
        <v>391550.36</v>
      </c>
      <c r="M1604" s="4" t="str" cm="1">
        <f t="array" ref="M1604">IF(Excel_Advanced_Sales_Dataset_2000__3[[#This Row],[Total Sales]]&gt;50000,{"Yes"},{"No"})</f>
        <v>Yes</v>
      </c>
      <c r="N1604" s="5">
        <v>46359</v>
      </c>
      <c r="O1604" s="1" t="s">
        <v>68</v>
      </c>
      <c r="P1604" t="s">
        <v>35</v>
      </c>
      <c r="Q1604" t="str">
        <f>IF(Excel_Advanced_Sales_Dataset_2000__3[[#This Row],[Delivery Status]]="Pending","Follow Up","Ok")</f>
        <v>Ok</v>
      </c>
      <c r="R1604" s="1" t="s">
        <v>53</v>
      </c>
      <c r="S1604">
        <f>Excel_Advanced_Sales_Dataset_2000__3[[#This Row],[Quantity]]*Excel_Advanced_Sales_Dataset_2000__3[[#This Row],[Unit Price]]*Excel_Advanced_Sales_Dataset_2000__3[[#This Row],[Discount %]]/100</f>
        <v>56140.423811999986</v>
      </c>
      <c r="T1604" s="4">
        <f>Excel_Advanced_Sales_Dataset_2000__3[[#This Row],[Quantity]]*Excel_Advanced_Sales_Dataset_2000__3[[#This Row],[Unit Price]]-Excel_Advanced_Sales_Dataset_2000__3[[#This Row],[Discount Amount]]</f>
        <v>391550.35618800001</v>
      </c>
    </row>
    <row r="1605" spans="1:20" x14ac:dyDescent="0.25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>
        <v>13</v>
      </c>
      <c r="J1605" s="4">
        <v>31497.65</v>
      </c>
      <c r="K1605" s="6">
        <v>9.8800000000000008</v>
      </c>
      <c r="L1605" s="4">
        <v>369013.87</v>
      </c>
      <c r="M1605" s="4" t="str" cm="1">
        <f t="array" ref="M1605">IF(Excel_Advanced_Sales_Dataset_2000__3[[#This Row],[Total Sales]]&gt;50000,{"Yes"},{"No"})</f>
        <v>Yes</v>
      </c>
      <c r="N1605" s="5">
        <v>46118</v>
      </c>
      <c r="O1605" s="1" t="s">
        <v>68</v>
      </c>
      <c r="P1605" t="s">
        <v>35</v>
      </c>
      <c r="Q1605" t="str">
        <f>IF(Excel_Advanced_Sales_Dataset_2000__3[[#This Row],[Delivery Status]]="Pending","Follow Up","Ok")</f>
        <v>Ok</v>
      </c>
      <c r="R1605" s="1" t="s">
        <v>36</v>
      </c>
      <c r="S1605">
        <f>Excel_Advanced_Sales_Dataset_2000__3[[#This Row],[Quantity]]*Excel_Advanced_Sales_Dataset_2000__3[[#This Row],[Unit Price]]*Excel_Advanced_Sales_Dataset_2000__3[[#This Row],[Discount %]]/100</f>
        <v>40455.581660000003</v>
      </c>
      <c r="T1605" s="4">
        <f>Excel_Advanced_Sales_Dataset_2000__3[[#This Row],[Quantity]]*Excel_Advanced_Sales_Dataset_2000__3[[#This Row],[Unit Price]]-Excel_Advanced_Sales_Dataset_2000__3[[#This Row],[Discount Amount]]</f>
        <v>369013.86833999999</v>
      </c>
    </row>
    <row r="1606" spans="1:20" x14ac:dyDescent="0.25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>
        <v>47</v>
      </c>
      <c r="J1606" s="4">
        <v>37864.160000000003</v>
      </c>
      <c r="K1606" s="6">
        <v>3.33</v>
      </c>
      <c r="L1606" s="4">
        <v>1720354.32</v>
      </c>
      <c r="M1606" s="4" t="str" cm="1">
        <f t="array" ref="M1606">IF(Excel_Advanced_Sales_Dataset_2000__3[[#This Row],[Total Sales]]&gt;50000,{"Yes"},{"No"})</f>
        <v>Yes</v>
      </c>
      <c r="N1606" s="5">
        <v>46199</v>
      </c>
      <c r="O1606" s="1" t="s">
        <v>24</v>
      </c>
      <c r="P1606" t="s">
        <v>35</v>
      </c>
      <c r="Q1606" t="str">
        <f>IF(Excel_Advanced_Sales_Dataset_2000__3[[#This Row],[Delivery Status]]="Pending","Follow Up","Ok")</f>
        <v>Ok</v>
      </c>
      <c r="R1606" s="1" t="s">
        <v>36</v>
      </c>
      <c r="S1606">
        <f>Excel_Advanced_Sales_Dataset_2000__3[[#This Row],[Quantity]]*Excel_Advanced_Sales_Dataset_2000__3[[#This Row],[Unit Price]]*Excel_Advanced_Sales_Dataset_2000__3[[#This Row],[Discount %]]/100</f>
        <v>59261.196816000011</v>
      </c>
      <c r="T1606" s="4">
        <f>Excel_Advanced_Sales_Dataset_2000__3[[#This Row],[Quantity]]*Excel_Advanced_Sales_Dataset_2000__3[[#This Row],[Unit Price]]-Excel_Advanced_Sales_Dataset_2000__3[[#This Row],[Discount Amount]]</f>
        <v>1720354.3231840003</v>
      </c>
    </row>
    <row r="1607" spans="1:20" x14ac:dyDescent="0.25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>
        <v>43</v>
      </c>
      <c r="J1607" s="4">
        <v>12867.43</v>
      </c>
      <c r="K1607" s="6">
        <v>1.75</v>
      </c>
      <c r="L1607" s="4">
        <v>543616.75</v>
      </c>
      <c r="M1607" s="4" t="str" cm="1">
        <f t="array" ref="M1607">IF(Excel_Advanced_Sales_Dataset_2000__3[[#This Row],[Total Sales]]&gt;50000,{"Yes"},{"No"})</f>
        <v>Yes</v>
      </c>
      <c r="N1607" s="5">
        <v>46094</v>
      </c>
      <c r="O1607" s="1" t="s">
        <v>58</v>
      </c>
      <c r="P1607" t="s">
        <v>35</v>
      </c>
      <c r="Q1607" t="str">
        <f>IF(Excel_Advanced_Sales_Dataset_2000__3[[#This Row],[Delivery Status]]="Pending","Follow Up","Ok")</f>
        <v>Ok</v>
      </c>
      <c r="R1607" s="1" t="s">
        <v>26</v>
      </c>
      <c r="S1607">
        <f>Excel_Advanced_Sales_Dataset_2000__3[[#This Row],[Quantity]]*Excel_Advanced_Sales_Dataset_2000__3[[#This Row],[Unit Price]]*Excel_Advanced_Sales_Dataset_2000__3[[#This Row],[Discount %]]/100</f>
        <v>9682.7410749999999</v>
      </c>
      <c r="T1607" s="4">
        <f>Excel_Advanced_Sales_Dataset_2000__3[[#This Row],[Quantity]]*Excel_Advanced_Sales_Dataset_2000__3[[#This Row],[Unit Price]]-Excel_Advanced_Sales_Dataset_2000__3[[#This Row],[Discount Amount]]</f>
        <v>543616.74892499996</v>
      </c>
    </row>
    <row r="1608" spans="1:20" x14ac:dyDescent="0.25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>
        <v>39</v>
      </c>
      <c r="J1608" s="4">
        <v>3535.99</v>
      </c>
      <c r="K1608" s="6">
        <v>16.690000000000001</v>
      </c>
      <c r="L1608" s="4">
        <v>114887.5</v>
      </c>
      <c r="M1608" s="4" t="str" cm="1">
        <f t="array" ref="M1608">IF(Excel_Advanced_Sales_Dataset_2000__3[[#This Row],[Total Sales]]&gt;50000,{"Yes"},{"No"})</f>
        <v>Yes</v>
      </c>
      <c r="N1608" s="5">
        <v>46259</v>
      </c>
      <c r="O1608" s="1" t="s">
        <v>45</v>
      </c>
      <c r="P1608" t="s">
        <v>35</v>
      </c>
      <c r="Q1608" t="str">
        <f>IF(Excel_Advanced_Sales_Dataset_2000__3[[#This Row],[Delivery Status]]="Pending","Follow Up","Ok")</f>
        <v>Ok</v>
      </c>
      <c r="R1608" s="1" t="s">
        <v>26</v>
      </c>
      <c r="S1608">
        <f>Excel_Advanced_Sales_Dataset_2000__3[[#This Row],[Quantity]]*Excel_Advanced_Sales_Dataset_2000__3[[#This Row],[Unit Price]]*Excel_Advanced_Sales_Dataset_2000__3[[#This Row],[Discount %]]/100</f>
        <v>23016.112508999999</v>
      </c>
      <c r="T1608" s="4">
        <f>Excel_Advanced_Sales_Dataset_2000__3[[#This Row],[Quantity]]*Excel_Advanced_Sales_Dataset_2000__3[[#This Row],[Unit Price]]-Excel_Advanced_Sales_Dataset_2000__3[[#This Row],[Discount Amount]]</f>
        <v>114887.49749099999</v>
      </c>
    </row>
    <row r="1609" spans="1:20" x14ac:dyDescent="0.25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>
        <v>50</v>
      </c>
      <c r="J1609" s="4">
        <v>12226.05</v>
      </c>
      <c r="K1609" s="6">
        <v>18.47</v>
      </c>
      <c r="L1609" s="4">
        <v>498394.93</v>
      </c>
      <c r="M1609" s="4" t="str" cm="1">
        <f t="array" ref="M1609">IF(Excel_Advanced_Sales_Dataset_2000__3[[#This Row],[Total Sales]]&gt;50000,{"Yes"},{"No"})</f>
        <v>Yes</v>
      </c>
      <c r="N1609" s="5">
        <v>46332</v>
      </c>
      <c r="O1609" s="1" t="s">
        <v>24</v>
      </c>
      <c r="P1609" t="s">
        <v>35</v>
      </c>
      <c r="Q1609" t="str">
        <f>IF(Excel_Advanced_Sales_Dataset_2000__3[[#This Row],[Delivery Status]]="Pending","Follow Up","Ok")</f>
        <v>Ok</v>
      </c>
      <c r="R1609" s="1" t="s">
        <v>53</v>
      </c>
      <c r="S1609">
        <f>Excel_Advanced_Sales_Dataset_2000__3[[#This Row],[Quantity]]*Excel_Advanced_Sales_Dataset_2000__3[[#This Row],[Unit Price]]*Excel_Advanced_Sales_Dataset_2000__3[[#This Row],[Discount %]]/100</f>
        <v>112907.57174999999</v>
      </c>
      <c r="T1609" s="4">
        <f>Excel_Advanced_Sales_Dataset_2000__3[[#This Row],[Quantity]]*Excel_Advanced_Sales_Dataset_2000__3[[#This Row],[Unit Price]]-Excel_Advanced_Sales_Dataset_2000__3[[#This Row],[Discount Amount]]</f>
        <v>498394.92825</v>
      </c>
    </row>
    <row r="1610" spans="1:20" x14ac:dyDescent="0.25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>
        <v>26</v>
      </c>
      <c r="J1610" s="4">
        <v>20696.689999999999</v>
      </c>
      <c r="K1610" s="6">
        <v>9.5299999999999994</v>
      </c>
      <c r="L1610" s="4">
        <v>486831.68</v>
      </c>
      <c r="M1610" s="4" t="str" cm="1">
        <f t="array" ref="M1610">IF(Excel_Advanced_Sales_Dataset_2000__3[[#This Row],[Total Sales]]&gt;50000,{"Yes"},{"No"})</f>
        <v>Yes</v>
      </c>
      <c r="N1610" s="5">
        <v>46123</v>
      </c>
      <c r="O1610" s="1" t="s">
        <v>113</v>
      </c>
      <c r="P1610" t="s">
        <v>35</v>
      </c>
      <c r="Q1610" t="str">
        <f>IF(Excel_Advanced_Sales_Dataset_2000__3[[#This Row],[Delivery Status]]="Pending","Follow Up","Ok")</f>
        <v>Ok</v>
      </c>
      <c r="R1610" s="1" t="s">
        <v>26</v>
      </c>
      <c r="S1610">
        <f>Excel_Advanced_Sales_Dataset_2000__3[[#This Row],[Quantity]]*Excel_Advanced_Sales_Dataset_2000__3[[#This Row],[Unit Price]]*Excel_Advanced_Sales_Dataset_2000__3[[#This Row],[Discount %]]/100</f>
        <v>51282.25848199999</v>
      </c>
      <c r="T1610" s="4">
        <f>Excel_Advanced_Sales_Dataset_2000__3[[#This Row],[Quantity]]*Excel_Advanced_Sales_Dataset_2000__3[[#This Row],[Unit Price]]-Excel_Advanced_Sales_Dataset_2000__3[[#This Row],[Discount Amount]]</f>
        <v>486831.68151799997</v>
      </c>
    </row>
    <row r="1611" spans="1:20" x14ac:dyDescent="0.25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>
        <v>13</v>
      </c>
      <c r="J1611" s="4">
        <v>20903.259999999998</v>
      </c>
      <c r="K1611" s="6">
        <v>17.920000000000002</v>
      </c>
      <c r="L1611" s="4">
        <v>223046.15</v>
      </c>
      <c r="M1611" s="4" t="str" cm="1">
        <f t="array" ref="M1611">IF(Excel_Advanced_Sales_Dataset_2000__3[[#This Row],[Total Sales]]&gt;50000,{"Yes"},{"No"})</f>
        <v>Yes</v>
      </c>
      <c r="N1611" s="5">
        <v>46335</v>
      </c>
      <c r="O1611" s="1" t="s">
        <v>24</v>
      </c>
      <c r="P1611" t="s">
        <v>35</v>
      </c>
      <c r="Q1611" t="str">
        <f>IF(Excel_Advanced_Sales_Dataset_2000__3[[#This Row],[Delivery Status]]="Pending","Follow Up","Ok")</f>
        <v>Ok</v>
      </c>
      <c r="R1611" s="1" t="s">
        <v>36</v>
      </c>
      <c r="S1611">
        <f>Excel_Advanced_Sales_Dataset_2000__3[[#This Row],[Quantity]]*Excel_Advanced_Sales_Dataset_2000__3[[#This Row],[Unit Price]]*Excel_Advanced_Sales_Dataset_2000__3[[#This Row],[Discount %]]/100</f>
        <v>48696.234496000012</v>
      </c>
      <c r="T1611" s="4">
        <f>Excel_Advanced_Sales_Dataset_2000__3[[#This Row],[Quantity]]*Excel_Advanced_Sales_Dataset_2000__3[[#This Row],[Unit Price]]-Excel_Advanced_Sales_Dataset_2000__3[[#This Row],[Discount Amount]]</f>
        <v>223046.14550399999</v>
      </c>
    </row>
    <row r="1612" spans="1:20" x14ac:dyDescent="0.25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>
        <v>48</v>
      </c>
      <c r="J1612" s="4">
        <v>21219.759999999998</v>
      </c>
      <c r="K1612" s="6">
        <v>8.36</v>
      </c>
      <c r="L1612" s="4">
        <v>933397.83</v>
      </c>
      <c r="M1612" s="4" t="str" cm="1">
        <f t="array" ref="M1612">IF(Excel_Advanced_Sales_Dataset_2000__3[[#This Row],[Total Sales]]&gt;50000,{"Yes"},{"No"})</f>
        <v>Yes</v>
      </c>
      <c r="N1612" s="5">
        <v>46347</v>
      </c>
      <c r="O1612" s="1" t="s">
        <v>58</v>
      </c>
      <c r="P1612" t="s">
        <v>35</v>
      </c>
      <c r="Q1612" t="str">
        <f>IF(Excel_Advanced_Sales_Dataset_2000__3[[#This Row],[Delivery Status]]="Pending","Follow Up","Ok")</f>
        <v>Ok</v>
      </c>
      <c r="R1612" s="1" t="s">
        <v>36</v>
      </c>
      <c r="S1612">
        <f>Excel_Advanced_Sales_Dataset_2000__3[[#This Row],[Quantity]]*Excel_Advanced_Sales_Dataset_2000__3[[#This Row],[Unit Price]]*Excel_Advanced_Sales_Dataset_2000__3[[#This Row],[Discount %]]/100</f>
        <v>85150.652927999996</v>
      </c>
      <c r="T1612" s="4">
        <f>Excel_Advanced_Sales_Dataset_2000__3[[#This Row],[Quantity]]*Excel_Advanced_Sales_Dataset_2000__3[[#This Row],[Unit Price]]-Excel_Advanced_Sales_Dataset_2000__3[[#This Row],[Discount Amount]]</f>
        <v>933397.82707200001</v>
      </c>
    </row>
    <row r="1613" spans="1:20" x14ac:dyDescent="0.25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>
        <v>32</v>
      </c>
      <c r="J1613" s="4">
        <v>20370.34</v>
      </c>
      <c r="K1613" s="6">
        <v>2.25</v>
      </c>
      <c r="L1613" s="4">
        <v>637184.24</v>
      </c>
      <c r="M1613" s="4" t="str" cm="1">
        <f t="array" ref="M1613">IF(Excel_Advanced_Sales_Dataset_2000__3[[#This Row],[Total Sales]]&gt;50000,{"Yes"},{"No"})</f>
        <v>Yes</v>
      </c>
      <c r="N1613" s="5">
        <v>46055</v>
      </c>
      <c r="O1613" s="1" t="s">
        <v>113</v>
      </c>
      <c r="P1613" t="s">
        <v>35</v>
      </c>
      <c r="Q1613" t="str">
        <f>IF(Excel_Advanced_Sales_Dataset_2000__3[[#This Row],[Delivery Status]]="Pending","Follow Up","Ok")</f>
        <v>Ok</v>
      </c>
      <c r="R1613" s="1" t="s">
        <v>26</v>
      </c>
      <c r="S1613">
        <f>Excel_Advanced_Sales_Dataset_2000__3[[#This Row],[Quantity]]*Excel_Advanced_Sales_Dataset_2000__3[[#This Row],[Unit Price]]*Excel_Advanced_Sales_Dataset_2000__3[[#This Row],[Discount %]]/100</f>
        <v>14666.6448</v>
      </c>
      <c r="T1613" s="4">
        <f>Excel_Advanced_Sales_Dataset_2000__3[[#This Row],[Quantity]]*Excel_Advanced_Sales_Dataset_2000__3[[#This Row],[Unit Price]]-Excel_Advanced_Sales_Dataset_2000__3[[#This Row],[Discount Amount]]</f>
        <v>637184.2352</v>
      </c>
    </row>
    <row r="1614" spans="1:20" x14ac:dyDescent="0.25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>
        <v>5</v>
      </c>
      <c r="J1614" s="4">
        <v>41604.71</v>
      </c>
      <c r="K1614" s="6">
        <v>19.62</v>
      </c>
      <c r="L1614" s="4">
        <v>167209.32999999999</v>
      </c>
      <c r="M1614" s="4" t="str" cm="1">
        <f t="array" ref="M1614">IF(Excel_Advanced_Sales_Dataset_2000__3[[#This Row],[Total Sales]]&gt;50000,{"Yes"},{"No"})</f>
        <v>Yes</v>
      </c>
      <c r="N1614" s="5">
        <v>46078</v>
      </c>
      <c r="O1614" s="1" t="s">
        <v>24</v>
      </c>
      <c r="P1614" t="s">
        <v>35</v>
      </c>
      <c r="Q1614" t="str">
        <f>IF(Excel_Advanced_Sales_Dataset_2000__3[[#This Row],[Delivery Status]]="Pending","Follow Up","Ok")</f>
        <v>Ok</v>
      </c>
      <c r="R1614" s="1" t="s">
        <v>53</v>
      </c>
      <c r="S1614">
        <f>Excel_Advanced_Sales_Dataset_2000__3[[#This Row],[Quantity]]*Excel_Advanced_Sales_Dataset_2000__3[[#This Row],[Unit Price]]*Excel_Advanced_Sales_Dataset_2000__3[[#This Row],[Discount %]]/100</f>
        <v>40814.220509999999</v>
      </c>
      <c r="T1614" s="4">
        <f>Excel_Advanced_Sales_Dataset_2000__3[[#This Row],[Quantity]]*Excel_Advanced_Sales_Dataset_2000__3[[#This Row],[Unit Price]]-Excel_Advanced_Sales_Dataset_2000__3[[#This Row],[Discount Amount]]</f>
        <v>167209.32948999997</v>
      </c>
    </row>
    <row r="1615" spans="1:20" x14ac:dyDescent="0.25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>
        <v>22</v>
      </c>
      <c r="J1615" s="4">
        <v>32299.5</v>
      </c>
      <c r="K1615" s="6">
        <v>17.399999999999999</v>
      </c>
      <c r="L1615" s="4">
        <v>586946.51</v>
      </c>
      <c r="M1615" s="4" t="str" cm="1">
        <f t="array" ref="M1615">IF(Excel_Advanced_Sales_Dataset_2000__3[[#This Row],[Total Sales]]&gt;50000,{"Yes"},{"No"})</f>
        <v>Yes</v>
      </c>
      <c r="N1615" s="5">
        <v>46326</v>
      </c>
      <c r="O1615" s="1" t="s">
        <v>45</v>
      </c>
      <c r="P1615" t="s">
        <v>35</v>
      </c>
      <c r="Q1615" t="str">
        <f>IF(Excel_Advanced_Sales_Dataset_2000__3[[#This Row],[Delivery Status]]="Pending","Follow Up","Ok")</f>
        <v>Ok</v>
      </c>
      <c r="R1615" s="1" t="s">
        <v>36</v>
      </c>
      <c r="S1615">
        <f>Excel_Advanced_Sales_Dataset_2000__3[[#This Row],[Quantity]]*Excel_Advanced_Sales_Dataset_2000__3[[#This Row],[Unit Price]]*Excel_Advanced_Sales_Dataset_2000__3[[#This Row],[Discount %]]/100</f>
        <v>123642.48599999999</v>
      </c>
      <c r="T1615" s="4">
        <f>Excel_Advanced_Sales_Dataset_2000__3[[#This Row],[Quantity]]*Excel_Advanced_Sales_Dataset_2000__3[[#This Row],[Unit Price]]-Excel_Advanced_Sales_Dataset_2000__3[[#This Row],[Discount Amount]]</f>
        <v>586946.51399999997</v>
      </c>
    </row>
    <row r="1616" spans="1:20" x14ac:dyDescent="0.25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>
        <v>5</v>
      </c>
      <c r="J1616" s="4">
        <v>5014.6000000000004</v>
      </c>
      <c r="K1616" s="6">
        <v>17.690000000000001</v>
      </c>
      <c r="L1616" s="4">
        <v>20637.59</v>
      </c>
      <c r="M1616" s="4" t="str" cm="1">
        <f t="array" ref="M1616">IF(Excel_Advanced_Sales_Dataset_2000__3[[#This Row],[Total Sales]]&gt;50000,{"Yes"},{"No"})</f>
        <v>No</v>
      </c>
      <c r="N1616" s="5">
        <v>46336</v>
      </c>
      <c r="O1616" s="1" t="s">
        <v>68</v>
      </c>
      <c r="P1616" t="s">
        <v>35</v>
      </c>
      <c r="Q1616" t="str">
        <f>IF(Excel_Advanced_Sales_Dataset_2000__3[[#This Row],[Delivery Status]]="Pending","Follow Up","Ok")</f>
        <v>Ok</v>
      </c>
      <c r="R1616" s="1" t="s">
        <v>53</v>
      </c>
      <c r="S1616">
        <f>Excel_Advanced_Sales_Dataset_2000__3[[#This Row],[Quantity]]*Excel_Advanced_Sales_Dataset_2000__3[[#This Row],[Unit Price]]*Excel_Advanced_Sales_Dataset_2000__3[[#This Row],[Discount %]]/100</f>
        <v>4435.413700000001</v>
      </c>
      <c r="T1616" s="4">
        <f>Excel_Advanced_Sales_Dataset_2000__3[[#This Row],[Quantity]]*Excel_Advanced_Sales_Dataset_2000__3[[#This Row],[Unit Price]]-Excel_Advanced_Sales_Dataset_2000__3[[#This Row],[Discount Amount]]</f>
        <v>20637.586299999999</v>
      </c>
    </row>
    <row r="1617" spans="1:20" x14ac:dyDescent="0.25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>
        <v>9</v>
      </c>
      <c r="J1617" s="4">
        <v>47844.49</v>
      </c>
      <c r="K1617" s="6">
        <v>15.13</v>
      </c>
      <c r="L1617" s="4">
        <v>365450.57</v>
      </c>
      <c r="M1617" s="4" t="str" cm="1">
        <f t="array" ref="M1617">IF(Excel_Advanced_Sales_Dataset_2000__3[[#This Row],[Total Sales]]&gt;50000,{"Yes"},{"No"})</f>
        <v>Yes</v>
      </c>
      <c r="N1617" s="5">
        <v>46144</v>
      </c>
      <c r="O1617" s="1" t="s">
        <v>45</v>
      </c>
      <c r="P1617" t="s">
        <v>35</v>
      </c>
      <c r="Q1617" t="str">
        <f>IF(Excel_Advanced_Sales_Dataset_2000__3[[#This Row],[Delivery Status]]="Pending","Follow Up","Ok")</f>
        <v>Ok</v>
      </c>
      <c r="R1617" s="1" t="s">
        <v>36</v>
      </c>
      <c r="S1617">
        <f>Excel_Advanced_Sales_Dataset_2000__3[[#This Row],[Quantity]]*Excel_Advanced_Sales_Dataset_2000__3[[#This Row],[Unit Price]]*Excel_Advanced_Sales_Dataset_2000__3[[#This Row],[Discount %]]/100</f>
        <v>65149.842033000001</v>
      </c>
      <c r="T1617" s="4">
        <f>Excel_Advanced_Sales_Dataset_2000__3[[#This Row],[Quantity]]*Excel_Advanced_Sales_Dataset_2000__3[[#This Row],[Unit Price]]-Excel_Advanced_Sales_Dataset_2000__3[[#This Row],[Discount Amount]]</f>
        <v>365450.56796699995</v>
      </c>
    </row>
    <row r="1618" spans="1:20" x14ac:dyDescent="0.25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>
        <v>21</v>
      </c>
      <c r="J1618" s="4">
        <v>49344.81</v>
      </c>
      <c r="K1618" s="6">
        <v>7.08</v>
      </c>
      <c r="L1618" s="4">
        <v>962875.15</v>
      </c>
      <c r="M1618" s="4" t="str" cm="1">
        <f t="array" ref="M1618">IF(Excel_Advanced_Sales_Dataset_2000__3[[#This Row],[Total Sales]]&gt;50000,{"Yes"},{"No"})</f>
        <v>Yes</v>
      </c>
      <c r="N1618" s="5">
        <v>46301</v>
      </c>
      <c r="O1618" s="1" t="s">
        <v>58</v>
      </c>
      <c r="P1618" t="s">
        <v>25</v>
      </c>
      <c r="Q1618" t="str">
        <f>IF(Excel_Advanced_Sales_Dataset_2000__3[[#This Row],[Delivery Status]]="Pending","Follow Up","Ok")</f>
        <v>Follow Up</v>
      </c>
      <c r="R1618" s="1" t="s">
        <v>26</v>
      </c>
      <c r="S1618">
        <f>Excel_Advanced_Sales_Dataset_2000__3[[#This Row],[Quantity]]*Excel_Advanced_Sales_Dataset_2000__3[[#This Row],[Unit Price]]*Excel_Advanced_Sales_Dataset_2000__3[[#This Row],[Discount %]]/100</f>
        <v>73365.863507999995</v>
      </c>
      <c r="T1618" s="4">
        <f>Excel_Advanced_Sales_Dataset_2000__3[[#This Row],[Quantity]]*Excel_Advanced_Sales_Dataset_2000__3[[#This Row],[Unit Price]]-Excel_Advanced_Sales_Dataset_2000__3[[#This Row],[Discount Amount]]</f>
        <v>962875.14649199997</v>
      </c>
    </row>
    <row r="1619" spans="1:20" x14ac:dyDescent="0.25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>
        <v>7</v>
      </c>
      <c r="J1619" s="4">
        <v>38569.94</v>
      </c>
      <c r="K1619" s="6">
        <v>11.49</v>
      </c>
      <c r="L1619" s="4">
        <v>238967.78</v>
      </c>
      <c r="M1619" s="4" t="str" cm="1">
        <f t="array" ref="M1619">IF(Excel_Advanced_Sales_Dataset_2000__3[[#This Row],[Total Sales]]&gt;50000,{"Yes"},{"No"})</f>
        <v>Yes</v>
      </c>
      <c r="N1619" s="5">
        <v>46215</v>
      </c>
      <c r="O1619" s="1" t="s">
        <v>45</v>
      </c>
      <c r="P1619" t="s">
        <v>35</v>
      </c>
      <c r="Q1619" t="str">
        <f>IF(Excel_Advanced_Sales_Dataset_2000__3[[#This Row],[Delivery Status]]="Pending","Follow Up","Ok")</f>
        <v>Ok</v>
      </c>
      <c r="R1619" s="1" t="s">
        <v>36</v>
      </c>
      <c r="S1619">
        <f>Excel_Advanced_Sales_Dataset_2000__3[[#This Row],[Quantity]]*Excel_Advanced_Sales_Dataset_2000__3[[#This Row],[Unit Price]]*Excel_Advanced_Sales_Dataset_2000__3[[#This Row],[Discount %]]/100</f>
        <v>31021.802742000003</v>
      </c>
      <c r="T1619" s="4">
        <f>Excel_Advanced_Sales_Dataset_2000__3[[#This Row],[Quantity]]*Excel_Advanced_Sales_Dataset_2000__3[[#This Row],[Unit Price]]-Excel_Advanced_Sales_Dataset_2000__3[[#This Row],[Discount Amount]]</f>
        <v>238967.77725800002</v>
      </c>
    </row>
    <row r="1620" spans="1:20" x14ac:dyDescent="0.25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>
        <v>28</v>
      </c>
      <c r="J1620" s="4">
        <v>4148.16</v>
      </c>
      <c r="K1620" s="6">
        <v>12.3</v>
      </c>
      <c r="L1620" s="4">
        <v>101862.22</v>
      </c>
      <c r="M1620" s="4" t="str" cm="1">
        <f t="array" ref="M1620">IF(Excel_Advanced_Sales_Dataset_2000__3[[#This Row],[Total Sales]]&gt;50000,{"Yes"},{"No"})</f>
        <v>Yes</v>
      </c>
      <c r="N1620" s="5">
        <v>46307</v>
      </c>
      <c r="O1620" s="1" t="s">
        <v>45</v>
      </c>
      <c r="P1620" t="s">
        <v>35</v>
      </c>
      <c r="Q1620" t="str">
        <f>IF(Excel_Advanced_Sales_Dataset_2000__3[[#This Row],[Delivery Status]]="Pending","Follow Up","Ok")</f>
        <v>Ok</v>
      </c>
      <c r="R1620" s="1" t="s">
        <v>53</v>
      </c>
      <c r="S1620">
        <f>Excel_Advanced_Sales_Dataset_2000__3[[#This Row],[Quantity]]*Excel_Advanced_Sales_Dataset_2000__3[[#This Row],[Unit Price]]*Excel_Advanced_Sales_Dataset_2000__3[[#This Row],[Discount %]]/100</f>
        <v>14286.26304</v>
      </c>
      <c r="T1620" s="4">
        <f>Excel_Advanced_Sales_Dataset_2000__3[[#This Row],[Quantity]]*Excel_Advanced_Sales_Dataset_2000__3[[#This Row],[Unit Price]]-Excel_Advanced_Sales_Dataset_2000__3[[#This Row],[Discount Amount]]</f>
        <v>101862.21695999999</v>
      </c>
    </row>
    <row r="1621" spans="1:20" x14ac:dyDescent="0.25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>
        <v>10</v>
      </c>
      <c r="J1621" s="4">
        <v>2714.06</v>
      </c>
      <c r="K1621" s="6">
        <v>1.26</v>
      </c>
      <c r="L1621" s="4">
        <v>26798.63</v>
      </c>
      <c r="M1621" s="4" t="str" cm="1">
        <f t="array" ref="M1621">IF(Excel_Advanced_Sales_Dataset_2000__3[[#This Row],[Total Sales]]&gt;50000,{"Yes"},{"No"})</f>
        <v>No</v>
      </c>
      <c r="N1621" s="5">
        <v>46269</v>
      </c>
      <c r="O1621" s="1" t="s">
        <v>113</v>
      </c>
      <c r="P1621" t="s">
        <v>35</v>
      </c>
      <c r="Q1621" t="str">
        <f>IF(Excel_Advanced_Sales_Dataset_2000__3[[#This Row],[Delivery Status]]="Pending","Follow Up","Ok")</f>
        <v>Ok</v>
      </c>
      <c r="R1621" s="1" t="s">
        <v>53</v>
      </c>
      <c r="S1621">
        <f>Excel_Advanced_Sales_Dataset_2000__3[[#This Row],[Quantity]]*Excel_Advanced_Sales_Dataset_2000__3[[#This Row],[Unit Price]]*Excel_Advanced_Sales_Dataset_2000__3[[#This Row],[Discount %]]/100</f>
        <v>341.97155999999995</v>
      </c>
      <c r="T1621" s="4">
        <f>Excel_Advanced_Sales_Dataset_2000__3[[#This Row],[Quantity]]*Excel_Advanced_Sales_Dataset_2000__3[[#This Row],[Unit Price]]-Excel_Advanced_Sales_Dataset_2000__3[[#This Row],[Discount Amount]]</f>
        <v>26798.62844</v>
      </c>
    </row>
    <row r="1622" spans="1:20" x14ac:dyDescent="0.25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>
        <v>24</v>
      </c>
      <c r="J1622" s="4">
        <v>38689.199999999997</v>
      </c>
      <c r="K1622" s="6">
        <v>18.809999999999999</v>
      </c>
      <c r="L1622" s="4">
        <v>753882.28</v>
      </c>
      <c r="M1622" s="4" t="str" cm="1">
        <f t="array" ref="M1622">IF(Excel_Advanced_Sales_Dataset_2000__3[[#This Row],[Total Sales]]&gt;50000,{"Yes"},{"No"})</f>
        <v>Yes</v>
      </c>
      <c r="N1622" s="5">
        <v>46130</v>
      </c>
      <c r="O1622" s="1" t="s">
        <v>45</v>
      </c>
      <c r="P1622" t="s">
        <v>35</v>
      </c>
      <c r="Q1622" t="str">
        <f>IF(Excel_Advanced_Sales_Dataset_2000__3[[#This Row],[Delivery Status]]="Pending","Follow Up","Ok")</f>
        <v>Ok</v>
      </c>
      <c r="R1622" s="1" t="s">
        <v>36</v>
      </c>
      <c r="S1622">
        <f>Excel_Advanced_Sales_Dataset_2000__3[[#This Row],[Quantity]]*Excel_Advanced_Sales_Dataset_2000__3[[#This Row],[Unit Price]]*Excel_Advanced_Sales_Dataset_2000__3[[#This Row],[Discount %]]/100</f>
        <v>174658.52447999999</v>
      </c>
      <c r="T1622" s="4">
        <f>Excel_Advanced_Sales_Dataset_2000__3[[#This Row],[Quantity]]*Excel_Advanced_Sales_Dataset_2000__3[[#This Row],[Unit Price]]-Excel_Advanced_Sales_Dataset_2000__3[[#This Row],[Discount Amount]]</f>
        <v>753882.27551999991</v>
      </c>
    </row>
    <row r="1623" spans="1:20" x14ac:dyDescent="0.25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>
        <v>26</v>
      </c>
      <c r="J1623" s="4">
        <v>45323.5</v>
      </c>
      <c r="K1623" s="6">
        <v>2.4900000000000002</v>
      </c>
      <c r="L1623" s="4">
        <v>1149068.57</v>
      </c>
      <c r="M1623" s="4" t="str" cm="1">
        <f t="array" ref="M1623">IF(Excel_Advanced_Sales_Dataset_2000__3[[#This Row],[Total Sales]]&gt;50000,{"Yes"},{"No"})</f>
        <v>Yes</v>
      </c>
      <c r="N1623" s="5">
        <v>46039</v>
      </c>
      <c r="O1623" s="1" t="s">
        <v>68</v>
      </c>
      <c r="P1623" t="s">
        <v>35</v>
      </c>
      <c r="Q1623" t="str">
        <f>IF(Excel_Advanced_Sales_Dataset_2000__3[[#This Row],[Delivery Status]]="Pending","Follow Up","Ok")</f>
        <v>Ok</v>
      </c>
      <c r="R1623" s="1" t="s">
        <v>53</v>
      </c>
      <c r="S1623">
        <f>Excel_Advanced_Sales_Dataset_2000__3[[#This Row],[Quantity]]*Excel_Advanced_Sales_Dataset_2000__3[[#This Row],[Unit Price]]*Excel_Advanced_Sales_Dataset_2000__3[[#This Row],[Discount %]]/100</f>
        <v>29342.4339</v>
      </c>
      <c r="T1623" s="4">
        <f>Excel_Advanced_Sales_Dataset_2000__3[[#This Row],[Quantity]]*Excel_Advanced_Sales_Dataset_2000__3[[#This Row],[Unit Price]]-Excel_Advanced_Sales_Dataset_2000__3[[#This Row],[Discount Amount]]</f>
        <v>1149068.5660999999</v>
      </c>
    </row>
    <row r="1624" spans="1:20" x14ac:dyDescent="0.25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>
        <v>12</v>
      </c>
      <c r="J1624" s="4">
        <v>12107.31</v>
      </c>
      <c r="K1624" s="6">
        <v>11</v>
      </c>
      <c r="L1624" s="4">
        <v>129306.07</v>
      </c>
      <c r="M1624" s="4" t="str" cm="1">
        <f t="array" ref="M1624">IF(Excel_Advanced_Sales_Dataset_2000__3[[#This Row],[Total Sales]]&gt;50000,{"Yes"},{"No"})</f>
        <v>Yes</v>
      </c>
      <c r="N1624" s="5">
        <v>46278</v>
      </c>
      <c r="O1624" s="1" t="s">
        <v>68</v>
      </c>
      <c r="P1624" t="s">
        <v>35</v>
      </c>
      <c r="Q1624" t="str">
        <f>IF(Excel_Advanced_Sales_Dataset_2000__3[[#This Row],[Delivery Status]]="Pending","Follow Up","Ok")</f>
        <v>Ok</v>
      </c>
      <c r="R1624" s="1" t="s">
        <v>26</v>
      </c>
      <c r="S1624">
        <f>Excel_Advanced_Sales_Dataset_2000__3[[#This Row],[Quantity]]*Excel_Advanced_Sales_Dataset_2000__3[[#This Row],[Unit Price]]*Excel_Advanced_Sales_Dataset_2000__3[[#This Row],[Discount %]]/100</f>
        <v>15981.6492</v>
      </c>
      <c r="T1624" s="4">
        <f>Excel_Advanced_Sales_Dataset_2000__3[[#This Row],[Quantity]]*Excel_Advanced_Sales_Dataset_2000__3[[#This Row],[Unit Price]]-Excel_Advanced_Sales_Dataset_2000__3[[#This Row],[Discount Amount]]</f>
        <v>129306.0708</v>
      </c>
    </row>
    <row r="1625" spans="1:20" x14ac:dyDescent="0.25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>
        <v>12</v>
      </c>
      <c r="J1625" s="4">
        <v>33271.42</v>
      </c>
      <c r="K1625" s="6">
        <v>12.8</v>
      </c>
      <c r="L1625" s="4">
        <v>348152.14</v>
      </c>
      <c r="M1625" s="4" t="str" cm="1">
        <f t="array" ref="M1625">IF(Excel_Advanced_Sales_Dataset_2000__3[[#This Row],[Total Sales]]&gt;50000,{"Yes"},{"No"})</f>
        <v>Yes</v>
      </c>
      <c r="N1625" s="5">
        <v>46227</v>
      </c>
      <c r="O1625" s="1" t="s">
        <v>45</v>
      </c>
      <c r="P1625" t="s">
        <v>35</v>
      </c>
      <c r="Q1625" t="str">
        <f>IF(Excel_Advanced_Sales_Dataset_2000__3[[#This Row],[Delivery Status]]="Pending","Follow Up","Ok")</f>
        <v>Ok</v>
      </c>
      <c r="R1625" s="1" t="s">
        <v>53</v>
      </c>
      <c r="S1625">
        <f>Excel_Advanced_Sales_Dataset_2000__3[[#This Row],[Quantity]]*Excel_Advanced_Sales_Dataset_2000__3[[#This Row],[Unit Price]]*Excel_Advanced_Sales_Dataset_2000__3[[#This Row],[Discount %]]/100</f>
        <v>51104.901119999995</v>
      </c>
      <c r="T1625" s="4">
        <f>Excel_Advanced_Sales_Dataset_2000__3[[#This Row],[Quantity]]*Excel_Advanced_Sales_Dataset_2000__3[[#This Row],[Unit Price]]-Excel_Advanced_Sales_Dataset_2000__3[[#This Row],[Discount Amount]]</f>
        <v>348152.13887999998</v>
      </c>
    </row>
    <row r="1626" spans="1:20" x14ac:dyDescent="0.25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>
        <v>26</v>
      </c>
      <c r="J1626" s="4">
        <v>40140.089999999997</v>
      </c>
      <c r="K1626" s="6">
        <v>14.24</v>
      </c>
      <c r="L1626" s="4">
        <v>895027.67</v>
      </c>
      <c r="M1626" s="4" t="str" cm="1">
        <f t="array" ref="M1626">IF(Excel_Advanced_Sales_Dataset_2000__3[[#This Row],[Total Sales]]&gt;50000,{"Yes"},{"No"})</f>
        <v>Yes</v>
      </c>
      <c r="N1626" s="5">
        <v>46158</v>
      </c>
      <c r="O1626" s="1" t="s">
        <v>24</v>
      </c>
      <c r="P1626" t="s">
        <v>25</v>
      </c>
      <c r="Q1626" t="str">
        <f>IF(Excel_Advanced_Sales_Dataset_2000__3[[#This Row],[Delivery Status]]="Pending","Follow Up","Ok")</f>
        <v>Follow Up</v>
      </c>
      <c r="R1626" s="1" t="s">
        <v>36</v>
      </c>
      <c r="S1626">
        <f>Excel_Advanced_Sales_Dataset_2000__3[[#This Row],[Quantity]]*Excel_Advanced_Sales_Dataset_2000__3[[#This Row],[Unit Price]]*Excel_Advanced_Sales_Dataset_2000__3[[#This Row],[Discount %]]/100</f>
        <v>148614.66921599998</v>
      </c>
      <c r="T1626" s="4">
        <f>Excel_Advanced_Sales_Dataset_2000__3[[#This Row],[Quantity]]*Excel_Advanced_Sales_Dataset_2000__3[[#This Row],[Unit Price]]-Excel_Advanced_Sales_Dataset_2000__3[[#This Row],[Discount Amount]]</f>
        <v>895027.67078399984</v>
      </c>
    </row>
    <row r="1627" spans="1:20" x14ac:dyDescent="0.25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>
        <v>22</v>
      </c>
      <c r="J1627" s="4">
        <v>45431.27</v>
      </c>
      <c r="K1627" s="6">
        <v>2.96</v>
      </c>
      <c r="L1627" s="4">
        <v>969903.1</v>
      </c>
      <c r="M1627" s="4" t="str" cm="1">
        <f t="array" ref="M1627">IF(Excel_Advanced_Sales_Dataset_2000__3[[#This Row],[Total Sales]]&gt;50000,{"Yes"},{"No"})</f>
        <v>Yes</v>
      </c>
      <c r="N1627" s="5">
        <v>46043</v>
      </c>
      <c r="O1627" s="1" t="s">
        <v>113</v>
      </c>
      <c r="P1627" t="s">
        <v>35</v>
      </c>
      <c r="Q1627" t="str">
        <f>IF(Excel_Advanced_Sales_Dataset_2000__3[[#This Row],[Delivery Status]]="Pending","Follow Up","Ok")</f>
        <v>Ok</v>
      </c>
      <c r="R1627" s="1" t="s">
        <v>53</v>
      </c>
      <c r="S1627">
        <f>Excel_Advanced_Sales_Dataset_2000__3[[#This Row],[Quantity]]*Excel_Advanced_Sales_Dataset_2000__3[[#This Row],[Unit Price]]*Excel_Advanced_Sales_Dataset_2000__3[[#This Row],[Discount %]]/100</f>
        <v>29584.843023999998</v>
      </c>
      <c r="T1627" s="4">
        <f>Excel_Advanced_Sales_Dataset_2000__3[[#This Row],[Quantity]]*Excel_Advanced_Sales_Dataset_2000__3[[#This Row],[Unit Price]]-Excel_Advanced_Sales_Dataset_2000__3[[#This Row],[Discount Amount]]</f>
        <v>969903.096976</v>
      </c>
    </row>
    <row r="1628" spans="1:20" x14ac:dyDescent="0.25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>
        <v>48</v>
      </c>
      <c r="J1628" s="4">
        <v>34829.019999999997</v>
      </c>
      <c r="K1628" s="6">
        <v>4.08</v>
      </c>
      <c r="L1628" s="4">
        <v>1603583.81</v>
      </c>
      <c r="M1628" s="4" t="str" cm="1">
        <f t="array" ref="M1628">IF(Excel_Advanced_Sales_Dataset_2000__3[[#This Row],[Total Sales]]&gt;50000,{"Yes"},{"No"})</f>
        <v>Yes</v>
      </c>
      <c r="N1628" s="5">
        <v>46340</v>
      </c>
      <c r="O1628" s="1" t="s">
        <v>113</v>
      </c>
      <c r="P1628" t="s">
        <v>35</v>
      </c>
      <c r="Q1628" t="str">
        <f>IF(Excel_Advanced_Sales_Dataset_2000__3[[#This Row],[Delivery Status]]="Pending","Follow Up","Ok")</f>
        <v>Ok</v>
      </c>
      <c r="R1628" s="1" t="s">
        <v>53</v>
      </c>
      <c r="S1628">
        <f>Excel_Advanced_Sales_Dataset_2000__3[[#This Row],[Quantity]]*Excel_Advanced_Sales_Dataset_2000__3[[#This Row],[Unit Price]]*Excel_Advanced_Sales_Dataset_2000__3[[#This Row],[Discount %]]/100</f>
        <v>68209.152768</v>
      </c>
      <c r="T1628" s="4">
        <f>Excel_Advanced_Sales_Dataset_2000__3[[#This Row],[Quantity]]*Excel_Advanced_Sales_Dataset_2000__3[[#This Row],[Unit Price]]-Excel_Advanced_Sales_Dataset_2000__3[[#This Row],[Discount Amount]]</f>
        <v>1603583.8072319999</v>
      </c>
    </row>
    <row r="1629" spans="1:20" x14ac:dyDescent="0.25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>
        <v>20</v>
      </c>
      <c r="J1629" s="4">
        <v>3641.94</v>
      </c>
      <c r="K1629" s="6">
        <v>0.19</v>
      </c>
      <c r="L1629" s="4">
        <v>72700.41</v>
      </c>
      <c r="M1629" s="4" t="str" cm="1">
        <f t="array" ref="M1629">IF(Excel_Advanced_Sales_Dataset_2000__3[[#This Row],[Total Sales]]&gt;50000,{"Yes"},{"No"})</f>
        <v>Yes</v>
      </c>
      <c r="N1629" s="5">
        <v>46113</v>
      </c>
      <c r="O1629" s="1" t="s">
        <v>68</v>
      </c>
      <c r="P1629" t="s">
        <v>35</v>
      </c>
      <c r="Q1629" t="str">
        <f>IF(Excel_Advanced_Sales_Dataset_2000__3[[#This Row],[Delivery Status]]="Pending","Follow Up","Ok")</f>
        <v>Ok</v>
      </c>
      <c r="R1629" s="1" t="s">
        <v>26</v>
      </c>
      <c r="S1629">
        <f>Excel_Advanced_Sales_Dataset_2000__3[[#This Row],[Quantity]]*Excel_Advanced_Sales_Dataset_2000__3[[#This Row],[Unit Price]]*Excel_Advanced_Sales_Dataset_2000__3[[#This Row],[Discount %]]/100</f>
        <v>138.39372</v>
      </c>
      <c r="T1629" s="4">
        <f>Excel_Advanced_Sales_Dataset_2000__3[[#This Row],[Quantity]]*Excel_Advanced_Sales_Dataset_2000__3[[#This Row],[Unit Price]]-Excel_Advanced_Sales_Dataset_2000__3[[#This Row],[Discount Amount]]</f>
        <v>72700.40628000001</v>
      </c>
    </row>
    <row r="1630" spans="1:20" x14ac:dyDescent="0.25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>
        <v>48</v>
      </c>
      <c r="J1630" s="4">
        <v>32720.83</v>
      </c>
      <c r="K1630" s="6">
        <v>15.15</v>
      </c>
      <c r="L1630" s="4">
        <v>1332653.96</v>
      </c>
      <c r="M1630" s="4" t="str" cm="1">
        <f t="array" ref="M1630">IF(Excel_Advanced_Sales_Dataset_2000__3[[#This Row],[Total Sales]]&gt;50000,{"Yes"},{"No"})</f>
        <v>Yes</v>
      </c>
      <c r="N1630" s="5">
        <v>46210</v>
      </c>
      <c r="O1630" s="1" t="s">
        <v>58</v>
      </c>
      <c r="P1630" t="s">
        <v>35</v>
      </c>
      <c r="Q1630" t="str">
        <f>IF(Excel_Advanced_Sales_Dataset_2000__3[[#This Row],[Delivery Status]]="Pending","Follow Up","Ok")</f>
        <v>Ok</v>
      </c>
      <c r="R1630" s="1" t="s">
        <v>36</v>
      </c>
      <c r="S1630">
        <f>Excel_Advanced_Sales_Dataset_2000__3[[#This Row],[Quantity]]*Excel_Advanced_Sales_Dataset_2000__3[[#This Row],[Unit Price]]*Excel_Advanced_Sales_Dataset_2000__3[[#This Row],[Discount %]]/100</f>
        <v>237945.87576000002</v>
      </c>
      <c r="T1630" s="4">
        <f>Excel_Advanced_Sales_Dataset_2000__3[[#This Row],[Quantity]]*Excel_Advanced_Sales_Dataset_2000__3[[#This Row],[Unit Price]]-Excel_Advanced_Sales_Dataset_2000__3[[#This Row],[Discount Amount]]</f>
        <v>1332653.9642400001</v>
      </c>
    </row>
    <row r="1631" spans="1:20" x14ac:dyDescent="0.25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>
        <v>34</v>
      </c>
      <c r="J1631" s="4">
        <v>29217.26</v>
      </c>
      <c r="K1631" s="6">
        <v>15.12</v>
      </c>
      <c r="L1631" s="4">
        <v>843186.75</v>
      </c>
      <c r="M1631" s="4" t="str" cm="1">
        <f t="array" ref="M1631">IF(Excel_Advanced_Sales_Dataset_2000__3[[#This Row],[Total Sales]]&gt;50000,{"Yes"},{"No"})</f>
        <v>Yes</v>
      </c>
      <c r="N1631" s="5">
        <v>46163</v>
      </c>
      <c r="O1631" s="1" t="s">
        <v>68</v>
      </c>
      <c r="P1631" t="s">
        <v>35</v>
      </c>
      <c r="Q1631" t="str">
        <f>IF(Excel_Advanced_Sales_Dataset_2000__3[[#This Row],[Delivery Status]]="Pending","Follow Up","Ok")</f>
        <v>Ok</v>
      </c>
      <c r="R1631" s="1" t="s">
        <v>36</v>
      </c>
      <c r="S1631">
        <f>Excel_Advanced_Sales_Dataset_2000__3[[#This Row],[Quantity]]*Excel_Advanced_Sales_Dataset_2000__3[[#This Row],[Unit Price]]*Excel_Advanced_Sales_Dataset_2000__3[[#This Row],[Discount %]]/100</f>
        <v>150200.09020799998</v>
      </c>
      <c r="T1631" s="4">
        <f>Excel_Advanced_Sales_Dataset_2000__3[[#This Row],[Quantity]]*Excel_Advanced_Sales_Dataset_2000__3[[#This Row],[Unit Price]]-Excel_Advanced_Sales_Dataset_2000__3[[#This Row],[Discount Amount]]</f>
        <v>843186.74979200005</v>
      </c>
    </row>
    <row r="1632" spans="1:20" x14ac:dyDescent="0.25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>
        <v>22</v>
      </c>
      <c r="J1632" s="4">
        <v>1688.45</v>
      </c>
      <c r="K1632" s="6">
        <v>7.32</v>
      </c>
      <c r="L1632" s="4">
        <v>34426.82</v>
      </c>
      <c r="M1632" s="4" t="str" cm="1">
        <f t="array" ref="M1632">IF(Excel_Advanced_Sales_Dataset_2000__3[[#This Row],[Total Sales]]&gt;50000,{"Yes"},{"No"})</f>
        <v>No</v>
      </c>
      <c r="N1632" s="5">
        <v>46367</v>
      </c>
      <c r="O1632" s="1" t="s">
        <v>24</v>
      </c>
      <c r="P1632" t="s">
        <v>35</v>
      </c>
      <c r="Q1632" t="str">
        <f>IF(Excel_Advanced_Sales_Dataset_2000__3[[#This Row],[Delivery Status]]="Pending","Follow Up","Ok")</f>
        <v>Ok</v>
      </c>
      <c r="R1632" s="1" t="s">
        <v>26</v>
      </c>
      <c r="S1632">
        <f>Excel_Advanced_Sales_Dataset_2000__3[[#This Row],[Quantity]]*Excel_Advanced_Sales_Dataset_2000__3[[#This Row],[Unit Price]]*Excel_Advanced_Sales_Dataset_2000__3[[#This Row],[Discount %]]/100</f>
        <v>2719.0798800000002</v>
      </c>
      <c r="T1632" s="4">
        <f>Excel_Advanced_Sales_Dataset_2000__3[[#This Row],[Quantity]]*Excel_Advanced_Sales_Dataset_2000__3[[#This Row],[Unit Price]]-Excel_Advanced_Sales_Dataset_2000__3[[#This Row],[Discount Amount]]</f>
        <v>34426.820120000004</v>
      </c>
    </row>
    <row r="1633" spans="1:20" x14ac:dyDescent="0.25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>
        <v>48</v>
      </c>
      <c r="J1633" s="4">
        <v>20740.54</v>
      </c>
      <c r="K1633" s="6">
        <v>0.19</v>
      </c>
      <c r="L1633" s="4">
        <v>993654.38</v>
      </c>
      <c r="M1633" s="4" t="str" cm="1">
        <f t="array" ref="M1633">IF(Excel_Advanced_Sales_Dataset_2000__3[[#This Row],[Total Sales]]&gt;50000,{"Yes"},{"No"})</f>
        <v>Yes</v>
      </c>
      <c r="N1633" s="5">
        <v>46178</v>
      </c>
      <c r="O1633" s="1" t="s">
        <v>68</v>
      </c>
      <c r="P1633" t="s">
        <v>35</v>
      </c>
      <c r="Q1633" t="str">
        <f>IF(Excel_Advanced_Sales_Dataset_2000__3[[#This Row],[Delivery Status]]="Pending","Follow Up","Ok")</f>
        <v>Ok</v>
      </c>
      <c r="R1633" s="1" t="s">
        <v>53</v>
      </c>
      <c r="S1633">
        <f>Excel_Advanced_Sales_Dataset_2000__3[[#This Row],[Quantity]]*Excel_Advanced_Sales_Dataset_2000__3[[#This Row],[Unit Price]]*Excel_Advanced_Sales_Dataset_2000__3[[#This Row],[Discount %]]/100</f>
        <v>1891.5372479999999</v>
      </c>
      <c r="T1633" s="4">
        <f>Excel_Advanced_Sales_Dataset_2000__3[[#This Row],[Quantity]]*Excel_Advanced_Sales_Dataset_2000__3[[#This Row],[Unit Price]]-Excel_Advanced_Sales_Dataset_2000__3[[#This Row],[Discount Amount]]</f>
        <v>993654.382752</v>
      </c>
    </row>
    <row r="1634" spans="1:20" x14ac:dyDescent="0.25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>
        <v>36</v>
      </c>
      <c r="J1634" s="4">
        <v>38128.18</v>
      </c>
      <c r="K1634" s="6">
        <v>11.6</v>
      </c>
      <c r="L1634" s="4">
        <v>1213391.2</v>
      </c>
      <c r="M1634" s="4" t="str" cm="1">
        <f t="array" ref="M1634">IF(Excel_Advanced_Sales_Dataset_2000__3[[#This Row],[Total Sales]]&gt;50000,{"Yes"},{"No"})</f>
        <v>Yes</v>
      </c>
      <c r="N1634" s="5">
        <v>46048</v>
      </c>
      <c r="O1634" s="1" t="s">
        <v>113</v>
      </c>
      <c r="P1634" t="s">
        <v>35</v>
      </c>
      <c r="Q1634" t="str">
        <f>IF(Excel_Advanced_Sales_Dataset_2000__3[[#This Row],[Delivery Status]]="Pending","Follow Up","Ok")</f>
        <v>Ok</v>
      </c>
      <c r="R1634" s="1" t="s">
        <v>53</v>
      </c>
      <c r="S1634">
        <f>Excel_Advanced_Sales_Dataset_2000__3[[#This Row],[Quantity]]*Excel_Advanced_Sales_Dataset_2000__3[[#This Row],[Unit Price]]*Excel_Advanced_Sales_Dataset_2000__3[[#This Row],[Discount %]]/100</f>
        <v>159223.27967999998</v>
      </c>
      <c r="T1634" s="4">
        <f>Excel_Advanced_Sales_Dataset_2000__3[[#This Row],[Quantity]]*Excel_Advanced_Sales_Dataset_2000__3[[#This Row],[Unit Price]]-Excel_Advanced_Sales_Dataset_2000__3[[#This Row],[Discount Amount]]</f>
        <v>1213391.2003200001</v>
      </c>
    </row>
    <row r="1635" spans="1:20" x14ac:dyDescent="0.25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>
        <v>10</v>
      </c>
      <c r="J1635" s="4">
        <v>13751.57</v>
      </c>
      <c r="K1635" s="6">
        <v>10.64</v>
      </c>
      <c r="L1635" s="4">
        <v>122884.03</v>
      </c>
      <c r="M1635" s="4" t="str" cm="1">
        <f t="array" ref="M1635">IF(Excel_Advanced_Sales_Dataset_2000__3[[#This Row],[Total Sales]]&gt;50000,{"Yes"},{"No"})</f>
        <v>Yes</v>
      </c>
      <c r="N1635" s="5">
        <v>46337</v>
      </c>
      <c r="O1635" s="1" t="s">
        <v>68</v>
      </c>
      <c r="P1635" t="s">
        <v>35</v>
      </c>
      <c r="Q1635" t="str">
        <f>IF(Excel_Advanced_Sales_Dataset_2000__3[[#This Row],[Delivery Status]]="Pending","Follow Up","Ok")</f>
        <v>Ok</v>
      </c>
      <c r="R1635" s="1" t="s">
        <v>26</v>
      </c>
      <c r="S1635">
        <f>Excel_Advanced_Sales_Dataset_2000__3[[#This Row],[Quantity]]*Excel_Advanced_Sales_Dataset_2000__3[[#This Row],[Unit Price]]*Excel_Advanced_Sales_Dataset_2000__3[[#This Row],[Discount %]]/100</f>
        <v>14631.670480000002</v>
      </c>
      <c r="T1635" s="4">
        <f>Excel_Advanced_Sales_Dataset_2000__3[[#This Row],[Quantity]]*Excel_Advanced_Sales_Dataset_2000__3[[#This Row],[Unit Price]]-Excel_Advanced_Sales_Dataset_2000__3[[#This Row],[Discount Amount]]</f>
        <v>122884.02952000001</v>
      </c>
    </row>
    <row r="1636" spans="1:20" x14ac:dyDescent="0.25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>
        <v>44</v>
      </c>
      <c r="J1636" s="4">
        <v>42743.18</v>
      </c>
      <c r="K1636" s="6">
        <v>19.04</v>
      </c>
      <c r="L1636" s="4">
        <v>1522614.66</v>
      </c>
      <c r="M1636" s="4" t="str" cm="1">
        <f t="array" ref="M1636">IF(Excel_Advanced_Sales_Dataset_2000__3[[#This Row],[Total Sales]]&gt;50000,{"Yes"},{"No"})</f>
        <v>Yes</v>
      </c>
      <c r="N1636" s="5">
        <v>46337</v>
      </c>
      <c r="O1636" s="1" t="s">
        <v>113</v>
      </c>
      <c r="P1636" t="s">
        <v>35</v>
      </c>
      <c r="Q1636" t="str">
        <f>IF(Excel_Advanced_Sales_Dataset_2000__3[[#This Row],[Delivery Status]]="Pending","Follow Up","Ok")</f>
        <v>Ok</v>
      </c>
      <c r="R1636" s="1" t="s">
        <v>53</v>
      </c>
      <c r="S1636">
        <f>Excel_Advanced_Sales_Dataset_2000__3[[#This Row],[Quantity]]*Excel_Advanced_Sales_Dataset_2000__3[[#This Row],[Unit Price]]*Excel_Advanced_Sales_Dataset_2000__3[[#This Row],[Discount %]]/100</f>
        <v>358085.26476799994</v>
      </c>
      <c r="T1636" s="4">
        <f>Excel_Advanced_Sales_Dataset_2000__3[[#This Row],[Quantity]]*Excel_Advanced_Sales_Dataset_2000__3[[#This Row],[Unit Price]]-Excel_Advanced_Sales_Dataset_2000__3[[#This Row],[Discount Amount]]</f>
        <v>1522614.6552319999</v>
      </c>
    </row>
    <row r="1637" spans="1:20" x14ac:dyDescent="0.25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>
        <v>12</v>
      </c>
      <c r="J1637" s="4">
        <v>37662.61</v>
      </c>
      <c r="K1637" s="6">
        <v>8.5399999999999991</v>
      </c>
      <c r="L1637" s="4">
        <v>413354.68</v>
      </c>
      <c r="M1637" s="4" t="str" cm="1">
        <f t="array" ref="M1637">IF(Excel_Advanced_Sales_Dataset_2000__3[[#This Row],[Total Sales]]&gt;50000,{"Yes"},{"No"})</f>
        <v>Yes</v>
      </c>
      <c r="N1637" s="5">
        <v>46210</v>
      </c>
      <c r="O1637" s="1" t="s">
        <v>113</v>
      </c>
      <c r="P1637" t="s">
        <v>35</v>
      </c>
      <c r="Q1637" t="str">
        <f>IF(Excel_Advanced_Sales_Dataset_2000__3[[#This Row],[Delivery Status]]="Pending","Follow Up","Ok")</f>
        <v>Ok</v>
      </c>
      <c r="R1637" s="1" t="s">
        <v>53</v>
      </c>
      <c r="S1637">
        <f>Excel_Advanced_Sales_Dataset_2000__3[[#This Row],[Quantity]]*Excel_Advanced_Sales_Dataset_2000__3[[#This Row],[Unit Price]]*Excel_Advanced_Sales_Dataset_2000__3[[#This Row],[Discount %]]/100</f>
        <v>38596.642727999992</v>
      </c>
      <c r="T1637" s="4">
        <f>Excel_Advanced_Sales_Dataset_2000__3[[#This Row],[Quantity]]*Excel_Advanced_Sales_Dataset_2000__3[[#This Row],[Unit Price]]-Excel_Advanced_Sales_Dataset_2000__3[[#This Row],[Discount Amount]]</f>
        <v>413354.677272</v>
      </c>
    </row>
    <row r="1638" spans="1:20" x14ac:dyDescent="0.25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>
        <v>1</v>
      </c>
      <c r="J1638" s="4">
        <v>11052.75</v>
      </c>
      <c r="K1638" s="6">
        <v>0.85</v>
      </c>
      <c r="L1638" s="4">
        <v>10958.8</v>
      </c>
      <c r="M1638" s="4" t="str" cm="1">
        <f t="array" ref="M1638">IF(Excel_Advanced_Sales_Dataset_2000__3[[#This Row],[Total Sales]]&gt;50000,{"Yes"},{"No"})</f>
        <v>No</v>
      </c>
      <c r="N1638" s="5">
        <v>46165</v>
      </c>
      <c r="O1638" s="1" t="s">
        <v>58</v>
      </c>
      <c r="P1638" t="s">
        <v>25</v>
      </c>
      <c r="Q1638" t="str">
        <f>IF(Excel_Advanced_Sales_Dataset_2000__3[[#This Row],[Delivery Status]]="Pending","Follow Up","Ok")</f>
        <v>Follow Up</v>
      </c>
      <c r="R1638" s="1" t="s">
        <v>36</v>
      </c>
      <c r="S1638">
        <f>Excel_Advanced_Sales_Dataset_2000__3[[#This Row],[Quantity]]*Excel_Advanced_Sales_Dataset_2000__3[[#This Row],[Unit Price]]*Excel_Advanced_Sales_Dataset_2000__3[[#This Row],[Discount %]]/100</f>
        <v>93.948374999999999</v>
      </c>
      <c r="T1638" s="4">
        <f>Excel_Advanced_Sales_Dataset_2000__3[[#This Row],[Quantity]]*Excel_Advanced_Sales_Dataset_2000__3[[#This Row],[Unit Price]]-Excel_Advanced_Sales_Dataset_2000__3[[#This Row],[Discount Amount]]</f>
        <v>10958.801625</v>
      </c>
    </row>
    <row r="1639" spans="1:20" x14ac:dyDescent="0.25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>
        <v>30</v>
      </c>
      <c r="J1639" s="4">
        <v>46016.4</v>
      </c>
      <c r="K1639" s="6">
        <v>15.03</v>
      </c>
      <c r="L1639" s="4">
        <v>1173004.05</v>
      </c>
      <c r="M1639" s="4" t="str" cm="1">
        <f t="array" ref="M1639">IF(Excel_Advanced_Sales_Dataset_2000__3[[#This Row],[Total Sales]]&gt;50000,{"Yes"},{"No"})</f>
        <v>Yes</v>
      </c>
      <c r="N1639" s="5">
        <v>46093</v>
      </c>
      <c r="O1639" s="1" t="s">
        <v>58</v>
      </c>
      <c r="P1639" t="s">
        <v>59</v>
      </c>
      <c r="Q1639" t="str">
        <f>IF(Excel_Advanced_Sales_Dataset_2000__3[[#This Row],[Delivery Status]]="Pending","Follow Up","Ok")</f>
        <v>Ok</v>
      </c>
      <c r="R1639" s="1" t="s">
        <v>26</v>
      </c>
      <c r="S1639">
        <f>Excel_Advanced_Sales_Dataset_2000__3[[#This Row],[Quantity]]*Excel_Advanced_Sales_Dataset_2000__3[[#This Row],[Unit Price]]*Excel_Advanced_Sales_Dataset_2000__3[[#This Row],[Discount %]]/100</f>
        <v>207487.94759999998</v>
      </c>
      <c r="T1639" s="4">
        <f>Excel_Advanced_Sales_Dataset_2000__3[[#This Row],[Quantity]]*Excel_Advanced_Sales_Dataset_2000__3[[#This Row],[Unit Price]]-Excel_Advanced_Sales_Dataset_2000__3[[#This Row],[Discount Amount]]</f>
        <v>1173004.0523999999</v>
      </c>
    </row>
    <row r="1640" spans="1:20" x14ac:dyDescent="0.25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>
        <v>44</v>
      </c>
      <c r="J1640" s="4">
        <v>32658.77</v>
      </c>
      <c r="K1640" s="6">
        <v>17.920000000000002</v>
      </c>
      <c r="L1640" s="4">
        <v>1179478.01</v>
      </c>
      <c r="M1640" s="4" t="str" cm="1">
        <f t="array" ref="M1640">IF(Excel_Advanced_Sales_Dataset_2000__3[[#This Row],[Total Sales]]&gt;50000,{"Yes"},{"No"})</f>
        <v>Yes</v>
      </c>
      <c r="N1640" s="5">
        <v>46135</v>
      </c>
      <c r="O1640" s="1" t="s">
        <v>58</v>
      </c>
      <c r="P1640" t="s">
        <v>25</v>
      </c>
      <c r="Q1640" t="str">
        <f>IF(Excel_Advanced_Sales_Dataset_2000__3[[#This Row],[Delivery Status]]="Pending","Follow Up","Ok")</f>
        <v>Follow Up</v>
      </c>
      <c r="R1640" s="1" t="s">
        <v>53</v>
      </c>
      <c r="S1640">
        <f>Excel_Advanced_Sales_Dataset_2000__3[[#This Row],[Quantity]]*Excel_Advanced_Sales_Dataset_2000__3[[#This Row],[Unit Price]]*Excel_Advanced_Sales_Dataset_2000__3[[#This Row],[Discount %]]/100</f>
        <v>257507.86969600004</v>
      </c>
      <c r="T1640" s="4">
        <f>Excel_Advanced_Sales_Dataset_2000__3[[#This Row],[Quantity]]*Excel_Advanced_Sales_Dataset_2000__3[[#This Row],[Unit Price]]-Excel_Advanced_Sales_Dataset_2000__3[[#This Row],[Discount Amount]]</f>
        <v>1179478.010304</v>
      </c>
    </row>
    <row r="1641" spans="1:20" x14ac:dyDescent="0.25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>
        <v>25</v>
      </c>
      <c r="J1641" s="4">
        <v>21576.21</v>
      </c>
      <c r="K1641" s="6">
        <v>4.87</v>
      </c>
      <c r="L1641" s="4">
        <v>513136.21</v>
      </c>
      <c r="M1641" s="4" t="str" cm="1">
        <f t="array" ref="M1641">IF(Excel_Advanced_Sales_Dataset_2000__3[[#This Row],[Total Sales]]&gt;50000,{"Yes"},{"No"})</f>
        <v>Yes</v>
      </c>
      <c r="N1641" s="5">
        <v>46289</v>
      </c>
      <c r="O1641" s="1" t="s">
        <v>45</v>
      </c>
      <c r="P1641" t="s">
        <v>35</v>
      </c>
      <c r="Q1641" t="str">
        <f>IF(Excel_Advanced_Sales_Dataset_2000__3[[#This Row],[Delivery Status]]="Pending","Follow Up","Ok")</f>
        <v>Ok</v>
      </c>
      <c r="R1641" s="1" t="s">
        <v>53</v>
      </c>
      <c r="S1641">
        <f>Excel_Advanced_Sales_Dataset_2000__3[[#This Row],[Quantity]]*Excel_Advanced_Sales_Dataset_2000__3[[#This Row],[Unit Price]]*Excel_Advanced_Sales_Dataset_2000__3[[#This Row],[Discount %]]/100</f>
        <v>26269.035674999999</v>
      </c>
      <c r="T1641" s="4">
        <f>Excel_Advanced_Sales_Dataset_2000__3[[#This Row],[Quantity]]*Excel_Advanced_Sales_Dataset_2000__3[[#This Row],[Unit Price]]-Excel_Advanced_Sales_Dataset_2000__3[[#This Row],[Discount Amount]]</f>
        <v>513136.21432500001</v>
      </c>
    </row>
    <row r="1642" spans="1:20" x14ac:dyDescent="0.25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>
        <v>17</v>
      </c>
      <c r="J1642" s="4">
        <v>15402.99</v>
      </c>
      <c r="K1642" s="6">
        <v>8.32</v>
      </c>
      <c r="L1642" s="4">
        <v>240064.84</v>
      </c>
      <c r="M1642" s="4" t="str" cm="1">
        <f t="array" ref="M1642">IF(Excel_Advanced_Sales_Dataset_2000__3[[#This Row],[Total Sales]]&gt;50000,{"Yes"},{"No"})</f>
        <v>Yes</v>
      </c>
      <c r="N1642" s="5">
        <v>46246</v>
      </c>
      <c r="O1642" s="1" t="s">
        <v>68</v>
      </c>
      <c r="P1642" t="s">
        <v>35</v>
      </c>
      <c r="Q1642" t="str">
        <f>IF(Excel_Advanced_Sales_Dataset_2000__3[[#This Row],[Delivery Status]]="Pending","Follow Up","Ok")</f>
        <v>Ok</v>
      </c>
      <c r="R1642" s="1" t="s">
        <v>36</v>
      </c>
      <c r="S1642">
        <f>Excel_Advanced_Sales_Dataset_2000__3[[#This Row],[Quantity]]*Excel_Advanced_Sales_Dataset_2000__3[[#This Row],[Unit Price]]*Excel_Advanced_Sales_Dataset_2000__3[[#This Row],[Discount %]]/100</f>
        <v>21785.989056000002</v>
      </c>
      <c r="T1642" s="4">
        <f>Excel_Advanced_Sales_Dataset_2000__3[[#This Row],[Quantity]]*Excel_Advanced_Sales_Dataset_2000__3[[#This Row],[Unit Price]]-Excel_Advanced_Sales_Dataset_2000__3[[#This Row],[Discount Amount]]</f>
        <v>240064.840944</v>
      </c>
    </row>
    <row r="1643" spans="1:20" x14ac:dyDescent="0.25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>
        <v>10</v>
      </c>
      <c r="J1643" s="4">
        <v>47452.7</v>
      </c>
      <c r="K1643" s="6">
        <v>16.170000000000002</v>
      </c>
      <c r="L1643" s="4">
        <v>397795.98</v>
      </c>
      <c r="M1643" s="4" t="str" cm="1">
        <f t="array" ref="M1643">IF(Excel_Advanced_Sales_Dataset_2000__3[[#This Row],[Total Sales]]&gt;50000,{"Yes"},{"No"})</f>
        <v>Yes</v>
      </c>
      <c r="N1643" s="5">
        <v>46068</v>
      </c>
      <c r="O1643" s="1" t="s">
        <v>113</v>
      </c>
      <c r="P1643" t="s">
        <v>59</v>
      </c>
      <c r="Q1643" t="str">
        <f>IF(Excel_Advanced_Sales_Dataset_2000__3[[#This Row],[Delivery Status]]="Pending","Follow Up","Ok")</f>
        <v>Ok</v>
      </c>
      <c r="R1643" s="1" t="s">
        <v>26</v>
      </c>
      <c r="S1643">
        <f>Excel_Advanced_Sales_Dataset_2000__3[[#This Row],[Quantity]]*Excel_Advanced_Sales_Dataset_2000__3[[#This Row],[Unit Price]]*Excel_Advanced_Sales_Dataset_2000__3[[#This Row],[Discount %]]/100</f>
        <v>76731.015900000013</v>
      </c>
      <c r="T1643" s="4">
        <f>Excel_Advanced_Sales_Dataset_2000__3[[#This Row],[Quantity]]*Excel_Advanced_Sales_Dataset_2000__3[[#This Row],[Unit Price]]-Excel_Advanced_Sales_Dataset_2000__3[[#This Row],[Discount Amount]]</f>
        <v>397795.9841</v>
      </c>
    </row>
    <row r="1644" spans="1:20" x14ac:dyDescent="0.25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>
        <v>39</v>
      </c>
      <c r="J1644" s="4">
        <v>14581.44</v>
      </c>
      <c r="K1644" s="6">
        <v>10.54</v>
      </c>
      <c r="L1644" s="4">
        <v>508737.69</v>
      </c>
      <c r="M1644" s="4" t="str" cm="1">
        <f t="array" ref="M1644">IF(Excel_Advanced_Sales_Dataset_2000__3[[#This Row],[Total Sales]]&gt;50000,{"Yes"},{"No"})</f>
        <v>Yes</v>
      </c>
      <c r="N1644" s="5">
        <v>46139</v>
      </c>
      <c r="O1644" s="1" t="s">
        <v>45</v>
      </c>
      <c r="P1644" t="s">
        <v>35</v>
      </c>
      <c r="Q1644" t="str">
        <f>IF(Excel_Advanced_Sales_Dataset_2000__3[[#This Row],[Delivery Status]]="Pending","Follow Up","Ok")</f>
        <v>Ok</v>
      </c>
      <c r="R1644" s="1" t="s">
        <v>26</v>
      </c>
      <c r="S1644">
        <f>Excel_Advanced_Sales_Dataset_2000__3[[#This Row],[Quantity]]*Excel_Advanced_Sales_Dataset_2000__3[[#This Row],[Unit Price]]*Excel_Advanced_Sales_Dataset_2000__3[[#This Row],[Discount %]]/100</f>
        <v>59938.467263999999</v>
      </c>
      <c r="T1644" s="4">
        <f>Excel_Advanced_Sales_Dataset_2000__3[[#This Row],[Quantity]]*Excel_Advanced_Sales_Dataset_2000__3[[#This Row],[Unit Price]]-Excel_Advanced_Sales_Dataset_2000__3[[#This Row],[Discount Amount]]</f>
        <v>508737.69273600006</v>
      </c>
    </row>
    <row r="1645" spans="1:20" x14ac:dyDescent="0.25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>
        <v>5</v>
      </c>
      <c r="J1645" s="4">
        <v>47175.85</v>
      </c>
      <c r="K1645" s="6">
        <v>1.51</v>
      </c>
      <c r="L1645" s="4">
        <v>232317.47</v>
      </c>
      <c r="M1645" s="4" t="str" cm="1">
        <f t="array" ref="M1645">IF(Excel_Advanced_Sales_Dataset_2000__3[[#This Row],[Total Sales]]&gt;50000,{"Yes"},{"No"})</f>
        <v>Yes</v>
      </c>
      <c r="N1645" s="5">
        <v>46106</v>
      </c>
      <c r="O1645" s="1" t="s">
        <v>68</v>
      </c>
      <c r="P1645" t="s">
        <v>35</v>
      </c>
      <c r="Q1645" t="str">
        <f>IF(Excel_Advanced_Sales_Dataset_2000__3[[#This Row],[Delivery Status]]="Pending","Follow Up","Ok")</f>
        <v>Ok</v>
      </c>
      <c r="R1645" s="1" t="s">
        <v>36</v>
      </c>
      <c r="S1645">
        <f>Excel_Advanced_Sales_Dataset_2000__3[[#This Row],[Quantity]]*Excel_Advanced_Sales_Dataset_2000__3[[#This Row],[Unit Price]]*Excel_Advanced_Sales_Dataset_2000__3[[#This Row],[Discount %]]/100</f>
        <v>3561.7766749999996</v>
      </c>
      <c r="T1645" s="4">
        <f>Excel_Advanced_Sales_Dataset_2000__3[[#This Row],[Quantity]]*Excel_Advanced_Sales_Dataset_2000__3[[#This Row],[Unit Price]]-Excel_Advanced_Sales_Dataset_2000__3[[#This Row],[Discount Amount]]</f>
        <v>232317.473325</v>
      </c>
    </row>
    <row r="1646" spans="1:20" x14ac:dyDescent="0.25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>
        <v>50</v>
      </c>
      <c r="J1646" s="4">
        <v>35465.33</v>
      </c>
      <c r="K1646" s="6">
        <v>3.55</v>
      </c>
      <c r="L1646" s="4">
        <v>1710315.54</v>
      </c>
      <c r="M1646" s="4" t="str" cm="1">
        <f t="array" ref="M1646">IF(Excel_Advanced_Sales_Dataset_2000__3[[#This Row],[Total Sales]]&gt;50000,{"Yes"},{"No"})</f>
        <v>Yes</v>
      </c>
      <c r="N1646" s="5">
        <v>46112</v>
      </c>
      <c r="O1646" s="1" t="s">
        <v>58</v>
      </c>
      <c r="P1646" t="s">
        <v>35</v>
      </c>
      <c r="Q1646" t="str">
        <f>IF(Excel_Advanced_Sales_Dataset_2000__3[[#This Row],[Delivery Status]]="Pending","Follow Up","Ok")</f>
        <v>Ok</v>
      </c>
      <c r="R1646" s="1" t="s">
        <v>53</v>
      </c>
      <c r="S1646">
        <f>Excel_Advanced_Sales_Dataset_2000__3[[#This Row],[Quantity]]*Excel_Advanced_Sales_Dataset_2000__3[[#This Row],[Unit Price]]*Excel_Advanced_Sales_Dataset_2000__3[[#This Row],[Discount %]]/100</f>
        <v>62950.960749999991</v>
      </c>
      <c r="T1646" s="4">
        <f>Excel_Advanced_Sales_Dataset_2000__3[[#This Row],[Quantity]]*Excel_Advanced_Sales_Dataset_2000__3[[#This Row],[Unit Price]]-Excel_Advanced_Sales_Dataset_2000__3[[#This Row],[Discount Amount]]</f>
        <v>1710315.5392499999</v>
      </c>
    </row>
    <row r="1647" spans="1:20" x14ac:dyDescent="0.25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>
        <v>35</v>
      </c>
      <c r="J1647" s="4">
        <v>33477.43</v>
      </c>
      <c r="K1647" s="6">
        <v>14.56</v>
      </c>
      <c r="L1647" s="4">
        <v>1001109.07</v>
      </c>
      <c r="M1647" s="4" t="str" cm="1">
        <f t="array" ref="M1647">IF(Excel_Advanced_Sales_Dataset_2000__3[[#This Row],[Total Sales]]&gt;50000,{"Yes"},{"No"})</f>
        <v>Yes</v>
      </c>
      <c r="N1647" s="5">
        <v>46267</v>
      </c>
      <c r="O1647" s="1" t="s">
        <v>68</v>
      </c>
      <c r="P1647" t="s">
        <v>35</v>
      </c>
      <c r="Q1647" t="str">
        <f>IF(Excel_Advanced_Sales_Dataset_2000__3[[#This Row],[Delivery Status]]="Pending","Follow Up","Ok")</f>
        <v>Ok</v>
      </c>
      <c r="R1647" s="1" t="s">
        <v>26</v>
      </c>
      <c r="S1647">
        <f>Excel_Advanced_Sales_Dataset_2000__3[[#This Row],[Quantity]]*Excel_Advanced_Sales_Dataset_2000__3[[#This Row],[Unit Price]]*Excel_Advanced_Sales_Dataset_2000__3[[#This Row],[Discount %]]/100</f>
        <v>170600.98328000001</v>
      </c>
      <c r="T1647" s="4">
        <f>Excel_Advanced_Sales_Dataset_2000__3[[#This Row],[Quantity]]*Excel_Advanced_Sales_Dataset_2000__3[[#This Row],[Unit Price]]-Excel_Advanced_Sales_Dataset_2000__3[[#This Row],[Discount Amount]]</f>
        <v>1001109.06672</v>
      </c>
    </row>
    <row r="1648" spans="1:20" x14ac:dyDescent="0.25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>
        <v>17</v>
      </c>
      <c r="J1648" s="4">
        <v>12007.01</v>
      </c>
      <c r="K1648" s="6">
        <v>10.29</v>
      </c>
      <c r="L1648" s="4">
        <v>183115.31</v>
      </c>
      <c r="M1648" s="4" t="str" cm="1">
        <f t="array" ref="M1648">IF(Excel_Advanced_Sales_Dataset_2000__3[[#This Row],[Total Sales]]&gt;50000,{"Yes"},{"No"})</f>
        <v>Yes</v>
      </c>
      <c r="N1648" s="5">
        <v>46282</v>
      </c>
      <c r="O1648" s="1" t="s">
        <v>58</v>
      </c>
      <c r="P1648" t="s">
        <v>35</v>
      </c>
      <c r="Q1648" t="str">
        <f>IF(Excel_Advanced_Sales_Dataset_2000__3[[#This Row],[Delivery Status]]="Pending","Follow Up","Ok")</f>
        <v>Ok</v>
      </c>
      <c r="R1648" s="1" t="s">
        <v>26</v>
      </c>
      <c r="S1648">
        <f>Excel_Advanced_Sales_Dataset_2000__3[[#This Row],[Quantity]]*Excel_Advanced_Sales_Dataset_2000__3[[#This Row],[Unit Price]]*Excel_Advanced_Sales_Dataset_2000__3[[#This Row],[Discount %]]/100</f>
        <v>21003.862593000002</v>
      </c>
      <c r="T1648" s="4">
        <f>Excel_Advanced_Sales_Dataset_2000__3[[#This Row],[Quantity]]*Excel_Advanced_Sales_Dataset_2000__3[[#This Row],[Unit Price]]-Excel_Advanced_Sales_Dataset_2000__3[[#This Row],[Discount Amount]]</f>
        <v>183115.30740700001</v>
      </c>
    </row>
    <row r="1649" spans="1:20" x14ac:dyDescent="0.25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>
        <v>17</v>
      </c>
      <c r="J1649" s="4">
        <v>28500.27</v>
      </c>
      <c r="K1649" s="6">
        <v>1.1000000000000001</v>
      </c>
      <c r="L1649" s="4">
        <v>479175.04</v>
      </c>
      <c r="M1649" s="4" t="str" cm="1">
        <f t="array" ref="M1649">IF(Excel_Advanced_Sales_Dataset_2000__3[[#This Row],[Total Sales]]&gt;50000,{"Yes"},{"No"})</f>
        <v>Yes</v>
      </c>
      <c r="N1649" s="5">
        <v>46297</v>
      </c>
      <c r="O1649" s="1" t="s">
        <v>45</v>
      </c>
      <c r="P1649" t="s">
        <v>35</v>
      </c>
      <c r="Q1649" t="str">
        <f>IF(Excel_Advanced_Sales_Dataset_2000__3[[#This Row],[Delivery Status]]="Pending","Follow Up","Ok")</f>
        <v>Ok</v>
      </c>
      <c r="R1649" s="1" t="s">
        <v>26</v>
      </c>
      <c r="S1649">
        <f>Excel_Advanced_Sales_Dataset_2000__3[[#This Row],[Quantity]]*Excel_Advanced_Sales_Dataset_2000__3[[#This Row],[Unit Price]]*Excel_Advanced_Sales_Dataset_2000__3[[#This Row],[Discount %]]/100</f>
        <v>5329.5504900000014</v>
      </c>
      <c r="T1649" s="4">
        <f>Excel_Advanced_Sales_Dataset_2000__3[[#This Row],[Quantity]]*Excel_Advanced_Sales_Dataset_2000__3[[#This Row],[Unit Price]]-Excel_Advanced_Sales_Dataset_2000__3[[#This Row],[Discount Amount]]</f>
        <v>479175.03951000003</v>
      </c>
    </row>
    <row r="1650" spans="1:20" x14ac:dyDescent="0.25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>
        <v>15</v>
      </c>
      <c r="J1650" s="4">
        <v>20067.72</v>
      </c>
      <c r="K1650" s="6">
        <v>12.67</v>
      </c>
      <c r="L1650" s="4">
        <v>262877.09999999998</v>
      </c>
      <c r="M1650" s="4" t="str" cm="1">
        <f t="array" ref="M1650">IF(Excel_Advanced_Sales_Dataset_2000__3[[#This Row],[Total Sales]]&gt;50000,{"Yes"},{"No"})</f>
        <v>Yes</v>
      </c>
      <c r="N1650" s="5">
        <v>46122</v>
      </c>
      <c r="O1650" s="1" t="s">
        <v>58</v>
      </c>
      <c r="P1650" t="s">
        <v>35</v>
      </c>
      <c r="Q1650" t="str">
        <f>IF(Excel_Advanced_Sales_Dataset_2000__3[[#This Row],[Delivery Status]]="Pending","Follow Up","Ok")</f>
        <v>Ok</v>
      </c>
      <c r="R1650" s="1" t="s">
        <v>36</v>
      </c>
      <c r="S1650">
        <f>Excel_Advanced_Sales_Dataset_2000__3[[#This Row],[Quantity]]*Excel_Advanced_Sales_Dataset_2000__3[[#This Row],[Unit Price]]*Excel_Advanced_Sales_Dataset_2000__3[[#This Row],[Discount %]]/100</f>
        <v>38138.701860000008</v>
      </c>
      <c r="T1650" s="4">
        <f>Excel_Advanced_Sales_Dataset_2000__3[[#This Row],[Quantity]]*Excel_Advanced_Sales_Dataset_2000__3[[#This Row],[Unit Price]]-Excel_Advanced_Sales_Dataset_2000__3[[#This Row],[Discount Amount]]</f>
        <v>262877.09814000002</v>
      </c>
    </row>
    <row r="1651" spans="1:20" x14ac:dyDescent="0.25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>
        <v>17</v>
      </c>
      <c r="J1651" s="4">
        <v>11932.01</v>
      </c>
      <c r="K1651" s="6">
        <v>4.79</v>
      </c>
      <c r="L1651" s="4">
        <v>193127.93</v>
      </c>
      <c r="M1651" s="4" t="str" cm="1">
        <f t="array" ref="M1651">IF(Excel_Advanced_Sales_Dataset_2000__3[[#This Row],[Total Sales]]&gt;50000,{"Yes"},{"No"})</f>
        <v>Yes</v>
      </c>
      <c r="N1651" s="5">
        <v>46082</v>
      </c>
      <c r="O1651" s="1" t="s">
        <v>24</v>
      </c>
      <c r="P1651" t="s">
        <v>35</v>
      </c>
      <c r="Q1651" t="str">
        <f>IF(Excel_Advanced_Sales_Dataset_2000__3[[#This Row],[Delivery Status]]="Pending","Follow Up","Ok")</f>
        <v>Ok</v>
      </c>
      <c r="R1651" s="1" t="s">
        <v>53</v>
      </c>
      <c r="S1651">
        <f>Excel_Advanced_Sales_Dataset_2000__3[[#This Row],[Quantity]]*Excel_Advanced_Sales_Dataset_2000__3[[#This Row],[Unit Price]]*Excel_Advanced_Sales_Dataset_2000__3[[#This Row],[Discount %]]/100</f>
        <v>9716.2357430000011</v>
      </c>
      <c r="T1651" s="4">
        <f>Excel_Advanced_Sales_Dataset_2000__3[[#This Row],[Quantity]]*Excel_Advanced_Sales_Dataset_2000__3[[#This Row],[Unit Price]]-Excel_Advanced_Sales_Dataset_2000__3[[#This Row],[Discount Amount]]</f>
        <v>193127.93425700002</v>
      </c>
    </row>
    <row r="1652" spans="1:20" x14ac:dyDescent="0.25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>
        <v>23</v>
      </c>
      <c r="J1652" s="4">
        <v>9005.81</v>
      </c>
      <c r="K1652" s="6">
        <v>0.76</v>
      </c>
      <c r="L1652" s="4">
        <v>205559.41</v>
      </c>
      <c r="M1652" s="4" t="str" cm="1">
        <f t="array" ref="M1652">IF(Excel_Advanced_Sales_Dataset_2000__3[[#This Row],[Total Sales]]&gt;50000,{"Yes"},{"No"})</f>
        <v>Yes</v>
      </c>
      <c r="N1652" s="5">
        <v>46122</v>
      </c>
      <c r="O1652" s="1" t="s">
        <v>113</v>
      </c>
      <c r="P1652" t="s">
        <v>35</v>
      </c>
      <c r="Q1652" t="str">
        <f>IF(Excel_Advanced_Sales_Dataset_2000__3[[#This Row],[Delivery Status]]="Pending","Follow Up","Ok")</f>
        <v>Ok</v>
      </c>
      <c r="R1652" s="1" t="s">
        <v>36</v>
      </c>
      <c r="S1652">
        <f>Excel_Advanced_Sales_Dataset_2000__3[[#This Row],[Quantity]]*Excel_Advanced_Sales_Dataset_2000__3[[#This Row],[Unit Price]]*Excel_Advanced_Sales_Dataset_2000__3[[#This Row],[Discount %]]/100</f>
        <v>1574.2155879999998</v>
      </c>
      <c r="T1652" s="4">
        <f>Excel_Advanced_Sales_Dataset_2000__3[[#This Row],[Quantity]]*Excel_Advanced_Sales_Dataset_2000__3[[#This Row],[Unit Price]]-Excel_Advanced_Sales_Dataset_2000__3[[#This Row],[Discount Amount]]</f>
        <v>205559.41441199998</v>
      </c>
    </row>
    <row r="1653" spans="1:20" x14ac:dyDescent="0.25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>
        <v>41</v>
      </c>
      <c r="J1653" s="4">
        <v>47221.51</v>
      </c>
      <c r="K1653" s="6">
        <v>18.03</v>
      </c>
      <c r="L1653" s="4">
        <v>1587006.34</v>
      </c>
      <c r="M1653" s="4" t="str" cm="1">
        <f t="array" ref="M1653">IF(Excel_Advanced_Sales_Dataset_2000__3[[#This Row],[Total Sales]]&gt;50000,{"Yes"},{"No"})</f>
        <v>Yes</v>
      </c>
      <c r="N1653" s="5">
        <v>46275</v>
      </c>
      <c r="O1653" s="1" t="s">
        <v>68</v>
      </c>
      <c r="P1653" t="s">
        <v>35</v>
      </c>
      <c r="Q1653" t="str">
        <f>IF(Excel_Advanced_Sales_Dataset_2000__3[[#This Row],[Delivery Status]]="Pending","Follow Up","Ok")</f>
        <v>Ok</v>
      </c>
      <c r="R1653" s="1" t="s">
        <v>36</v>
      </c>
      <c r="S1653">
        <f>Excel_Advanced_Sales_Dataset_2000__3[[#This Row],[Quantity]]*Excel_Advanced_Sales_Dataset_2000__3[[#This Row],[Unit Price]]*Excel_Advanced_Sales_Dataset_2000__3[[#This Row],[Discount %]]/100</f>
        <v>349075.56837300002</v>
      </c>
      <c r="T1653" s="4">
        <f>Excel_Advanced_Sales_Dataset_2000__3[[#This Row],[Quantity]]*Excel_Advanced_Sales_Dataset_2000__3[[#This Row],[Unit Price]]-Excel_Advanced_Sales_Dataset_2000__3[[#This Row],[Discount Amount]]</f>
        <v>1587006.3416270001</v>
      </c>
    </row>
    <row r="1654" spans="1:20" x14ac:dyDescent="0.25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>
        <v>18</v>
      </c>
      <c r="J1654" s="4">
        <v>44696.62</v>
      </c>
      <c r="K1654" s="6">
        <v>2.99</v>
      </c>
      <c r="L1654" s="4">
        <v>780483.44</v>
      </c>
      <c r="M1654" s="4" t="str" cm="1">
        <f t="array" ref="M1654">IF(Excel_Advanced_Sales_Dataset_2000__3[[#This Row],[Total Sales]]&gt;50000,{"Yes"},{"No"})</f>
        <v>Yes</v>
      </c>
      <c r="N1654" s="5">
        <v>46077</v>
      </c>
      <c r="O1654" s="1" t="s">
        <v>113</v>
      </c>
      <c r="P1654" t="s">
        <v>35</v>
      </c>
      <c r="Q1654" t="str">
        <f>IF(Excel_Advanced_Sales_Dataset_2000__3[[#This Row],[Delivery Status]]="Pending","Follow Up","Ok")</f>
        <v>Ok</v>
      </c>
      <c r="R1654" s="1" t="s">
        <v>26</v>
      </c>
      <c r="S1654">
        <f>Excel_Advanced_Sales_Dataset_2000__3[[#This Row],[Quantity]]*Excel_Advanced_Sales_Dataset_2000__3[[#This Row],[Unit Price]]*Excel_Advanced_Sales_Dataset_2000__3[[#This Row],[Discount %]]/100</f>
        <v>24055.720884000002</v>
      </c>
      <c r="T1654" s="4">
        <f>Excel_Advanced_Sales_Dataset_2000__3[[#This Row],[Quantity]]*Excel_Advanced_Sales_Dataset_2000__3[[#This Row],[Unit Price]]-Excel_Advanced_Sales_Dataset_2000__3[[#This Row],[Discount Amount]]</f>
        <v>780483.43911600008</v>
      </c>
    </row>
    <row r="1655" spans="1:20" x14ac:dyDescent="0.25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>
        <v>19</v>
      </c>
      <c r="J1655" s="4">
        <v>13401.53</v>
      </c>
      <c r="K1655" s="6">
        <v>9.7200000000000006</v>
      </c>
      <c r="L1655" s="4">
        <v>229879.12</v>
      </c>
      <c r="M1655" s="4" t="str" cm="1">
        <f t="array" ref="M1655">IF(Excel_Advanced_Sales_Dataset_2000__3[[#This Row],[Total Sales]]&gt;50000,{"Yes"},{"No"})</f>
        <v>Yes</v>
      </c>
      <c r="N1655" s="5">
        <v>46369</v>
      </c>
      <c r="O1655" s="1" t="s">
        <v>68</v>
      </c>
      <c r="P1655" t="s">
        <v>35</v>
      </c>
      <c r="Q1655" t="str">
        <f>IF(Excel_Advanced_Sales_Dataset_2000__3[[#This Row],[Delivery Status]]="Pending","Follow Up","Ok")</f>
        <v>Ok</v>
      </c>
      <c r="R1655" s="1" t="s">
        <v>36</v>
      </c>
      <c r="S1655">
        <f>Excel_Advanced_Sales_Dataset_2000__3[[#This Row],[Quantity]]*Excel_Advanced_Sales_Dataset_2000__3[[#This Row],[Unit Price]]*Excel_Advanced_Sales_Dataset_2000__3[[#This Row],[Discount %]]/100</f>
        <v>24749.945604000004</v>
      </c>
      <c r="T1655" s="4">
        <f>Excel_Advanced_Sales_Dataset_2000__3[[#This Row],[Quantity]]*Excel_Advanced_Sales_Dataset_2000__3[[#This Row],[Unit Price]]-Excel_Advanced_Sales_Dataset_2000__3[[#This Row],[Discount Amount]]</f>
        <v>229879.124396</v>
      </c>
    </row>
    <row r="1656" spans="1:20" x14ac:dyDescent="0.25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>
        <v>36</v>
      </c>
      <c r="J1656" s="4">
        <v>25186.959999999999</v>
      </c>
      <c r="K1656" s="6">
        <v>12.72</v>
      </c>
      <c r="L1656" s="4">
        <v>791394.43</v>
      </c>
      <c r="M1656" s="4" t="str" cm="1">
        <f t="array" ref="M1656">IF(Excel_Advanced_Sales_Dataset_2000__3[[#This Row],[Total Sales]]&gt;50000,{"Yes"},{"No"})</f>
        <v>Yes</v>
      </c>
      <c r="N1656" s="5">
        <v>46207</v>
      </c>
      <c r="O1656" s="1" t="s">
        <v>45</v>
      </c>
      <c r="P1656" t="s">
        <v>35</v>
      </c>
      <c r="Q1656" t="str">
        <f>IF(Excel_Advanced_Sales_Dataset_2000__3[[#This Row],[Delivery Status]]="Pending","Follow Up","Ok")</f>
        <v>Ok</v>
      </c>
      <c r="R1656" s="1" t="s">
        <v>53</v>
      </c>
      <c r="S1656">
        <f>Excel_Advanced_Sales_Dataset_2000__3[[#This Row],[Quantity]]*Excel_Advanced_Sales_Dataset_2000__3[[#This Row],[Unit Price]]*Excel_Advanced_Sales_Dataset_2000__3[[#This Row],[Discount %]]/100</f>
        <v>115336.12723199998</v>
      </c>
      <c r="T1656" s="4">
        <f>Excel_Advanced_Sales_Dataset_2000__3[[#This Row],[Quantity]]*Excel_Advanced_Sales_Dataset_2000__3[[#This Row],[Unit Price]]-Excel_Advanced_Sales_Dataset_2000__3[[#This Row],[Discount Amount]]</f>
        <v>791394.43276799994</v>
      </c>
    </row>
    <row r="1657" spans="1:20" x14ac:dyDescent="0.25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>
        <v>17</v>
      </c>
      <c r="J1657" s="4">
        <v>44203.34</v>
      </c>
      <c r="K1657" s="6">
        <v>0.9</v>
      </c>
      <c r="L1657" s="4">
        <v>744693.67</v>
      </c>
      <c r="M1657" s="4" t="str" cm="1">
        <f t="array" ref="M1657">IF(Excel_Advanced_Sales_Dataset_2000__3[[#This Row],[Total Sales]]&gt;50000,{"Yes"},{"No"})</f>
        <v>Yes</v>
      </c>
      <c r="N1657" s="5">
        <v>46319</v>
      </c>
      <c r="O1657" s="1" t="s">
        <v>58</v>
      </c>
      <c r="P1657" t="s">
        <v>25</v>
      </c>
      <c r="Q1657" t="str">
        <f>IF(Excel_Advanced_Sales_Dataset_2000__3[[#This Row],[Delivery Status]]="Pending","Follow Up","Ok")</f>
        <v>Follow Up</v>
      </c>
      <c r="R1657" s="1" t="s">
        <v>26</v>
      </c>
      <c r="S1657">
        <f>Excel_Advanced_Sales_Dataset_2000__3[[#This Row],[Quantity]]*Excel_Advanced_Sales_Dataset_2000__3[[#This Row],[Unit Price]]*Excel_Advanced_Sales_Dataset_2000__3[[#This Row],[Discount %]]/100</f>
        <v>6763.1110199999994</v>
      </c>
      <c r="T1657" s="4">
        <f>Excel_Advanced_Sales_Dataset_2000__3[[#This Row],[Quantity]]*Excel_Advanced_Sales_Dataset_2000__3[[#This Row],[Unit Price]]-Excel_Advanced_Sales_Dataset_2000__3[[#This Row],[Discount Amount]]</f>
        <v>744693.66897999996</v>
      </c>
    </row>
    <row r="1658" spans="1:20" x14ac:dyDescent="0.25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>
        <v>41</v>
      </c>
      <c r="J1658" s="4">
        <v>41871.160000000003</v>
      </c>
      <c r="K1658" s="6">
        <v>1.84</v>
      </c>
      <c r="L1658" s="4">
        <v>1685129.96</v>
      </c>
      <c r="M1658" s="4" t="str" cm="1">
        <f t="array" ref="M1658">IF(Excel_Advanced_Sales_Dataset_2000__3[[#This Row],[Total Sales]]&gt;50000,{"Yes"},{"No"})</f>
        <v>Yes</v>
      </c>
      <c r="N1658" s="5">
        <v>46289</v>
      </c>
      <c r="O1658" s="1" t="s">
        <v>24</v>
      </c>
      <c r="P1658" t="s">
        <v>35</v>
      </c>
      <c r="Q1658" t="str">
        <f>IF(Excel_Advanced_Sales_Dataset_2000__3[[#This Row],[Delivery Status]]="Pending","Follow Up","Ok")</f>
        <v>Ok</v>
      </c>
      <c r="R1658" s="1" t="s">
        <v>26</v>
      </c>
      <c r="S1658">
        <f>Excel_Advanced_Sales_Dataset_2000__3[[#This Row],[Quantity]]*Excel_Advanced_Sales_Dataset_2000__3[[#This Row],[Unit Price]]*Excel_Advanced_Sales_Dataset_2000__3[[#This Row],[Discount %]]/100</f>
        <v>31587.603104000002</v>
      </c>
      <c r="T1658" s="4">
        <f>Excel_Advanced_Sales_Dataset_2000__3[[#This Row],[Quantity]]*Excel_Advanced_Sales_Dataset_2000__3[[#This Row],[Unit Price]]-Excel_Advanced_Sales_Dataset_2000__3[[#This Row],[Discount Amount]]</f>
        <v>1685129.9568960001</v>
      </c>
    </row>
    <row r="1659" spans="1:20" x14ac:dyDescent="0.25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>
        <v>5</v>
      </c>
      <c r="J1659" s="4">
        <v>35648.629999999997</v>
      </c>
      <c r="K1659" s="6">
        <v>11.94</v>
      </c>
      <c r="L1659" s="4">
        <v>156960.92000000001</v>
      </c>
      <c r="M1659" s="4" t="str" cm="1">
        <f t="array" ref="M1659">IF(Excel_Advanced_Sales_Dataset_2000__3[[#This Row],[Total Sales]]&gt;50000,{"Yes"},{"No"})</f>
        <v>Yes</v>
      </c>
      <c r="N1659" s="5">
        <v>46027</v>
      </c>
      <c r="O1659" s="1" t="s">
        <v>45</v>
      </c>
      <c r="P1659" t="s">
        <v>35</v>
      </c>
      <c r="Q1659" t="str">
        <f>IF(Excel_Advanced_Sales_Dataset_2000__3[[#This Row],[Delivery Status]]="Pending","Follow Up","Ok")</f>
        <v>Ok</v>
      </c>
      <c r="R1659" s="1" t="s">
        <v>36</v>
      </c>
      <c r="S1659">
        <f>Excel_Advanced_Sales_Dataset_2000__3[[#This Row],[Quantity]]*Excel_Advanced_Sales_Dataset_2000__3[[#This Row],[Unit Price]]*Excel_Advanced_Sales_Dataset_2000__3[[#This Row],[Discount %]]/100</f>
        <v>21282.232109999997</v>
      </c>
      <c r="T1659" s="4">
        <f>Excel_Advanced_Sales_Dataset_2000__3[[#This Row],[Quantity]]*Excel_Advanced_Sales_Dataset_2000__3[[#This Row],[Unit Price]]-Excel_Advanced_Sales_Dataset_2000__3[[#This Row],[Discount Amount]]</f>
        <v>156960.91788999998</v>
      </c>
    </row>
    <row r="1660" spans="1:20" x14ac:dyDescent="0.25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>
        <v>11</v>
      </c>
      <c r="J1660" s="4">
        <v>46279.94</v>
      </c>
      <c r="K1660" s="6">
        <v>17.59</v>
      </c>
      <c r="L1660" s="4">
        <v>419532.28</v>
      </c>
      <c r="M1660" s="4" t="str" cm="1">
        <f t="array" ref="M1660">IF(Excel_Advanced_Sales_Dataset_2000__3[[#This Row],[Total Sales]]&gt;50000,{"Yes"},{"No"})</f>
        <v>Yes</v>
      </c>
      <c r="N1660" s="5">
        <v>46203</v>
      </c>
      <c r="O1660" s="1" t="s">
        <v>68</v>
      </c>
      <c r="P1660" t="s">
        <v>35</v>
      </c>
      <c r="Q1660" t="str">
        <f>IF(Excel_Advanced_Sales_Dataset_2000__3[[#This Row],[Delivery Status]]="Pending","Follow Up","Ok")</f>
        <v>Ok</v>
      </c>
      <c r="R1660" s="1" t="s">
        <v>53</v>
      </c>
      <c r="S1660">
        <f>Excel_Advanced_Sales_Dataset_2000__3[[#This Row],[Quantity]]*Excel_Advanced_Sales_Dataset_2000__3[[#This Row],[Unit Price]]*Excel_Advanced_Sales_Dataset_2000__3[[#This Row],[Discount %]]/100</f>
        <v>89547.055906000009</v>
      </c>
      <c r="T1660" s="4">
        <f>Excel_Advanced_Sales_Dataset_2000__3[[#This Row],[Quantity]]*Excel_Advanced_Sales_Dataset_2000__3[[#This Row],[Unit Price]]-Excel_Advanced_Sales_Dataset_2000__3[[#This Row],[Discount Amount]]</f>
        <v>419532.284094</v>
      </c>
    </row>
    <row r="1661" spans="1:20" x14ac:dyDescent="0.25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>
        <v>22</v>
      </c>
      <c r="J1661" s="4">
        <v>24182.46</v>
      </c>
      <c r="K1661" s="6">
        <v>3.48</v>
      </c>
      <c r="L1661" s="4">
        <v>513500.03</v>
      </c>
      <c r="M1661" s="4" t="str" cm="1">
        <f t="array" ref="M1661">IF(Excel_Advanced_Sales_Dataset_2000__3[[#This Row],[Total Sales]]&gt;50000,{"Yes"},{"No"})</f>
        <v>Yes</v>
      </c>
      <c r="N1661" s="5">
        <v>46277</v>
      </c>
      <c r="O1661" s="1" t="s">
        <v>58</v>
      </c>
      <c r="P1661" t="s">
        <v>35</v>
      </c>
      <c r="Q1661" t="str">
        <f>IF(Excel_Advanced_Sales_Dataset_2000__3[[#This Row],[Delivery Status]]="Pending","Follow Up","Ok")</f>
        <v>Ok</v>
      </c>
      <c r="R1661" s="1" t="s">
        <v>26</v>
      </c>
      <c r="S1661">
        <f>Excel_Advanced_Sales_Dataset_2000__3[[#This Row],[Quantity]]*Excel_Advanced_Sales_Dataset_2000__3[[#This Row],[Unit Price]]*Excel_Advanced_Sales_Dataset_2000__3[[#This Row],[Discount %]]/100</f>
        <v>18514.091376</v>
      </c>
      <c r="T1661" s="4">
        <f>Excel_Advanced_Sales_Dataset_2000__3[[#This Row],[Quantity]]*Excel_Advanced_Sales_Dataset_2000__3[[#This Row],[Unit Price]]-Excel_Advanced_Sales_Dataset_2000__3[[#This Row],[Discount Amount]]</f>
        <v>513500.02862399997</v>
      </c>
    </row>
    <row r="1662" spans="1:20" x14ac:dyDescent="0.25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>
        <v>11</v>
      </c>
      <c r="J1662" s="4">
        <v>36263.58</v>
      </c>
      <c r="K1662" s="6">
        <v>6.06</v>
      </c>
      <c r="L1662" s="4">
        <v>374726.08</v>
      </c>
      <c r="M1662" s="4" t="str" cm="1">
        <f t="array" ref="M1662">IF(Excel_Advanced_Sales_Dataset_2000__3[[#This Row],[Total Sales]]&gt;50000,{"Yes"},{"No"})</f>
        <v>Yes</v>
      </c>
      <c r="N1662" s="5">
        <v>46025</v>
      </c>
      <c r="O1662" s="1" t="s">
        <v>24</v>
      </c>
      <c r="P1662" t="s">
        <v>35</v>
      </c>
      <c r="Q1662" t="str">
        <f>IF(Excel_Advanced_Sales_Dataset_2000__3[[#This Row],[Delivery Status]]="Pending","Follow Up","Ok")</f>
        <v>Ok</v>
      </c>
      <c r="R1662" s="1" t="s">
        <v>53</v>
      </c>
      <c r="S1662">
        <f>Excel_Advanced_Sales_Dataset_2000__3[[#This Row],[Quantity]]*Excel_Advanced_Sales_Dataset_2000__3[[#This Row],[Unit Price]]*Excel_Advanced_Sales_Dataset_2000__3[[#This Row],[Discount %]]/100</f>
        <v>24173.302427999995</v>
      </c>
      <c r="T1662" s="4">
        <f>Excel_Advanced_Sales_Dataset_2000__3[[#This Row],[Quantity]]*Excel_Advanced_Sales_Dataset_2000__3[[#This Row],[Unit Price]]-Excel_Advanced_Sales_Dataset_2000__3[[#This Row],[Discount Amount]]</f>
        <v>374726.07757199998</v>
      </c>
    </row>
    <row r="1663" spans="1:20" x14ac:dyDescent="0.25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>
        <v>20</v>
      </c>
      <c r="J1663" s="4">
        <v>49523.54</v>
      </c>
      <c r="K1663" s="6">
        <v>17.420000000000002</v>
      </c>
      <c r="L1663" s="4">
        <v>817930.79</v>
      </c>
      <c r="M1663" s="4" t="str" cm="1">
        <f t="array" ref="M1663">IF(Excel_Advanced_Sales_Dataset_2000__3[[#This Row],[Total Sales]]&gt;50000,{"Yes"},{"No"})</f>
        <v>Yes</v>
      </c>
      <c r="N1663" s="5">
        <v>46328</v>
      </c>
      <c r="O1663" s="1" t="s">
        <v>24</v>
      </c>
      <c r="P1663" t="s">
        <v>35</v>
      </c>
      <c r="Q1663" t="str">
        <f>IF(Excel_Advanced_Sales_Dataset_2000__3[[#This Row],[Delivery Status]]="Pending","Follow Up","Ok")</f>
        <v>Ok</v>
      </c>
      <c r="R1663" s="1" t="s">
        <v>26</v>
      </c>
      <c r="S1663">
        <f>Excel_Advanced_Sales_Dataset_2000__3[[#This Row],[Quantity]]*Excel_Advanced_Sales_Dataset_2000__3[[#This Row],[Unit Price]]*Excel_Advanced_Sales_Dataset_2000__3[[#This Row],[Discount %]]/100</f>
        <v>172540.01336000004</v>
      </c>
      <c r="T1663" s="4">
        <f>Excel_Advanced_Sales_Dataset_2000__3[[#This Row],[Quantity]]*Excel_Advanced_Sales_Dataset_2000__3[[#This Row],[Unit Price]]-Excel_Advanced_Sales_Dataset_2000__3[[#This Row],[Discount Amount]]</f>
        <v>817930.78664000006</v>
      </c>
    </row>
    <row r="1664" spans="1:20" x14ac:dyDescent="0.25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>
        <v>44</v>
      </c>
      <c r="J1664" s="4">
        <v>21842.59</v>
      </c>
      <c r="K1664" s="6">
        <v>19.809999999999999</v>
      </c>
      <c r="L1664" s="4">
        <v>770685.21</v>
      </c>
      <c r="M1664" s="4" t="str" cm="1">
        <f t="array" ref="M1664">IF(Excel_Advanced_Sales_Dataset_2000__3[[#This Row],[Total Sales]]&gt;50000,{"Yes"},{"No"})</f>
        <v>Yes</v>
      </c>
      <c r="N1664" s="5">
        <v>46032</v>
      </c>
      <c r="O1664" s="1" t="s">
        <v>24</v>
      </c>
      <c r="P1664" t="s">
        <v>35</v>
      </c>
      <c r="Q1664" t="str">
        <f>IF(Excel_Advanced_Sales_Dataset_2000__3[[#This Row],[Delivery Status]]="Pending","Follow Up","Ok")</f>
        <v>Ok</v>
      </c>
      <c r="R1664" s="1" t="s">
        <v>26</v>
      </c>
      <c r="S1664">
        <f>Excel_Advanced_Sales_Dataset_2000__3[[#This Row],[Quantity]]*Excel_Advanced_Sales_Dataset_2000__3[[#This Row],[Unit Price]]*Excel_Advanced_Sales_Dataset_2000__3[[#This Row],[Discount %]]/100</f>
        <v>190388.75147599998</v>
      </c>
      <c r="T1664" s="4">
        <f>Excel_Advanced_Sales_Dataset_2000__3[[#This Row],[Quantity]]*Excel_Advanced_Sales_Dataset_2000__3[[#This Row],[Unit Price]]-Excel_Advanced_Sales_Dataset_2000__3[[#This Row],[Discount Amount]]</f>
        <v>770685.20852400002</v>
      </c>
    </row>
    <row r="1665" spans="1:20" x14ac:dyDescent="0.25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>
        <v>37</v>
      </c>
      <c r="J1665" s="4">
        <v>42944.92</v>
      </c>
      <c r="K1665" s="6">
        <v>13.44</v>
      </c>
      <c r="L1665" s="4">
        <v>1375405.54</v>
      </c>
      <c r="M1665" s="4" t="str" cm="1">
        <f t="array" ref="M1665">IF(Excel_Advanced_Sales_Dataset_2000__3[[#This Row],[Total Sales]]&gt;50000,{"Yes"},{"No"})</f>
        <v>Yes</v>
      </c>
      <c r="N1665" s="5">
        <v>46229</v>
      </c>
      <c r="O1665" s="1" t="s">
        <v>113</v>
      </c>
      <c r="P1665" t="s">
        <v>25</v>
      </c>
      <c r="Q1665" t="str">
        <f>IF(Excel_Advanced_Sales_Dataset_2000__3[[#This Row],[Delivery Status]]="Pending","Follow Up","Ok")</f>
        <v>Follow Up</v>
      </c>
      <c r="R1665" s="1" t="s">
        <v>53</v>
      </c>
      <c r="S1665">
        <f>Excel_Advanced_Sales_Dataset_2000__3[[#This Row],[Quantity]]*Excel_Advanced_Sales_Dataset_2000__3[[#This Row],[Unit Price]]*Excel_Advanced_Sales_Dataset_2000__3[[#This Row],[Discount %]]/100</f>
        <v>213556.49817599999</v>
      </c>
      <c r="T1665" s="4">
        <f>Excel_Advanced_Sales_Dataset_2000__3[[#This Row],[Quantity]]*Excel_Advanced_Sales_Dataset_2000__3[[#This Row],[Unit Price]]-Excel_Advanced_Sales_Dataset_2000__3[[#This Row],[Discount Amount]]</f>
        <v>1375405.541824</v>
      </c>
    </row>
    <row r="1666" spans="1:20" x14ac:dyDescent="0.25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>
        <v>41</v>
      </c>
      <c r="J1666" s="4">
        <v>7999.41</v>
      </c>
      <c r="K1666" s="6">
        <v>8.23</v>
      </c>
      <c r="L1666" s="4">
        <v>300983.40000000002</v>
      </c>
      <c r="M1666" s="4" t="str" cm="1">
        <f t="array" ref="M1666">IF(Excel_Advanced_Sales_Dataset_2000__3[[#This Row],[Total Sales]]&gt;50000,{"Yes"},{"No"})</f>
        <v>Yes</v>
      </c>
      <c r="N1666" s="5">
        <v>46153</v>
      </c>
      <c r="O1666" s="1" t="s">
        <v>45</v>
      </c>
      <c r="P1666" t="s">
        <v>35</v>
      </c>
      <c r="Q1666" t="str">
        <f>IF(Excel_Advanced_Sales_Dataset_2000__3[[#This Row],[Delivery Status]]="Pending","Follow Up","Ok")</f>
        <v>Ok</v>
      </c>
      <c r="R1666" s="1" t="s">
        <v>36</v>
      </c>
      <c r="S1666">
        <f>Excel_Advanced_Sales_Dataset_2000__3[[#This Row],[Quantity]]*Excel_Advanced_Sales_Dataset_2000__3[[#This Row],[Unit Price]]*Excel_Advanced_Sales_Dataset_2000__3[[#This Row],[Discount %]]/100</f>
        <v>26992.409163</v>
      </c>
      <c r="T1666" s="4">
        <f>Excel_Advanced_Sales_Dataset_2000__3[[#This Row],[Quantity]]*Excel_Advanced_Sales_Dataset_2000__3[[#This Row],[Unit Price]]-Excel_Advanced_Sales_Dataset_2000__3[[#This Row],[Discount Amount]]</f>
        <v>300983.40083699999</v>
      </c>
    </row>
    <row r="1667" spans="1:20" x14ac:dyDescent="0.25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>
        <v>6</v>
      </c>
      <c r="J1667" s="4">
        <v>30135.19</v>
      </c>
      <c r="K1667" s="6">
        <v>3.23</v>
      </c>
      <c r="L1667" s="4">
        <v>174970.94</v>
      </c>
      <c r="M1667" s="4" t="str" cm="1">
        <f t="array" ref="M1667">IF(Excel_Advanced_Sales_Dataset_2000__3[[#This Row],[Total Sales]]&gt;50000,{"Yes"},{"No"})</f>
        <v>Yes</v>
      </c>
      <c r="N1667" s="5">
        <v>46242</v>
      </c>
      <c r="O1667" s="1" t="s">
        <v>24</v>
      </c>
      <c r="P1667" t="s">
        <v>35</v>
      </c>
      <c r="Q1667" t="str">
        <f>IF(Excel_Advanced_Sales_Dataset_2000__3[[#This Row],[Delivery Status]]="Pending","Follow Up","Ok")</f>
        <v>Ok</v>
      </c>
      <c r="R1667" s="1" t="s">
        <v>26</v>
      </c>
      <c r="S1667">
        <f>Excel_Advanced_Sales_Dataset_2000__3[[#This Row],[Quantity]]*Excel_Advanced_Sales_Dataset_2000__3[[#This Row],[Unit Price]]*Excel_Advanced_Sales_Dataset_2000__3[[#This Row],[Discount %]]/100</f>
        <v>5840.1998219999996</v>
      </c>
      <c r="T1667" s="4">
        <f>Excel_Advanced_Sales_Dataset_2000__3[[#This Row],[Quantity]]*Excel_Advanced_Sales_Dataset_2000__3[[#This Row],[Unit Price]]-Excel_Advanced_Sales_Dataset_2000__3[[#This Row],[Discount Amount]]</f>
        <v>174970.94017799999</v>
      </c>
    </row>
    <row r="1668" spans="1:20" x14ac:dyDescent="0.25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>
        <v>3</v>
      </c>
      <c r="J1668" s="4">
        <v>29066.080000000002</v>
      </c>
      <c r="K1668" s="6">
        <v>8.64</v>
      </c>
      <c r="L1668" s="4">
        <v>79664.31</v>
      </c>
      <c r="M1668" s="4" t="str" cm="1">
        <f t="array" ref="M1668">IF(Excel_Advanced_Sales_Dataset_2000__3[[#This Row],[Total Sales]]&gt;50000,{"Yes"},{"No"})</f>
        <v>Yes</v>
      </c>
      <c r="N1668" s="5">
        <v>46075</v>
      </c>
      <c r="O1668" s="1" t="s">
        <v>45</v>
      </c>
      <c r="P1668" t="s">
        <v>35</v>
      </c>
      <c r="Q1668" t="str">
        <f>IF(Excel_Advanced_Sales_Dataset_2000__3[[#This Row],[Delivery Status]]="Pending","Follow Up","Ok")</f>
        <v>Ok</v>
      </c>
      <c r="R1668" s="1" t="s">
        <v>53</v>
      </c>
      <c r="S1668">
        <f>Excel_Advanced_Sales_Dataset_2000__3[[#This Row],[Quantity]]*Excel_Advanced_Sales_Dataset_2000__3[[#This Row],[Unit Price]]*Excel_Advanced_Sales_Dataset_2000__3[[#This Row],[Discount %]]/100</f>
        <v>7533.927936000001</v>
      </c>
      <c r="T1668" s="4">
        <f>Excel_Advanced_Sales_Dataset_2000__3[[#This Row],[Quantity]]*Excel_Advanced_Sales_Dataset_2000__3[[#This Row],[Unit Price]]-Excel_Advanced_Sales_Dataset_2000__3[[#This Row],[Discount Amount]]</f>
        <v>79664.312063999998</v>
      </c>
    </row>
    <row r="1669" spans="1:20" x14ac:dyDescent="0.25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>
        <v>33</v>
      </c>
      <c r="J1669" s="4">
        <v>31467.200000000001</v>
      </c>
      <c r="K1669" s="6">
        <v>13.09</v>
      </c>
      <c r="L1669" s="4">
        <v>902488.74</v>
      </c>
      <c r="M1669" s="4" t="str" cm="1">
        <f t="array" ref="M1669">IF(Excel_Advanced_Sales_Dataset_2000__3[[#This Row],[Total Sales]]&gt;50000,{"Yes"},{"No"})</f>
        <v>Yes</v>
      </c>
      <c r="N1669" s="5">
        <v>46092</v>
      </c>
      <c r="O1669" s="1" t="s">
        <v>68</v>
      </c>
      <c r="P1669" t="s">
        <v>35</v>
      </c>
      <c r="Q1669" t="str">
        <f>IF(Excel_Advanced_Sales_Dataset_2000__3[[#This Row],[Delivery Status]]="Pending","Follow Up","Ok")</f>
        <v>Ok</v>
      </c>
      <c r="R1669" s="1" t="s">
        <v>26</v>
      </c>
      <c r="S1669">
        <f>Excel_Advanced_Sales_Dataset_2000__3[[#This Row],[Quantity]]*Excel_Advanced_Sales_Dataset_2000__3[[#This Row],[Unit Price]]*Excel_Advanced_Sales_Dataset_2000__3[[#This Row],[Discount %]]/100</f>
        <v>135928.86384000001</v>
      </c>
      <c r="T1669" s="4">
        <f>Excel_Advanced_Sales_Dataset_2000__3[[#This Row],[Quantity]]*Excel_Advanced_Sales_Dataset_2000__3[[#This Row],[Unit Price]]-Excel_Advanced_Sales_Dataset_2000__3[[#This Row],[Discount Amount]]</f>
        <v>902488.73615999997</v>
      </c>
    </row>
    <row r="1670" spans="1:20" x14ac:dyDescent="0.25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>
        <v>21</v>
      </c>
      <c r="J1670" s="4">
        <v>25353.56</v>
      </c>
      <c r="K1670" s="6">
        <v>13.64</v>
      </c>
      <c r="L1670" s="4">
        <v>459802.02</v>
      </c>
      <c r="M1670" s="4" t="str" cm="1">
        <f t="array" ref="M1670">IF(Excel_Advanced_Sales_Dataset_2000__3[[#This Row],[Total Sales]]&gt;50000,{"Yes"},{"No"})</f>
        <v>Yes</v>
      </c>
      <c r="N1670" s="5">
        <v>46181</v>
      </c>
      <c r="O1670" s="1" t="s">
        <v>58</v>
      </c>
      <c r="P1670" t="s">
        <v>35</v>
      </c>
      <c r="Q1670" t="str">
        <f>IF(Excel_Advanced_Sales_Dataset_2000__3[[#This Row],[Delivery Status]]="Pending","Follow Up","Ok")</f>
        <v>Ok</v>
      </c>
      <c r="R1670" s="1" t="s">
        <v>26</v>
      </c>
      <c r="S1670">
        <f>Excel_Advanced_Sales_Dataset_2000__3[[#This Row],[Quantity]]*Excel_Advanced_Sales_Dataset_2000__3[[#This Row],[Unit Price]]*Excel_Advanced_Sales_Dataset_2000__3[[#This Row],[Discount %]]/100</f>
        <v>72622.737263999996</v>
      </c>
      <c r="T1670" s="4">
        <f>Excel_Advanced_Sales_Dataset_2000__3[[#This Row],[Quantity]]*Excel_Advanced_Sales_Dataset_2000__3[[#This Row],[Unit Price]]-Excel_Advanced_Sales_Dataset_2000__3[[#This Row],[Discount Amount]]</f>
        <v>459802.02273600001</v>
      </c>
    </row>
    <row r="1671" spans="1:20" x14ac:dyDescent="0.25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>
        <v>3</v>
      </c>
      <c r="J1671" s="4">
        <v>47095.87</v>
      </c>
      <c r="K1671" s="6">
        <v>4.01</v>
      </c>
      <c r="L1671" s="4">
        <v>135621.98000000001</v>
      </c>
      <c r="M1671" s="4" t="str" cm="1">
        <f t="array" ref="M1671">IF(Excel_Advanced_Sales_Dataset_2000__3[[#This Row],[Total Sales]]&gt;50000,{"Yes"},{"No"})</f>
        <v>Yes</v>
      </c>
      <c r="N1671" s="5">
        <v>46319</v>
      </c>
      <c r="O1671" s="1" t="s">
        <v>45</v>
      </c>
      <c r="P1671" t="s">
        <v>35</v>
      </c>
      <c r="Q1671" t="str">
        <f>IF(Excel_Advanced_Sales_Dataset_2000__3[[#This Row],[Delivery Status]]="Pending","Follow Up","Ok")</f>
        <v>Ok</v>
      </c>
      <c r="R1671" s="1" t="s">
        <v>36</v>
      </c>
      <c r="S1671">
        <f>Excel_Advanced_Sales_Dataset_2000__3[[#This Row],[Quantity]]*Excel_Advanced_Sales_Dataset_2000__3[[#This Row],[Unit Price]]*Excel_Advanced_Sales_Dataset_2000__3[[#This Row],[Discount %]]/100</f>
        <v>5665.6331610000007</v>
      </c>
      <c r="T1671" s="4">
        <f>Excel_Advanced_Sales_Dataset_2000__3[[#This Row],[Quantity]]*Excel_Advanced_Sales_Dataset_2000__3[[#This Row],[Unit Price]]-Excel_Advanced_Sales_Dataset_2000__3[[#This Row],[Discount Amount]]</f>
        <v>135621.97683900001</v>
      </c>
    </row>
    <row r="1672" spans="1:20" x14ac:dyDescent="0.25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>
        <v>34</v>
      </c>
      <c r="J1672" s="4">
        <v>33318.92</v>
      </c>
      <c r="K1672" s="6">
        <v>18.61</v>
      </c>
      <c r="L1672" s="4">
        <v>922021.15</v>
      </c>
      <c r="M1672" s="4" t="str" cm="1">
        <f t="array" ref="M1672">IF(Excel_Advanced_Sales_Dataset_2000__3[[#This Row],[Total Sales]]&gt;50000,{"Yes"},{"No"})</f>
        <v>Yes</v>
      </c>
      <c r="N1672" s="5">
        <v>46104</v>
      </c>
      <c r="O1672" s="1" t="s">
        <v>24</v>
      </c>
      <c r="P1672" t="s">
        <v>25</v>
      </c>
      <c r="Q1672" t="str">
        <f>IF(Excel_Advanced_Sales_Dataset_2000__3[[#This Row],[Delivery Status]]="Pending","Follow Up","Ok")</f>
        <v>Follow Up</v>
      </c>
      <c r="R1672" s="1" t="s">
        <v>26</v>
      </c>
      <c r="S1672">
        <f>Excel_Advanced_Sales_Dataset_2000__3[[#This Row],[Quantity]]*Excel_Advanced_Sales_Dataset_2000__3[[#This Row],[Unit Price]]*Excel_Advanced_Sales_Dataset_2000__3[[#This Row],[Discount %]]/100</f>
        <v>210822.13440800001</v>
      </c>
      <c r="T1672" s="4">
        <f>Excel_Advanced_Sales_Dataset_2000__3[[#This Row],[Quantity]]*Excel_Advanced_Sales_Dataset_2000__3[[#This Row],[Unit Price]]-Excel_Advanced_Sales_Dataset_2000__3[[#This Row],[Discount Amount]]</f>
        <v>922021.14559199999</v>
      </c>
    </row>
    <row r="1673" spans="1:20" x14ac:dyDescent="0.25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>
        <v>40</v>
      </c>
      <c r="J1673" s="4">
        <v>16277.05</v>
      </c>
      <c r="K1673" s="6">
        <v>19.75</v>
      </c>
      <c r="L1673" s="4">
        <v>522493.3</v>
      </c>
      <c r="M1673" s="4" t="str" cm="1">
        <f t="array" ref="M1673">IF(Excel_Advanced_Sales_Dataset_2000__3[[#This Row],[Total Sales]]&gt;50000,{"Yes"},{"No"})</f>
        <v>Yes</v>
      </c>
      <c r="N1673" s="5">
        <v>46320</v>
      </c>
      <c r="O1673" s="1" t="s">
        <v>45</v>
      </c>
      <c r="P1673" t="s">
        <v>35</v>
      </c>
      <c r="Q1673" t="str">
        <f>IF(Excel_Advanced_Sales_Dataset_2000__3[[#This Row],[Delivery Status]]="Pending","Follow Up","Ok")</f>
        <v>Ok</v>
      </c>
      <c r="R1673" s="1" t="s">
        <v>36</v>
      </c>
      <c r="S1673">
        <f>Excel_Advanced_Sales_Dataset_2000__3[[#This Row],[Quantity]]*Excel_Advanced_Sales_Dataset_2000__3[[#This Row],[Unit Price]]*Excel_Advanced_Sales_Dataset_2000__3[[#This Row],[Discount %]]/100</f>
        <v>128588.69500000001</v>
      </c>
      <c r="T1673" s="4">
        <f>Excel_Advanced_Sales_Dataset_2000__3[[#This Row],[Quantity]]*Excel_Advanced_Sales_Dataset_2000__3[[#This Row],[Unit Price]]-Excel_Advanced_Sales_Dataset_2000__3[[#This Row],[Discount Amount]]</f>
        <v>522493.30499999999</v>
      </c>
    </row>
    <row r="1674" spans="1:20" x14ac:dyDescent="0.25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>
        <v>3</v>
      </c>
      <c r="J1674" s="4">
        <v>14623.55</v>
      </c>
      <c r="K1674" s="6">
        <v>10.72</v>
      </c>
      <c r="L1674" s="4">
        <v>39167.72</v>
      </c>
      <c r="M1674" s="4" t="str" cm="1">
        <f t="array" ref="M1674">IF(Excel_Advanced_Sales_Dataset_2000__3[[#This Row],[Total Sales]]&gt;50000,{"Yes"},{"No"})</f>
        <v>No</v>
      </c>
      <c r="N1674" s="5">
        <v>46185</v>
      </c>
      <c r="O1674" s="1" t="s">
        <v>58</v>
      </c>
      <c r="P1674" t="s">
        <v>25</v>
      </c>
      <c r="Q1674" t="str">
        <f>IF(Excel_Advanced_Sales_Dataset_2000__3[[#This Row],[Delivery Status]]="Pending","Follow Up","Ok")</f>
        <v>Follow Up</v>
      </c>
      <c r="R1674" s="1" t="s">
        <v>36</v>
      </c>
      <c r="S1674">
        <f>Excel_Advanced_Sales_Dataset_2000__3[[#This Row],[Quantity]]*Excel_Advanced_Sales_Dataset_2000__3[[#This Row],[Unit Price]]*Excel_Advanced_Sales_Dataset_2000__3[[#This Row],[Discount %]]/100</f>
        <v>4702.9336799999992</v>
      </c>
      <c r="T1674" s="4">
        <f>Excel_Advanced_Sales_Dataset_2000__3[[#This Row],[Quantity]]*Excel_Advanced_Sales_Dataset_2000__3[[#This Row],[Unit Price]]-Excel_Advanced_Sales_Dataset_2000__3[[#This Row],[Discount Amount]]</f>
        <v>39167.716319999992</v>
      </c>
    </row>
    <row r="1675" spans="1:20" x14ac:dyDescent="0.25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>
        <v>24</v>
      </c>
      <c r="J1675" s="4">
        <v>47332.28</v>
      </c>
      <c r="K1675" s="6">
        <v>0.88</v>
      </c>
      <c r="L1675" s="4">
        <v>1125978.1399999999</v>
      </c>
      <c r="M1675" s="4" t="str" cm="1">
        <f t="array" ref="M1675">IF(Excel_Advanced_Sales_Dataset_2000__3[[#This Row],[Total Sales]]&gt;50000,{"Yes"},{"No"})</f>
        <v>Yes</v>
      </c>
      <c r="N1675" s="5">
        <v>46204</v>
      </c>
      <c r="O1675" s="1" t="s">
        <v>24</v>
      </c>
      <c r="P1675" t="s">
        <v>35</v>
      </c>
      <c r="Q1675" t="str">
        <f>IF(Excel_Advanced_Sales_Dataset_2000__3[[#This Row],[Delivery Status]]="Pending","Follow Up","Ok")</f>
        <v>Ok</v>
      </c>
      <c r="R1675" s="1" t="s">
        <v>26</v>
      </c>
      <c r="S1675">
        <f>Excel_Advanced_Sales_Dataset_2000__3[[#This Row],[Quantity]]*Excel_Advanced_Sales_Dataset_2000__3[[#This Row],[Unit Price]]*Excel_Advanced_Sales_Dataset_2000__3[[#This Row],[Discount %]]/100</f>
        <v>9996.5775359999989</v>
      </c>
      <c r="T1675" s="4">
        <f>Excel_Advanced_Sales_Dataset_2000__3[[#This Row],[Quantity]]*Excel_Advanced_Sales_Dataset_2000__3[[#This Row],[Unit Price]]-Excel_Advanced_Sales_Dataset_2000__3[[#This Row],[Discount Amount]]</f>
        <v>1125978.142464</v>
      </c>
    </row>
    <row r="1676" spans="1:20" x14ac:dyDescent="0.25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>
        <v>7</v>
      </c>
      <c r="J1676" s="4">
        <v>42032.5</v>
      </c>
      <c r="K1676" s="6">
        <v>1.18</v>
      </c>
      <c r="L1676" s="4">
        <v>290755.62</v>
      </c>
      <c r="M1676" s="4" t="str" cm="1">
        <f t="array" ref="M1676">IF(Excel_Advanced_Sales_Dataset_2000__3[[#This Row],[Total Sales]]&gt;50000,{"Yes"},{"No"})</f>
        <v>Yes</v>
      </c>
      <c r="N1676" s="5">
        <v>46104</v>
      </c>
      <c r="O1676" s="1" t="s">
        <v>68</v>
      </c>
      <c r="P1676" t="s">
        <v>35</v>
      </c>
      <c r="Q1676" t="str">
        <f>IF(Excel_Advanced_Sales_Dataset_2000__3[[#This Row],[Delivery Status]]="Pending","Follow Up","Ok")</f>
        <v>Ok</v>
      </c>
      <c r="R1676" s="1" t="s">
        <v>36</v>
      </c>
      <c r="S1676">
        <f>Excel_Advanced_Sales_Dataset_2000__3[[#This Row],[Quantity]]*Excel_Advanced_Sales_Dataset_2000__3[[#This Row],[Unit Price]]*Excel_Advanced_Sales_Dataset_2000__3[[#This Row],[Discount %]]/100</f>
        <v>3471.8844999999997</v>
      </c>
      <c r="T1676" s="4">
        <f>Excel_Advanced_Sales_Dataset_2000__3[[#This Row],[Quantity]]*Excel_Advanced_Sales_Dataset_2000__3[[#This Row],[Unit Price]]-Excel_Advanced_Sales_Dataset_2000__3[[#This Row],[Discount Amount]]</f>
        <v>290755.61550000001</v>
      </c>
    </row>
    <row r="1677" spans="1:20" x14ac:dyDescent="0.25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>
        <v>6</v>
      </c>
      <c r="J1677" s="4">
        <v>815.75</v>
      </c>
      <c r="K1677" s="6">
        <v>1.62</v>
      </c>
      <c r="L1677" s="4">
        <v>4815.21</v>
      </c>
      <c r="M1677" s="4" t="str" cm="1">
        <f t="array" ref="M1677">IF(Excel_Advanced_Sales_Dataset_2000__3[[#This Row],[Total Sales]]&gt;50000,{"Yes"},{"No"})</f>
        <v>No</v>
      </c>
      <c r="N1677" s="5">
        <v>46088</v>
      </c>
      <c r="O1677" s="1" t="s">
        <v>113</v>
      </c>
      <c r="P1677" t="s">
        <v>35</v>
      </c>
      <c r="Q1677" t="str">
        <f>IF(Excel_Advanced_Sales_Dataset_2000__3[[#This Row],[Delivery Status]]="Pending","Follow Up","Ok")</f>
        <v>Ok</v>
      </c>
      <c r="R1677" s="1" t="s">
        <v>36</v>
      </c>
      <c r="S1677">
        <f>Excel_Advanced_Sales_Dataset_2000__3[[#This Row],[Quantity]]*Excel_Advanced_Sales_Dataset_2000__3[[#This Row],[Unit Price]]*Excel_Advanced_Sales_Dataset_2000__3[[#This Row],[Discount %]]/100</f>
        <v>79.290900000000008</v>
      </c>
      <c r="T1677" s="4">
        <f>Excel_Advanced_Sales_Dataset_2000__3[[#This Row],[Quantity]]*Excel_Advanced_Sales_Dataset_2000__3[[#This Row],[Unit Price]]-Excel_Advanced_Sales_Dataset_2000__3[[#This Row],[Discount Amount]]</f>
        <v>4815.2091</v>
      </c>
    </row>
    <row r="1678" spans="1:20" x14ac:dyDescent="0.25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>
        <v>18</v>
      </c>
      <c r="J1678" s="4">
        <v>26098.53</v>
      </c>
      <c r="K1678" s="6">
        <v>8.61</v>
      </c>
      <c r="L1678" s="4">
        <v>429326.04</v>
      </c>
      <c r="M1678" s="4" t="str" cm="1">
        <f t="array" ref="M1678">IF(Excel_Advanced_Sales_Dataset_2000__3[[#This Row],[Total Sales]]&gt;50000,{"Yes"},{"No"})</f>
        <v>Yes</v>
      </c>
      <c r="N1678" s="5">
        <v>46086</v>
      </c>
      <c r="O1678" s="1" t="s">
        <v>58</v>
      </c>
      <c r="P1678" t="s">
        <v>35</v>
      </c>
      <c r="Q1678" t="str">
        <f>IF(Excel_Advanced_Sales_Dataset_2000__3[[#This Row],[Delivery Status]]="Pending","Follow Up","Ok")</f>
        <v>Ok</v>
      </c>
      <c r="R1678" s="1" t="s">
        <v>53</v>
      </c>
      <c r="S1678">
        <f>Excel_Advanced_Sales_Dataset_2000__3[[#This Row],[Quantity]]*Excel_Advanced_Sales_Dataset_2000__3[[#This Row],[Unit Price]]*Excel_Advanced_Sales_Dataset_2000__3[[#This Row],[Discount %]]/100</f>
        <v>40447.501793999996</v>
      </c>
      <c r="T1678" s="4">
        <f>Excel_Advanced_Sales_Dataset_2000__3[[#This Row],[Quantity]]*Excel_Advanced_Sales_Dataset_2000__3[[#This Row],[Unit Price]]-Excel_Advanced_Sales_Dataset_2000__3[[#This Row],[Discount Amount]]</f>
        <v>429326.038206</v>
      </c>
    </row>
    <row r="1679" spans="1:20" x14ac:dyDescent="0.25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>
        <v>43</v>
      </c>
      <c r="J1679" s="4">
        <v>12067.55</v>
      </c>
      <c r="K1679" s="6">
        <v>9.51</v>
      </c>
      <c r="L1679" s="4">
        <v>469556.82</v>
      </c>
      <c r="M1679" s="4" t="str" cm="1">
        <f t="array" ref="M1679">IF(Excel_Advanced_Sales_Dataset_2000__3[[#This Row],[Total Sales]]&gt;50000,{"Yes"},{"No"})</f>
        <v>Yes</v>
      </c>
      <c r="N1679" s="5">
        <v>46117</v>
      </c>
      <c r="O1679" s="1" t="s">
        <v>24</v>
      </c>
      <c r="P1679" t="s">
        <v>35</v>
      </c>
      <c r="Q1679" t="str">
        <f>IF(Excel_Advanced_Sales_Dataset_2000__3[[#This Row],[Delivery Status]]="Pending","Follow Up","Ok")</f>
        <v>Ok</v>
      </c>
      <c r="R1679" s="1" t="s">
        <v>53</v>
      </c>
      <c r="S1679">
        <f>Excel_Advanced_Sales_Dataset_2000__3[[#This Row],[Quantity]]*Excel_Advanced_Sales_Dataset_2000__3[[#This Row],[Unit Price]]*Excel_Advanced_Sales_Dataset_2000__3[[#This Row],[Discount %]]/100</f>
        <v>49347.832215000002</v>
      </c>
      <c r="T1679" s="4">
        <f>Excel_Advanced_Sales_Dataset_2000__3[[#This Row],[Quantity]]*Excel_Advanced_Sales_Dataset_2000__3[[#This Row],[Unit Price]]-Excel_Advanced_Sales_Dataset_2000__3[[#This Row],[Discount Amount]]</f>
        <v>469556.81778499996</v>
      </c>
    </row>
    <row r="1680" spans="1:20" x14ac:dyDescent="0.25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>
        <v>43</v>
      </c>
      <c r="J1680" s="4">
        <v>28498.5</v>
      </c>
      <c r="K1680" s="6">
        <v>6.63</v>
      </c>
      <c r="L1680" s="4">
        <v>1144189.1299999999</v>
      </c>
      <c r="M1680" s="4" t="str" cm="1">
        <f t="array" ref="M1680">IF(Excel_Advanced_Sales_Dataset_2000__3[[#This Row],[Total Sales]]&gt;50000,{"Yes"},{"No"})</f>
        <v>Yes</v>
      </c>
      <c r="N1680" s="5">
        <v>46360</v>
      </c>
      <c r="O1680" s="1" t="s">
        <v>24</v>
      </c>
      <c r="P1680" t="s">
        <v>35</v>
      </c>
      <c r="Q1680" t="str">
        <f>IF(Excel_Advanced_Sales_Dataset_2000__3[[#This Row],[Delivery Status]]="Pending","Follow Up","Ok")</f>
        <v>Ok</v>
      </c>
      <c r="R1680" s="1" t="s">
        <v>26</v>
      </c>
      <c r="S1680">
        <f>Excel_Advanced_Sales_Dataset_2000__3[[#This Row],[Quantity]]*Excel_Advanced_Sales_Dataset_2000__3[[#This Row],[Unit Price]]*Excel_Advanced_Sales_Dataset_2000__3[[#This Row],[Discount %]]/100</f>
        <v>81246.373650000009</v>
      </c>
      <c r="T1680" s="4">
        <f>Excel_Advanced_Sales_Dataset_2000__3[[#This Row],[Quantity]]*Excel_Advanced_Sales_Dataset_2000__3[[#This Row],[Unit Price]]-Excel_Advanced_Sales_Dataset_2000__3[[#This Row],[Discount Amount]]</f>
        <v>1144189.12635</v>
      </c>
    </row>
    <row r="1681" spans="1:20" x14ac:dyDescent="0.25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>
        <v>39</v>
      </c>
      <c r="J1681" s="4">
        <v>2555.9299999999998</v>
      </c>
      <c r="K1681" s="6">
        <v>12.25</v>
      </c>
      <c r="L1681" s="4">
        <v>87470.31</v>
      </c>
      <c r="M1681" s="4" t="str" cm="1">
        <f t="array" ref="M1681">IF(Excel_Advanced_Sales_Dataset_2000__3[[#This Row],[Total Sales]]&gt;50000,{"Yes"},{"No"})</f>
        <v>Yes</v>
      </c>
      <c r="N1681" s="5">
        <v>46169</v>
      </c>
      <c r="O1681" s="1" t="s">
        <v>68</v>
      </c>
      <c r="P1681" t="s">
        <v>35</v>
      </c>
      <c r="Q1681" t="str">
        <f>IF(Excel_Advanced_Sales_Dataset_2000__3[[#This Row],[Delivery Status]]="Pending","Follow Up","Ok")</f>
        <v>Ok</v>
      </c>
      <c r="R1681" s="1" t="s">
        <v>53</v>
      </c>
      <c r="S1681">
        <f>Excel_Advanced_Sales_Dataset_2000__3[[#This Row],[Quantity]]*Excel_Advanced_Sales_Dataset_2000__3[[#This Row],[Unit Price]]*Excel_Advanced_Sales_Dataset_2000__3[[#This Row],[Discount %]]/100</f>
        <v>12210.955574999998</v>
      </c>
      <c r="T1681" s="4">
        <f>Excel_Advanced_Sales_Dataset_2000__3[[#This Row],[Quantity]]*Excel_Advanced_Sales_Dataset_2000__3[[#This Row],[Unit Price]]-Excel_Advanced_Sales_Dataset_2000__3[[#This Row],[Discount Amount]]</f>
        <v>87470.31442499999</v>
      </c>
    </row>
    <row r="1682" spans="1:20" x14ac:dyDescent="0.25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>
        <v>26</v>
      </c>
      <c r="J1682" s="4">
        <v>9412.49</v>
      </c>
      <c r="K1682" s="6">
        <v>15.96</v>
      </c>
      <c r="L1682" s="4">
        <v>205666.67</v>
      </c>
      <c r="M1682" s="4" t="str" cm="1">
        <f t="array" ref="M1682">IF(Excel_Advanced_Sales_Dataset_2000__3[[#This Row],[Total Sales]]&gt;50000,{"Yes"},{"No"})</f>
        <v>Yes</v>
      </c>
      <c r="N1682" s="5">
        <v>46185</v>
      </c>
      <c r="O1682" s="1" t="s">
        <v>58</v>
      </c>
      <c r="P1682" t="s">
        <v>35</v>
      </c>
      <c r="Q1682" t="str">
        <f>IF(Excel_Advanced_Sales_Dataset_2000__3[[#This Row],[Delivery Status]]="Pending","Follow Up","Ok")</f>
        <v>Ok</v>
      </c>
      <c r="R1682" s="1" t="s">
        <v>36</v>
      </c>
      <c r="S1682">
        <f>Excel_Advanced_Sales_Dataset_2000__3[[#This Row],[Quantity]]*Excel_Advanced_Sales_Dataset_2000__3[[#This Row],[Unit Price]]*Excel_Advanced_Sales_Dataset_2000__3[[#This Row],[Discount %]]/100</f>
        <v>39058.068503999995</v>
      </c>
      <c r="T1682" s="4">
        <f>Excel_Advanced_Sales_Dataset_2000__3[[#This Row],[Quantity]]*Excel_Advanced_Sales_Dataset_2000__3[[#This Row],[Unit Price]]-Excel_Advanced_Sales_Dataset_2000__3[[#This Row],[Discount Amount]]</f>
        <v>205666.671496</v>
      </c>
    </row>
    <row r="1683" spans="1:20" x14ac:dyDescent="0.25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>
        <v>24</v>
      </c>
      <c r="J1683" s="4">
        <v>17736.55</v>
      </c>
      <c r="K1683" s="6">
        <v>15.72</v>
      </c>
      <c r="L1683" s="4">
        <v>358760.74</v>
      </c>
      <c r="M1683" s="4" t="str" cm="1">
        <f t="array" ref="M1683">IF(Excel_Advanced_Sales_Dataset_2000__3[[#This Row],[Total Sales]]&gt;50000,{"Yes"},{"No"})</f>
        <v>Yes</v>
      </c>
      <c r="N1683" s="5">
        <v>46118</v>
      </c>
      <c r="O1683" s="1" t="s">
        <v>24</v>
      </c>
      <c r="P1683" t="s">
        <v>35</v>
      </c>
      <c r="Q1683" t="str">
        <f>IF(Excel_Advanced_Sales_Dataset_2000__3[[#This Row],[Delivery Status]]="Pending","Follow Up","Ok")</f>
        <v>Ok</v>
      </c>
      <c r="R1683" s="1" t="s">
        <v>26</v>
      </c>
      <c r="S1683">
        <f>Excel_Advanced_Sales_Dataset_2000__3[[#This Row],[Quantity]]*Excel_Advanced_Sales_Dataset_2000__3[[#This Row],[Unit Price]]*Excel_Advanced_Sales_Dataset_2000__3[[#This Row],[Discount %]]/100</f>
        <v>66916.455839999995</v>
      </c>
      <c r="T1683" s="4">
        <f>Excel_Advanced_Sales_Dataset_2000__3[[#This Row],[Quantity]]*Excel_Advanced_Sales_Dataset_2000__3[[#This Row],[Unit Price]]-Excel_Advanced_Sales_Dataset_2000__3[[#This Row],[Discount Amount]]</f>
        <v>358760.74415999994</v>
      </c>
    </row>
    <row r="1684" spans="1:20" x14ac:dyDescent="0.25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>
        <v>17</v>
      </c>
      <c r="J1684" s="4">
        <v>2609.6799999999998</v>
      </c>
      <c r="K1684" s="6">
        <v>7.08</v>
      </c>
      <c r="L1684" s="4">
        <v>41223.550000000003</v>
      </c>
      <c r="M1684" s="4" t="str" cm="1">
        <f t="array" ref="M1684">IF(Excel_Advanced_Sales_Dataset_2000__3[[#This Row],[Total Sales]]&gt;50000,{"Yes"},{"No"})</f>
        <v>No</v>
      </c>
      <c r="N1684" s="5">
        <v>46037</v>
      </c>
      <c r="O1684" s="1" t="s">
        <v>24</v>
      </c>
      <c r="P1684" t="s">
        <v>25</v>
      </c>
      <c r="Q1684" t="str">
        <f>IF(Excel_Advanced_Sales_Dataset_2000__3[[#This Row],[Delivery Status]]="Pending","Follow Up","Ok")</f>
        <v>Follow Up</v>
      </c>
      <c r="R1684" s="1" t="s">
        <v>36</v>
      </c>
      <c r="S1684">
        <f>Excel_Advanced_Sales_Dataset_2000__3[[#This Row],[Quantity]]*Excel_Advanced_Sales_Dataset_2000__3[[#This Row],[Unit Price]]*Excel_Advanced_Sales_Dataset_2000__3[[#This Row],[Discount %]]/100</f>
        <v>3141.0108479999999</v>
      </c>
      <c r="T1684" s="4">
        <f>Excel_Advanced_Sales_Dataset_2000__3[[#This Row],[Quantity]]*Excel_Advanced_Sales_Dataset_2000__3[[#This Row],[Unit Price]]-Excel_Advanced_Sales_Dataset_2000__3[[#This Row],[Discount Amount]]</f>
        <v>41223.549152</v>
      </c>
    </row>
    <row r="1685" spans="1:20" x14ac:dyDescent="0.25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>
        <v>16</v>
      </c>
      <c r="J1685" s="4">
        <v>8705.31</v>
      </c>
      <c r="K1685" s="6">
        <v>9.31</v>
      </c>
      <c r="L1685" s="4">
        <v>126317.53</v>
      </c>
      <c r="M1685" s="4" t="str" cm="1">
        <f t="array" ref="M1685">IF(Excel_Advanced_Sales_Dataset_2000__3[[#This Row],[Total Sales]]&gt;50000,{"Yes"},{"No"})</f>
        <v>Yes</v>
      </c>
      <c r="N1685" s="5">
        <v>46175</v>
      </c>
      <c r="O1685" s="1" t="s">
        <v>68</v>
      </c>
      <c r="P1685" t="s">
        <v>25</v>
      </c>
      <c r="Q1685" t="str">
        <f>IF(Excel_Advanced_Sales_Dataset_2000__3[[#This Row],[Delivery Status]]="Pending","Follow Up","Ok")</f>
        <v>Follow Up</v>
      </c>
      <c r="R1685" s="1" t="s">
        <v>26</v>
      </c>
      <c r="S1685">
        <f>Excel_Advanced_Sales_Dataset_2000__3[[#This Row],[Quantity]]*Excel_Advanced_Sales_Dataset_2000__3[[#This Row],[Unit Price]]*Excel_Advanced_Sales_Dataset_2000__3[[#This Row],[Discount %]]/100</f>
        <v>12967.429776000001</v>
      </c>
      <c r="T1685" s="4">
        <f>Excel_Advanced_Sales_Dataset_2000__3[[#This Row],[Quantity]]*Excel_Advanced_Sales_Dataset_2000__3[[#This Row],[Unit Price]]-Excel_Advanced_Sales_Dataset_2000__3[[#This Row],[Discount Amount]]</f>
        <v>126317.53022399999</v>
      </c>
    </row>
    <row r="1686" spans="1:20" x14ac:dyDescent="0.25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>
        <v>39</v>
      </c>
      <c r="J1686" s="4">
        <v>27364.92</v>
      </c>
      <c r="K1686" s="6">
        <v>10.8</v>
      </c>
      <c r="L1686" s="4">
        <v>951970.84</v>
      </c>
      <c r="M1686" s="4" t="str" cm="1">
        <f t="array" ref="M1686">IF(Excel_Advanced_Sales_Dataset_2000__3[[#This Row],[Total Sales]]&gt;50000,{"Yes"},{"No"})</f>
        <v>Yes</v>
      </c>
      <c r="N1686" s="5">
        <v>46316</v>
      </c>
      <c r="O1686" s="1" t="s">
        <v>68</v>
      </c>
      <c r="P1686" t="s">
        <v>35</v>
      </c>
      <c r="Q1686" t="str">
        <f>IF(Excel_Advanced_Sales_Dataset_2000__3[[#This Row],[Delivery Status]]="Pending","Follow Up","Ok")</f>
        <v>Ok</v>
      </c>
      <c r="R1686" s="1" t="s">
        <v>53</v>
      </c>
      <c r="S1686">
        <f>Excel_Advanced_Sales_Dataset_2000__3[[#This Row],[Quantity]]*Excel_Advanced_Sales_Dataset_2000__3[[#This Row],[Unit Price]]*Excel_Advanced_Sales_Dataset_2000__3[[#This Row],[Discount %]]/100</f>
        <v>115261.04303999999</v>
      </c>
      <c r="T1686" s="4">
        <f>Excel_Advanced_Sales_Dataset_2000__3[[#This Row],[Quantity]]*Excel_Advanced_Sales_Dataset_2000__3[[#This Row],[Unit Price]]-Excel_Advanced_Sales_Dataset_2000__3[[#This Row],[Discount Amount]]</f>
        <v>951970.83695999987</v>
      </c>
    </row>
    <row r="1687" spans="1:20" x14ac:dyDescent="0.25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>
        <v>45</v>
      </c>
      <c r="J1687" s="4">
        <v>15239.58</v>
      </c>
      <c r="K1687" s="6">
        <v>11.71</v>
      </c>
      <c r="L1687" s="4">
        <v>605476.13</v>
      </c>
      <c r="M1687" s="4" t="str" cm="1">
        <f t="array" ref="M1687">IF(Excel_Advanced_Sales_Dataset_2000__3[[#This Row],[Total Sales]]&gt;50000,{"Yes"},{"No"})</f>
        <v>Yes</v>
      </c>
      <c r="N1687" s="5">
        <v>46057</v>
      </c>
      <c r="O1687" s="1" t="s">
        <v>58</v>
      </c>
      <c r="P1687" t="s">
        <v>25</v>
      </c>
      <c r="Q1687" t="str">
        <f>IF(Excel_Advanced_Sales_Dataset_2000__3[[#This Row],[Delivery Status]]="Pending","Follow Up","Ok")</f>
        <v>Follow Up</v>
      </c>
      <c r="R1687" s="1" t="s">
        <v>26</v>
      </c>
      <c r="S1687">
        <f>Excel_Advanced_Sales_Dataset_2000__3[[#This Row],[Quantity]]*Excel_Advanced_Sales_Dataset_2000__3[[#This Row],[Unit Price]]*Excel_Advanced_Sales_Dataset_2000__3[[#This Row],[Discount %]]/100</f>
        <v>80304.966809999998</v>
      </c>
      <c r="T1687" s="4">
        <f>Excel_Advanced_Sales_Dataset_2000__3[[#This Row],[Quantity]]*Excel_Advanced_Sales_Dataset_2000__3[[#This Row],[Unit Price]]-Excel_Advanced_Sales_Dataset_2000__3[[#This Row],[Discount Amount]]</f>
        <v>605476.13318999996</v>
      </c>
    </row>
    <row r="1688" spans="1:20" x14ac:dyDescent="0.25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>
        <v>17</v>
      </c>
      <c r="J1688" s="4">
        <v>20259.060000000001</v>
      </c>
      <c r="K1688" s="6">
        <v>11.14</v>
      </c>
      <c r="L1688" s="4">
        <v>306037.40999999997</v>
      </c>
      <c r="M1688" s="4" t="str" cm="1">
        <f t="array" ref="M1688">IF(Excel_Advanced_Sales_Dataset_2000__3[[#This Row],[Total Sales]]&gt;50000,{"Yes"},{"No"})</f>
        <v>Yes</v>
      </c>
      <c r="N1688" s="5">
        <v>46247</v>
      </c>
      <c r="O1688" s="1" t="s">
        <v>113</v>
      </c>
      <c r="P1688" t="s">
        <v>35</v>
      </c>
      <c r="Q1688" t="str">
        <f>IF(Excel_Advanced_Sales_Dataset_2000__3[[#This Row],[Delivery Status]]="Pending","Follow Up","Ok")</f>
        <v>Ok</v>
      </c>
      <c r="R1688" s="1" t="s">
        <v>53</v>
      </c>
      <c r="S1688">
        <f>Excel_Advanced_Sales_Dataset_2000__3[[#This Row],[Quantity]]*Excel_Advanced_Sales_Dataset_2000__3[[#This Row],[Unit Price]]*Excel_Advanced_Sales_Dataset_2000__3[[#This Row],[Discount %]]/100</f>
        <v>38366.607828000007</v>
      </c>
      <c r="T1688" s="4">
        <f>Excel_Advanced_Sales_Dataset_2000__3[[#This Row],[Quantity]]*Excel_Advanced_Sales_Dataset_2000__3[[#This Row],[Unit Price]]-Excel_Advanced_Sales_Dataset_2000__3[[#This Row],[Discount Amount]]</f>
        <v>306037.41217200004</v>
      </c>
    </row>
    <row r="1689" spans="1:20" x14ac:dyDescent="0.25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>
        <v>46</v>
      </c>
      <c r="J1689" s="4">
        <v>20590.72</v>
      </c>
      <c r="K1689" s="6">
        <v>7.89</v>
      </c>
      <c r="L1689" s="4">
        <v>872441.16</v>
      </c>
      <c r="M1689" s="4" t="str" cm="1">
        <f t="array" ref="M1689">IF(Excel_Advanced_Sales_Dataset_2000__3[[#This Row],[Total Sales]]&gt;50000,{"Yes"},{"No"})</f>
        <v>Yes</v>
      </c>
      <c r="N1689" s="5">
        <v>46106</v>
      </c>
      <c r="O1689" s="1" t="s">
        <v>45</v>
      </c>
      <c r="P1689" t="s">
        <v>35</v>
      </c>
      <c r="Q1689" t="str">
        <f>IF(Excel_Advanced_Sales_Dataset_2000__3[[#This Row],[Delivery Status]]="Pending","Follow Up","Ok")</f>
        <v>Ok</v>
      </c>
      <c r="R1689" s="1" t="s">
        <v>53</v>
      </c>
      <c r="S1689">
        <f>Excel_Advanced_Sales_Dataset_2000__3[[#This Row],[Quantity]]*Excel_Advanced_Sales_Dataset_2000__3[[#This Row],[Unit Price]]*Excel_Advanced_Sales_Dataset_2000__3[[#This Row],[Discount %]]/100</f>
        <v>74731.959168000001</v>
      </c>
      <c r="T1689" s="4">
        <f>Excel_Advanced_Sales_Dataset_2000__3[[#This Row],[Quantity]]*Excel_Advanced_Sales_Dataset_2000__3[[#This Row],[Unit Price]]-Excel_Advanced_Sales_Dataset_2000__3[[#This Row],[Discount Amount]]</f>
        <v>872441.16083200008</v>
      </c>
    </row>
    <row r="1690" spans="1:20" x14ac:dyDescent="0.25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>
        <v>16</v>
      </c>
      <c r="J1690" s="4">
        <v>37144.49</v>
      </c>
      <c r="K1690" s="6">
        <v>4.51</v>
      </c>
      <c r="L1690" s="4">
        <v>567508.38</v>
      </c>
      <c r="M1690" s="4" t="str" cm="1">
        <f t="array" ref="M1690">IF(Excel_Advanced_Sales_Dataset_2000__3[[#This Row],[Total Sales]]&gt;50000,{"Yes"},{"No"})</f>
        <v>Yes</v>
      </c>
      <c r="N1690" s="5">
        <v>46043</v>
      </c>
      <c r="O1690" s="1" t="s">
        <v>58</v>
      </c>
      <c r="P1690" t="s">
        <v>35</v>
      </c>
      <c r="Q1690" t="str">
        <f>IF(Excel_Advanced_Sales_Dataset_2000__3[[#This Row],[Delivery Status]]="Pending","Follow Up","Ok")</f>
        <v>Ok</v>
      </c>
      <c r="R1690" s="1" t="s">
        <v>36</v>
      </c>
      <c r="S1690">
        <f>Excel_Advanced_Sales_Dataset_2000__3[[#This Row],[Quantity]]*Excel_Advanced_Sales_Dataset_2000__3[[#This Row],[Unit Price]]*Excel_Advanced_Sales_Dataset_2000__3[[#This Row],[Discount %]]/100</f>
        <v>26803.463983999998</v>
      </c>
      <c r="T1690" s="4">
        <f>Excel_Advanced_Sales_Dataset_2000__3[[#This Row],[Quantity]]*Excel_Advanced_Sales_Dataset_2000__3[[#This Row],[Unit Price]]-Excel_Advanced_Sales_Dataset_2000__3[[#This Row],[Discount Amount]]</f>
        <v>567508.37601599994</v>
      </c>
    </row>
    <row r="1691" spans="1:20" x14ac:dyDescent="0.25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>
        <v>44</v>
      </c>
      <c r="J1691" s="4">
        <v>9757.11</v>
      </c>
      <c r="K1691" s="6">
        <v>2.48</v>
      </c>
      <c r="L1691" s="4">
        <v>418665.88</v>
      </c>
      <c r="M1691" s="4" t="str" cm="1">
        <f t="array" ref="M1691">IF(Excel_Advanced_Sales_Dataset_2000__3[[#This Row],[Total Sales]]&gt;50000,{"Yes"},{"No"})</f>
        <v>Yes</v>
      </c>
      <c r="N1691" s="5">
        <v>46212</v>
      </c>
      <c r="O1691" s="1" t="s">
        <v>68</v>
      </c>
      <c r="P1691" t="s">
        <v>35</v>
      </c>
      <c r="Q1691" t="str">
        <f>IF(Excel_Advanced_Sales_Dataset_2000__3[[#This Row],[Delivery Status]]="Pending","Follow Up","Ok")</f>
        <v>Ok</v>
      </c>
      <c r="R1691" s="1" t="s">
        <v>26</v>
      </c>
      <c r="S1691">
        <f>Excel_Advanced_Sales_Dataset_2000__3[[#This Row],[Quantity]]*Excel_Advanced_Sales_Dataset_2000__3[[#This Row],[Unit Price]]*Excel_Advanced_Sales_Dataset_2000__3[[#This Row],[Discount %]]/100</f>
        <v>10646.958431999999</v>
      </c>
      <c r="T1691" s="4">
        <f>Excel_Advanced_Sales_Dataset_2000__3[[#This Row],[Quantity]]*Excel_Advanced_Sales_Dataset_2000__3[[#This Row],[Unit Price]]-Excel_Advanced_Sales_Dataset_2000__3[[#This Row],[Discount Amount]]</f>
        <v>418665.88156800001</v>
      </c>
    </row>
    <row r="1692" spans="1:20" x14ac:dyDescent="0.25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>
        <v>12</v>
      </c>
      <c r="J1692" s="4">
        <v>17423.86</v>
      </c>
      <c r="K1692" s="6">
        <v>15.79</v>
      </c>
      <c r="L1692" s="4">
        <v>176071.59</v>
      </c>
      <c r="M1692" s="4" t="str" cm="1">
        <f t="array" ref="M1692">IF(Excel_Advanced_Sales_Dataset_2000__3[[#This Row],[Total Sales]]&gt;50000,{"Yes"},{"No"})</f>
        <v>Yes</v>
      </c>
      <c r="N1692" s="5">
        <v>46242</v>
      </c>
      <c r="O1692" s="1" t="s">
        <v>58</v>
      </c>
      <c r="P1692" t="s">
        <v>35</v>
      </c>
      <c r="Q1692" t="str">
        <f>IF(Excel_Advanced_Sales_Dataset_2000__3[[#This Row],[Delivery Status]]="Pending","Follow Up","Ok")</f>
        <v>Ok</v>
      </c>
      <c r="R1692" s="1" t="s">
        <v>53</v>
      </c>
      <c r="S1692">
        <f>Excel_Advanced_Sales_Dataset_2000__3[[#This Row],[Quantity]]*Excel_Advanced_Sales_Dataset_2000__3[[#This Row],[Unit Price]]*Excel_Advanced_Sales_Dataset_2000__3[[#This Row],[Discount %]]/100</f>
        <v>33014.729928000001</v>
      </c>
      <c r="T1692" s="4">
        <f>Excel_Advanced_Sales_Dataset_2000__3[[#This Row],[Quantity]]*Excel_Advanced_Sales_Dataset_2000__3[[#This Row],[Unit Price]]-Excel_Advanced_Sales_Dataset_2000__3[[#This Row],[Discount Amount]]</f>
        <v>176071.59007199999</v>
      </c>
    </row>
    <row r="1693" spans="1:20" x14ac:dyDescent="0.25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>
        <v>25</v>
      </c>
      <c r="J1693" s="4">
        <v>9036.2999999999993</v>
      </c>
      <c r="K1693" s="6">
        <v>0.67</v>
      </c>
      <c r="L1693" s="4">
        <v>224393.92</v>
      </c>
      <c r="M1693" s="4" t="str" cm="1">
        <f t="array" ref="M1693">IF(Excel_Advanced_Sales_Dataset_2000__3[[#This Row],[Total Sales]]&gt;50000,{"Yes"},{"No"})</f>
        <v>Yes</v>
      </c>
      <c r="N1693" s="5">
        <v>46050</v>
      </c>
      <c r="O1693" s="1" t="s">
        <v>58</v>
      </c>
      <c r="P1693" t="s">
        <v>35</v>
      </c>
      <c r="Q1693" t="str">
        <f>IF(Excel_Advanced_Sales_Dataset_2000__3[[#This Row],[Delivery Status]]="Pending","Follow Up","Ok")</f>
        <v>Ok</v>
      </c>
      <c r="R1693" s="1" t="s">
        <v>26</v>
      </c>
      <c r="S1693">
        <f>Excel_Advanced_Sales_Dataset_2000__3[[#This Row],[Quantity]]*Excel_Advanced_Sales_Dataset_2000__3[[#This Row],[Unit Price]]*Excel_Advanced_Sales_Dataset_2000__3[[#This Row],[Discount %]]/100</f>
        <v>1513.58025</v>
      </c>
      <c r="T1693" s="4">
        <f>Excel_Advanced_Sales_Dataset_2000__3[[#This Row],[Quantity]]*Excel_Advanced_Sales_Dataset_2000__3[[#This Row],[Unit Price]]-Excel_Advanced_Sales_Dataset_2000__3[[#This Row],[Discount Amount]]</f>
        <v>224393.91974999997</v>
      </c>
    </row>
    <row r="1694" spans="1:20" x14ac:dyDescent="0.25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>
        <v>32</v>
      </c>
      <c r="J1694" s="4">
        <v>28786.34</v>
      </c>
      <c r="K1694" s="6">
        <v>6.51</v>
      </c>
      <c r="L1694" s="4">
        <v>861195.18</v>
      </c>
      <c r="M1694" s="4" t="str" cm="1">
        <f t="array" ref="M1694">IF(Excel_Advanced_Sales_Dataset_2000__3[[#This Row],[Total Sales]]&gt;50000,{"Yes"},{"No"})</f>
        <v>Yes</v>
      </c>
      <c r="N1694" s="5">
        <v>46108</v>
      </c>
      <c r="O1694" s="1" t="s">
        <v>24</v>
      </c>
      <c r="P1694" t="s">
        <v>35</v>
      </c>
      <c r="Q1694" t="str">
        <f>IF(Excel_Advanced_Sales_Dataset_2000__3[[#This Row],[Delivery Status]]="Pending","Follow Up","Ok")</f>
        <v>Ok</v>
      </c>
      <c r="R1694" s="1" t="s">
        <v>53</v>
      </c>
      <c r="S1694">
        <f>Excel_Advanced_Sales_Dataset_2000__3[[#This Row],[Quantity]]*Excel_Advanced_Sales_Dataset_2000__3[[#This Row],[Unit Price]]*Excel_Advanced_Sales_Dataset_2000__3[[#This Row],[Discount %]]/100</f>
        <v>59967.703487999999</v>
      </c>
      <c r="T1694" s="4">
        <f>Excel_Advanced_Sales_Dataset_2000__3[[#This Row],[Quantity]]*Excel_Advanced_Sales_Dataset_2000__3[[#This Row],[Unit Price]]-Excel_Advanced_Sales_Dataset_2000__3[[#This Row],[Discount Amount]]</f>
        <v>861195.17651200003</v>
      </c>
    </row>
    <row r="1695" spans="1:20" x14ac:dyDescent="0.25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>
        <v>35</v>
      </c>
      <c r="J1695" s="4">
        <v>42087.13</v>
      </c>
      <c r="K1695" s="6">
        <v>8.83</v>
      </c>
      <c r="L1695" s="4">
        <v>1342979.27</v>
      </c>
      <c r="M1695" s="4" t="str" cm="1">
        <f t="array" ref="M1695">IF(Excel_Advanced_Sales_Dataset_2000__3[[#This Row],[Total Sales]]&gt;50000,{"Yes"},{"No"})</f>
        <v>Yes</v>
      </c>
      <c r="N1695" s="5">
        <v>46137</v>
      </c>
      <c r="O1695" s="1" t="s">
        <v>24</v>
      </c>
      <c r="P1695" t="s">
        <v>35</v>
      </c>
      <c r="Q1695" t="str">
        <f>IF(Excel_Advanced_Sales_Dataset_2000__3[[#This Row],[Delivery Status]]="Pending","Follow Up","Ok")</f>
        <v>Ok</v>
      </c>
      <c r="R1695" s="1" t="s">
        <v>53</v>
      </c>
      <c r="S1695">
        <f>Excel_Advanced_Sales_Dataset_2000__3[[#This Row],[Quantity]]*Excel_Advanced_Sales_Dataset_2000__3[[#This Row],[Unit Price]]*Excel_Advanced_Sales_Dataset_2000__3[[#This Row],[Discount %]]/100</f>
        <v>130070.27526499997</v>
      </c>
      <c r="T1695" s="4">
        <f>Excel_Advanced_Sales_Dataset_2000__3[[#This Row],[Quantity]]*Excel_Advanced_Sales_Dataset_2000__3[[#This Row],[Unit Price]]-Excel_Advanced_Sales_Dataset_2000__3[[#This Row],[Discount Amount]]</f>
        <v>1342979.2747349998</v>
      </c>
    </row>
    <row r="1696" spans="1:20" x14ac:dyDescent="0.25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>
        <v>35</v>
      </c>
      <c r="J1696" s="4">
        <v>34618.050000000003</v>
      </c>
      <c r="K1696" s="6">
        <v>0.89</v>
      </c>
      <c r="L1696" s="4">
        <v>1200848.23</v>
      </c>
      <c r="M1696" s="4" t="str" cm="1">
        <f t="array" ref="M1696">IF(Excel_Advanced_Sales_Dataset_2000__3[[#This Row],[Total Sales]]&gt;50000,{"Yes"},{"No"})</f>
        <v>Yes</v>
      </c>
      <c r="N1696" s="5">
        <v>46143</v>
      </c>
      <c r="O1696" s="1" t="s">
        <v>24</v>
      </c>
      <c r="P1696" t="s">
        <v>35</v>
      </c>
      <c r="Q1696" t="str">
        <f>IF(Excel_Advanced_Sales_Dataset_2000__3[[#This Row],[Delivery Status]]="Pending","Follow Up","Ok")</f>
        <v>Ok</v>
      </c>
      <c r="R1696" s="1" t="s">
        <v>53</v>
      </c>
      <c r="S1696">
        <f>Excel_Advanced_Sales_Dataset_2000__3[[#This Row],[Quantity]]*Excel_Advanced_Sales_Dataset_2000__3[[#This Row],[Unit Price]]*Excel_Advanced_Sales_Dataset_2000__3[[#This Row],[Discount %]]/100</f>
        <v>10783.522575000001</v>
      </c>
      <c r="T1696" s="4">
        <f>Excel_Advanced_Sales_Dataset_2000__3[[#This Row],[Quantity]]*Excel_Advanced_Sales_Dataset_2000__3[[#This Row],[Unit Price]]-Excel_Advanced_Sales_Dataset_2000__3[[#This Row],[Discount Amount]]</f>
        <v>1200848.2274249999</v>
      </c>
    </row>
    <row r="1697" spans="1:20" x14ac:dyDescent="0.25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>
        <v>17</v>
      </c>
      <c r="J1697" s="4">
        <v>45811.97</v>
      </c>
      <c r="K1697" s="6">
        <v>13.38</v>
      </c>
      <c r="L1697" s="4">
        <v>674599.58</v>
      </c>
      <c r="M1697" s="4" t="str" cm="1">
        <f t="array" ref="M1697">IF(Excel_Advanced_Sales_Dataset_2000__3[[#This Row],[Total Sales]]&gt;50000,{"Yes"},{"No"})</f>
        <v>Yes</v>
      </c>
      <c r="N1697" s="5">
        <v>46077</v>
      </c>
      <c r="O1697" s="1" t="s">
        <v>58</v>
      </c>
      <c r="P1697" t="s">
        <v>35</v>
      </c>
      <c r="Q1697" t="str">
        <f>IF(Excel_Advanced_Sales_Dataset_2000__3[[#This Row],[Delivery Status]]="Pending","Follow Up","Ok")</f>
        <v>Ok</v>
      </c>
      <c r="R1697" s="1" t="s">
        <v>36</v>
      </c>
      <c r="S1697">
        <f>Excel_Advanced_Sales_Dataset_2000__3[[#This Row],[Quantity]]*Excel_Advanced_Sales_Dataset_2000__3[[#This Row],[Unit Price]]*Excel_Advanced_Sales_Dataset_2000__3[[#This Row],[Discount %]]/100</f>
        <v>104203.90696200001</v>
      </c>
      <c r="T1697" s="4">
        <f>Excel_Advanced_Sales_Dataset_2000__3[[#This Row],[Quantity]]*Excel_Advanced_Sales_Dataset_2000__3[[#This Row],[Unit Price]]-Excel_Advanced_Sales_Dataset_2000__3[[#This Row],[Discount Amount]]</f>
        <v>674599.58303799992</v>
      </c>
    </row>
    <row r="1698" spans="1:20" x14ac:dyDescent="0.25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>
        <v>26</v>
      </c>
      <c r="J1698" s="4">
        <v>49449.17</v>
      </c>
      <c r="K1698" s="6">
        <v>7.19</v>
      </c>
      <c r="L1698" s="4">
        <v>1193238.1399999999</v>
      </c>
      <c r="M1698" s="4" t="str" cm="1">
        <f t="array" ref="M1698">IF(Excel_Advanced_Sales_Dataset_2000__3[[#This Row],[Total Sales]]&gt;50000,{"Yes"},{"No"})</f>
        <v>Yes</v>
      </c>
      <c r="N1698" s="5">
        <v>46074</v>
      </c>
      <c r="O1698" s="1" t="s">
        <v>24</v>
      </c>
      <c r="P1698" t="s">
        <v>35</v>
      </c>
      <c r="Q1698" t="str">
        <f>IF(Excel_Advanced_Sales_Dataset_2000__3[[#This Row],[Delivery Status]]="Pending","Follow Up","Ok")</f>
        <v>Ok</v>
      </c>
      <c r="R1698" s="1" t="s">
        <v>53</v>
      </c>
      <c r="S1698">
        <f>Excel_Advanced_Sales_Dataset_2000__3[[#This Row],[Quantity]]*Excel_Advanced_Sales_Dataset_2000__3[[#This Row],[Unit Price]]*Excel_Advanced_Sales_Dataset_2000__3[[#This Row],[Discount %]]/100</f>
        <v>92440.278397999995</v>
      </c>
      <c r="T1698" s="4">
        <f>Excel_Advanced_Sales_Dataset_2000__3[[#This Row],[Quantity]]*Excel_Advanced_Sales_Dataset_2000__3[[#This Row],[Unit Price]]-Excel_Advanced_Sales_Dataset_2000__3[[#This Row],[Discount Amount]]</f>
        <v>1193238.141602</v>
      </c>
    </row>
    <row r="1699" spans="1:20" x14ac:dyDescent="0.25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>
        <v>6</v>
      </c>
      <c r="J1699" s="4">
        <v>11595.1</v>
      </c>
      <c r="K1699" s="6">
        <v>10.72</v>
      </c>
      <c r="L1699" s="4">
        <v>62112.63</v>
      </c>
      <c r="M1699" s="4" t="str" cm="1">
        <f t="array" ref="M1699">IF(Excel_Advanced_Sales_Dataset_2000__3[[#This Row],[Total Sales]]&gt;50000,{"Yes"},{"No"})</f>
        <v>Yes</v>
      </c>
      <c r="N1699" s="5">
        <v>46381</v>
      </c>
      <c r="O1699" s="1" t="s">
        <v>68</v>
      </c>
      <c r="P1699" t="s">
        <v>35</v>
      </c>
      <c r="Q1699" t="str">
        <f>IF(Excel_Advanced_Sales_Dataset_2000__3[[#This Row],[Delivery Status]]="Pending","Follow Up","Ok")</f>
        <v>Ok</v>
      </c>
      <c r="R1699" s="1" t="s">
        <v>53</v>
      </c>
      <c r="S1699">
        <f>Excel_Advanced_Sales_Dataset_2000__3[[#This Row],[Quantity]]*Excel_Advanced_Sales_Dataset_2000__3[[#This Row],[Unit Price]]*Excel_Advanced_Sales_Dataset_2000__3[[#This Row],[Discount %]]/100</f>
        <v>7457.9683200000009</v>
      </c>
      <c r="T1699" s="4">
        <f>Excel_Advanced_Sales_Dataset_2000__3[[#This Row],[Quantity]]*Excel_Advanced_Sales_Dataset_2000__3[[#This Row],[Unit Price]]-Excel_Advanced_Sales_Dataset_2000__3[[#This Row],[Discount Amount]]</f>
        <v>62112.631680000006</v>
      </c>
    </row>
    <row r="1700" spans="1:20" x14ac:dyDescent="0.25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>
        <v>43</v>
      </c>
      <c r="J1700" s="4">
        <v>44829.94</v>
      </c>
      <c r="K1700" s="6">
        <v>10.029999999999999</v>
      </c>
      <c r="L1700" s="4">
        <v>1734340.37</v>
      </c>
      <c r="M1700" s="4" t="str" cm="1">
        <f t="array" ref="M1700">IF(Excel_Advanced_Sales_Dataset_2000__3[[#This Row],[Total Sales]]&gt;50000,{"Yes"},{"No"})</f>
        <v>Yes</v>
      </c>
      <c r="N1700" s="5">
        <v>46026</v>
      </c>
      <c r="O1700" s="1" t="s">
        <v>113</v>
      </c>
      <c r="P1700" t="s">
        <v>35</v>
      </c>
      <c r="Q1700" t="str">
        <f>IF(Excel_Advanced_Sales_Dataset_2000__3[[#This Row],[Delivery Status]]="Pending","Follow Up","Ok")</f>
        <v>Ok</v>
      </c>
      <c r="R1700" s="1" t="s">
        <v>36</v>
      </c>
      <c r="S1700">
        <f>Excel_Advanced_Sales_Dataset_2000__3[[#This Row],[Quantity]]*Excel_Advanced_Sales_Dataset_2000__3[[#This Row],[Unit Price]]*Excel_Advanced_Sales_Dataset_2000__3[[#This Row],[Discount %]]/100</f>
        <v>193347.04822599998</v>
      </c>
      <c r="T1700" s="4">
        <f>Excel_Advanced_Sales_Dataset_2000__3[[#This Row],[Quantity]]*Excel_Advanced_Sales_Dataset_2000__3[[#This Row],[Unit Price]]-Excel_Advanced_Sales_Dataset_2000__3[[#This Row],[Discount Amount]]</f>
        <v>1734340.3717740001</v>
      </c>
    </row>
    <row r="1701" spans="1:20" x14ac:dyDescent="0.25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>
        <v>46</v>
      </c>
      <c r="J1701" s="4">
        <v>42245.98</v>
      </c>
      <c r="K1701" s="6">
        <v>11.39</v>
      </c>
      <c r="L1701" s="4">
        <v>1721971.49</v>
      </c>
      <c r="M1701" s="4" t="str" cm="1">
        <f t="array" ref="M1701">IF(Excel_Advanced_Sales_Dataset_2000__3[[#This Row],[Total Sales]]&gt;50000,{"Yes"},{"No"})</f>
        <v>Yes</v>
      </c>
      <c r="N1701" s="5">
        <v>46275</v>
      </c>
      <c r="O1701" s="1" t="s">
        <v>58</v>
      </c>
      <c r="P1701" t="s">
        <v>35</v>
      </c>
      <c r="Q1701" t="str">
        <f>IF(Excel_Advanced_Sales_Dataset_2000__3[[#This Row],[Delivery Status]]="Pending","Follow Up","Ok")</f>
        <v>Ok</v>
      </c>
      <c r="R1701" s="1" t="s">
        <v>26</v>
      </c>
      <c r="S1701">
        <f>Excel_Advanced_Sales_Dataset_2000__3[[#This Row],[Quantity]]*Excel_Advanced_Sales_Dataset_2000__3[[#This Row],[Unit Price]]*Excel_Advanced_Sales_Dataset_2000__3[[#This Row],[Discount %]]/100</f>
        <v>221343.58761200003</v>
      </c>
      <c r="T1701" s="4">
        <f>Excel_Advanced_Sales_Dataset_2000__3[[#This Row],[Quantity]]*Excel_Advanced_Sales_Dataset_2000__3[[#This Row],[Unit Price]]-Excel_Advanced_Sales_Dataset_2000__3[[#This Row],[Discount Amount]]</f>
        <v>1721971.492388</v>
      </c>
    </row>
    <row r="1702" spans="1:20" x14ac:dyDescent="0.25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>
        <v>14</v>
      </c>
      <c r="J1702" s="4">
        <v>46918.5</v>
      </c>
      <c r="K1702" s="6">
        <v>16.190000000000001</v>
      </c>
      <c r="L1702" s="4">
        <v>550513.53</v>
      </c>
      <c r="M1702" s="4" t="str" cm="1">
        <f t="array" ref="M1702">IF(Excel_Advanced_Sales_Dataset_2000__3[[#This Row],[Total Sales]]&gt;50000,{"Yes"},{"No"})</f>
        <v>Yes</v>
      </c>
      <c r="N1702" s="5">
        <v>46073</v>
      </c>
      <c r="O1702" s="1" t="s">
        <v>58</v>
      </c>
      <c r="P1702" t="s">
        <v>35</v>
      </c>
      <c r="Q1702" t="str">
        <f>IF(Excel_Advanced_Sales_Dataset_2000__3[[#This Row],[Delivery Status]]="Pending","Follow Up","Ok")</f>
        <v>Ok</v>
      </c>
      <c r="R1702" s="1" t="s">
        <v>53</v>
      </c>
      <c r="S1702">
        <f>Excel_Advanced_Sales_Dataset_2000__3[[#This Row],[Quantity]]*Excel_Advanced_Sales_Dataset_2000__3[[#This Row],[Unit Price]]*Excel_Advanced_Sales_Dataset_2000__3[[#This Row],[Discount %]]/100</f>
        <v>106345.47210000001</v>
      </c>
      <c r="T1702" s="4">
        <f>Excel_Advanced_Sales_Dataset_2000__3[[#This Row],[Quantity]]*Excel_Advanced_Sales_Dataset_2000__3[[#This Row],[Unit Price]]-Excel_Advanced_Sales_Dataset_2000__3[[#This Row],[Discount Amount]]</f>
        <v>550513.52789999999</v>
      </c>
    </row>
    <row r="1703" spans="1:20" x14ac:dyDescent="0.25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>
        <v>20</v>
      </c>
      <c r="J1703" s="4">
        <v>17818.009999999998</v>
      </c>
      <c r="K1703" s="6">
        <v>5.74</v>
      </c>
      <c r="L1703" s="4">
        <v>335905.12</v>
      </c>
      <c r="M1703" s="4" t="str" cm="1">
        <f t="array" ref="M1703">IF(Excel_Advanced_Sales_Dataset_2000__3[[#This Row],[Total Sales]]&gt;50000,{"Yes"},{"No"})</f>
        <v>Yes</v>
      </c>
      <c r="N1703" s="5">
        <v>46031</v>
      </c>
      <c r="O1703" s="1" t="s">
        <v>113</v>
      </c>
      <c r="P1703" t="s">
        <v>35</v>
      </c>
      <c r="Q1703" t="str">
        <f>IF(Excel_Advanced_Sales_Dataset_2000__3[[#This Row],[Delivery Status]]="Pending","Follow Up","Ok")</f>
        <v>Ok</v>
      </c>
      <c r="R1703" s="1" t="s">
        <v>53</v>
      </c>
      <c r="S1703">
        <f>Excel_Advanced_Sales_Dataset_2000__3[[#This Row],[Quantity]]*Excel_Advanced_Sales_Dataset_2000__3[[#This Row],[Unit Price]]*Excel_Advanced_Sales_Dataset_2000__3[[#This Row],[Discount %]]/100</f>
        <v>20455.075479999996</v>
      </c>
      <c r="T1703" s="4">
        <f>Excel_Advanced_Sales_Dataset_2000__3[[#This Row],[Quantity]]*Excel_Advanced_Sales_Dataset_2000__3[[#This Row],[Unit Price]]-Excel_Advanced_Sales_Dataset_2000__3[[#This Row],[Discount Amount]]</f>
        <v>335905.12451999995</v>
      </c>
    </row>
    <row r="1704" spans="1:20" x14ac:dyDescent="0.25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>
        <v>25</v>
      </c>
      <c r="J1704" s="4">
        <v>46531.8</v>
      </c>
      <c r="K1704" s="6">
        <v>17.32</v>
      </c>
      <c r="L1704" s="4">
        <v>961812.31</v>
      </c>
      <c r="M1704" s="4" t="str" cm="1">
        <f t="array" ref="M1704">IF(Excel_Advanced_Sales_Dataset_2000__3[[#This Row],[Total Sales]]&gt;50000,{"Yes"},{"No"})</f>
        <v>Yes</v>
      </c>
      <c r="N1704" s="5">
        <v>46249</v>
      </c>
      <c r="O1704" s="1" t="s">
        <v>58</v>
      </c>
      <c r="P1704" t="s">
        <v>35</v>
      </c>
      <c r="Q1704" t="str">
        <f>IF(Excel_Advanced_Sales_Dataset_2000__3[[#This Row],[Delivery Status]]="Pending","Follow Up","Ok")</f>
        <v>Ok</v>
      </c>
      <c r="R1704" s="1" t="s">
        <v>26</v>
      </c>
      <c r="S1704">
        <f>Excel_Advanced_Sales_Dataset_2000__3[[#This Row],[Quantity]]*Excel_Advanced_Sales_Dataset_2000__3[[#This Row],[Unit Price]]*Excel_Advanced_Sales_Dataset_2000__3[[#This Row],[Discount %]]/100</f>
        <v>201482.69399999999</v>
      </c>
      <c r="T1704" s="4">
        <f>Excel_Advanced_Sales_Dataset_2000__3[[#This Row],[Quantity]]*Excel_Advanced_Sales_Dataset_2000__3[[#This Row],[Unit Price]]-Excel_Advanced_Sales_Dataset_2000__3[[#This Row],[Discount Amount]]</f>
        <v>961812.30599999998</v>
      </c>
    </row>
    <row r="1705" spans="1:20" x14ac:dyDescent="0.25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>
        <v>46</v>
      </c>
      <c r="J1705" s="4">
        <v>35969.120000000003</v>
      </c>
      <c r="K1705" s="6">
        <v>3.95</v>
      </c>
      <c r="L1705" s="4">
        <v>1589223.63</v>
      </c>
      <c r="M1705" s="4" t="str" cm="1">
        <f t="array" ref="M1705">IF(Excel_Advanced_Sales_Dataset_2000__3[[#This Row],[Total Sales]]&gt;50000,{"Yes"},{"No"})</f>
        <v>Yes</v>
      </c>
      <c r="N1705" s="5">
        <v>46295</v>
      </c>
      <c r="O1705" s="1" t="s">
        <v>113</v>
      </c>
      <c r="P1705" t="s">
        <v>35</v>
      </c>
      <c r="Q1705" t="str">
        <f>IF(Excel_Advanced_Sales_Dataset_2000__3[[#This Row],[Delivery Status]]="Pending","Follow Up","Ok")</f>
        <v>Ok</v>
      </c>
      <c r="R1705" s="1" t="s">
        <v>53</v>
      </c>
      <c r="S1705">
        <f>Excel_Advanced_Sales_Dataset_2000__3[[#This Row],[Quantity]]*Excel_Advanced_Sales_Dataset_2000__3[[#This Row],[Unit Price]]*Excel_Advanced_Sales_Dataset_2000__3[[#This Row],[Discount %]]/100</f>
        <v>65355.891040000002</v>
      </c>
      <c r="T1705" s="4">
        <f>Excel_Advanced_Sales_Dataset_2000__3[[#This Row],[Quantity]]*Excel_Advanced_Sales_Dataset_2000__3[[#This Row],[Unit Price]]-Excel_Advanced_Sales_Dataset_2000__3[[#This Row],[Discount Amount]]</f>
        <v>1589223.6289600001</v>
      </c>
    </row>
    <row r="1706" spans="1:20" x14ac:dyDescent="0.25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>
        <v>16</v>
      </c>
      <c r="J1706" s="4">
        <v>29256.080000000002</v>
      </c>
      <c r="K1706" s="6">
        <v>10.25</v>
      </c>
      <c r="L1706" s="4">
        <v>420117.31</v>
      </c>
      <c r="M1706" s="4" t="str" cm="1">
        <f t="array" ref="M1706">IF(Excel_Advanced_Sales_Dataset_2000__3[[#This Row],[Total Sales]]&gt;50000,{"Yes"},{"No"})</f>
        <v>Yes</v>
      </c>
      <c r="N1706" s="5">
        <v>46124</v>
      </c>
      <c r="O1706" s="1" t="s">
        <v>24</v>
      </c>
      <c r="P1706" t="s">
        <v>35</v>
      </c>
      <c r="Q1706" t="str">
        <f>IF(Excel_Advanced_Sales_Dataset_2000__3[[#This Row],[Delivery Status]]="Pending","Follow Up","Ok")</f>
        <v>Ok</v>
      </c>
      <c r="R1706" s="1" t="s">
        <v>53</v>
      </c>
      <c r="S1706">
        <f>Excel_Advanced_Sales_Dataset_2000__3[[#This Row],[Quantity]]*Excel_Advanced_Sales_Dataset_2000__3[[#This Row],[Unit Price]]*Excel_Advanced_Sales_Dataset_2000__3[[#This Row],[Discount %]]/100</f>
        <v>47979.9712</v>
      </c>
      <c r="T1706" s="4">
        <f>Excel_Advanced_Sales_Dataset_2000__3[[#This Row],[Quantity]]*Excel_Advanced_Sales_Dataset_2000__3[[#This Row],[Unit Price]]-Excel_Advanced_Sales_Dataset_2000__3[[#This Row],[Discount Amount]]</f>
        <v>420117.3088</v>
      </c>
    </row>
    <row r="1707" spans="1:20" x14ac:dyDescent="0.25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>
        <v>9</v>
      </c>
      <c r="J1707" s="4">
        <v>20348.36</v>
      </c>
      <c r="K1707" s="6">
        <v>3.89</v>
      </c>
      <c r="L1707" s="4">
        <v>176011.28</v>
      </c>
      <c r="M1707" s="4" t="str" cm="1">
        <f t="array" ref="M1707">IF(Excel_Advanced_Sales_Dataset_2000__3[[#This Row],[Total Sales]]&gt;50000,{"Yes"},{"No"})</f>
        <v>Yes</v>
      </c>
      <c r="N1707" s="5">
        <v>46188</v>
      </c>
      <c r="O1707" s="1" t="s">
        <v>45</v>
      </c>
      <c r="P1707" t="s">
        <v>35</v>
      </c>
      <c r="Q1707" t="str">
        <f>IF(Excel_Advanced_Sales_Dataset_2000__3[[#This Row],[Delivery Status]]="Pending","Follow Up","Ok")</f>
        <v>Ok</v>
      </c>
      <c r="R1707" s="1" t="s">
        <v>36</v>
      </c>
      <c r="S1707">
        <f>Excel_Advanced_Sales_Dataset_2000__3[[#This Row],[Quantity]]*Excel_Advanced_Sales_Dataset_2000__3[[#This Row],[Unit Price]]*Excel_Advanced_Sales_Dataset_2000__3[[#This Row],[Discount %]]/100</f>
        <v>7123.9608360000002</v>
      </c>
      <c r="T1707" s="4">
        <f>Excel_Advanced_Sales_Dataset_2000__3[[#This Row],[Quantity]]*Excel_Advanced_Sales_Dataset_2000__3[[#This Row],[Unit Price]]-Excel_Advanced_Sales_Dataset_2000__3[[#This Row],[Discount Amount]]</f>
        <v>176011.27916399998</v>
      </c>
    </row>
    <row r="1708" spans="1:20" x14ac:dyDescent="0.25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>
        <v>22</v>
      </c>
      <c r="J1708" s="4">
        <v>27054.720000000001</v>
      </c>
      <c r="K1708" s="6">
        <v>19.53</v>
      </c>
      <c r="L1708" s="4">
        <v>478960.53</v>
      </c>
      <c r="M1708" s="4" t="str" cm="1">
        <f t="array" ref="M1708">IF(Excel_Advanced_Sales_Dataset_2000__3[[#This Row],[Total Sales]]&gt;50000,{"Yes"},{"No"})</f>
        <v>Yes</v>
      </c>
      <c r="N1708" s="5">
        <v>46305</v>
      </c>
      <c r="O1708" s="1" t="s">
        <v>24</v>
      </c>
      <c r="P1708" t="s">
        <v>59</v>
      </c>
      <c r="Q1708" t="str">
        <f>IF(Excel_Advanced_Sales_Dataset_2000__3[[#This Row],[Delivery Status]]="Pending","Follow Up","Ok")</f>
        <v>Ok</v>
      </c>
      <c r="R1708" s="1" t="s">
        <v>53</v>
      </c>
      <c r="S1708">
        <f>Excel_Advanced_Sales_Dataset_2000__3[[#This Row],[Quantity]]*Excel_Advanced_Sales_Dataset_2000__3[[#This Row],[Unit Price]]*Excel_Advanced_Sales_Dataset_2000__3[[#This Row],[Discount %]]/100</f>
        <v>116243.30995200003</v>
      </c>
      <c r="T1708" s="4">
        <f>Excel_Advanced_Sales_Dataset_2000__3[[#This Row],[Quantity]]*Excel_Advanced_Sales_Dataset_2000__3[[#This Row],[Unit Price]]-Excel_Advanced_Sales_Dataset_2000__3[[#This Row],[Discount Amount]]</f>
        <v>478960.53004800004</v>
      </c>
    </row>
    <row r="1709" spans="1:20" x14ac:dyDescent="0.25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>
        <v>43</v>
      </c>
      <c r="J1709" s="4">
        <v>627.82000000000005</v>
      </c>
      <c r="K1709" s="6">
        <v>18.350000000000001</v>
      </c>
      <c r="L1709" s="4">
        <v>22042.45</v>
      </c>
      <c r="M1709" s="4" t="str" cm="1">
        <f t="array" ref="M1709">IF(Excel_Advanced_Sales_Dataset_2000__3[[#This Row],[Total Sales]]&gt;50000,{"Yes"},{"No"})</f>
        <v>No</v>
      </c>
      <c r="N1709" s="5">
        <v>46192</v>
      </c>
      <c r="O1709" s="1" t="s">
        <v>113</v>
      </c>
      <c r="P1709" t="s">
        <v>35</v>
      </c>
      <c r="Q1709" t="str">
        <f>IF(Excel_Advanced_Sales_Dataset_2000__3[[#This Row],[Delivery Status]]="Pending","Follow Up","Ok")</f>
        <v>Ok</v>
      </c>
      <c r="R1709" s="1" t="s">
        <v>53</v>
      </c>
      <c r="S1709">
        <f>Excel_Advanced_Sales_Dataset_2000__3[[#This Row],[Quantity]]*Excel_Advanced_Sales_Dataset_2000__3[[#This Row],[Unit Price]]*Excel_Advanced_Sales_Dataset_2000__3[[#This Row],[Discount %]]/100</f>
        <v>4953.8137100000013</v>
      </c>
      <c r="T1709" s="4">
        <f>Excel_Advanced_Sales_Dataset_2000__3[[#This Row],[Quantity]]*Excel_Advanced_Sales_Dataset_2000__3[[#This Row],[Unit Price]]-Excel_Advanced_Sales_Dataset_2000__3[[#This Row],[Discount Amount]]</f>
        <v>22042.44629</v>
      </c>
    </row>
    <row r="1710" spans="1:20" x14ac:dyDescent="0.25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>
        <v>21</v>
      </c>
      <c r="J1710" s="4">
        <v>39544.79</v>
      </c>
      <c r="K1710" s="6">
        <v>0.66</v>
      </c>
      <c r="L1710" s="4">
        <v>824959.68</v>
      </c>
      <c r="M1710" s="4" t="str" cm="1">
        <f t="array" ref="M1710">IF(Excel_Advanced_Sales_Dataset_2000__3[[#This Row],[Total Sales]]&gt;50000,{"Yes"},{"No"})</f>
        <v>Yes</v>
      </c>
      <c r="N1710" s="5">
        <v>46032</v>
      </c>
      <c r="O1710" s="1" t="s">
        <v>113</v>
      </c>
      <c r="P1710" t="s">
        <v>35</v>
      </c>
      <c r="Q1710" t="str">
        <f>IF(Excel_Advanced_Sales_Dataset_2000__3[[#This Row],[Delivery Status]]="Pending","Follow Up","Ok")</f>
        <v>Ok</v>
      </c>
      <c r="R1710" s="1" t="s">
        <v>36</v>
      </c>
      <c r="S1710">
        <f>Excel_Advanced_Sales_Dataset_2000__3[[#This Row],[Quantity]]*Excel_Advanced_Sales_Dataset_2000__3[[#This Row],[Unit Price]]*Excel_Advanced_Sales_Dataset_2000__3[[#This Row],[Discount %]]/100</f>
        <v>5480.9078939999999</v>
      </c>
      <c r="T1710" s="4">
        <f>Excel_Advanced_Sales_Dataset_2000__3[[#This Row],[Quantity]]*Excel_Advanced_Sales_Dataset_2000__3[[#This Row],[Unit Price]]-Excel_Advanced_Sales_Dataset_2000__3[[#This Row],[Discount Amount]]</f>
        <v>824959.68210600002</v>
      </c>
    </row>
    <row r="1711" spans="1:20" x14ac:dyDescent="0.25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>
        <v>50</v>
      </c>
      <c r="J1711" s="4">
        <v>18776.62</v>
      </c>
      <c r="K1711" s="6">
        <v>7.65</v>
      </c>
      <c r="L1711" s="4">
        <v>867010.43</v>
      </c>
      <c r="M1711" s="4" t="str" cm="1">
        <f t="array" ref="M1711">IF(Excel_Advanced_Sales_Dataset_2000__3[[#This Row],[Total Sales]]&gt;50000,{"Yes"},{"No"})</f>
        <v>Yes</v>
      </c>
      <c r="N1711" s="5">
        <v>46155</v>
      </c>
      <c r="O1711" s="1" t="s">
        <v>113</v>
      </c>
      <c r="P1711" t="s">
        <v>35</v>
      </c>
      <c r="Q1711" t="str">
        <f>IF(Excel_Advanced_Sales_Dataset_2000__3[[#This Row],[Delivery Status]]="Pending","Follow Up","Ok")</f>
        <v>Ok</v>
      </c>
      <c r="R1711" s="1" t="s">
        <v>36</v>
      </c>
      <c r="S1711">
        <f>Excel_Advanced_Sales_Dataset_2000__3[[#This Row],[Quantity]]*Excel_Advanced_Sales_Dataset_2000__3[[#This Row],[Unit Price]]*Excel_Advanced_Sales_Dataset_2000__3[[#This Row],[Discount %]]/100</f>
        <v>71820.571500000005</v>
      </c>
      <c r="T1711" s="4">
        <f>Excel_Advanced_Sales_Dataset_2000__3[[#This Row],[Quantity]]*Excel_Advanced_Sales_Dataset_2000__3[[#This Row],[Unit Price]]-Excel_Advanced_Sales_Dataset_2000__3[[#This Row],[Discount Amount]]</f>
        <v>867010.42850000004</v>
      </c>
    </row>
    <row r="1712" spans="1:20" x14ac:dyDescent="0.25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>
        <v>7</v>
      </c>
      <c r="J1712" s="4">
        <v>34141</v>
      </c>
      <c r="K1712" s="6">
        <v>8.9499999999999993</v>
      </c>
      <c r="L1712" s="4">
        <v>217597.66</v>
      </c>
      <c r="M1712" s="4" t="str" cm="1">
        <f t="array" ref="M1712">IF(Excel_Advanced_Sales_Dataset_2000__3[[#This Row],[Total Sales]]&gt;50000,{"Yes"},{"No"})</f>
        <v>Yes</v>
      </c>
      <c r="N1712" s="5">
        <v>46305</v>
      </c>
      <c r="O1712" s="1" t="s">
        <v>68</v>
      </c>
      <c r="P1712" t="s">
        <v>35</v>
      </c>
      <c r="Q1712" t="str">
        <f>IF(Excel_Advanced_Sales_Dataset_2000__3[[#This Row],[Delivery Status]]="Pending","Follow Up","Ok")</f>
        <v>Ok</v>
      </c>
      <c r="R1712" s="1" t="s">
        <v>53</v>
      </c>
      <c r="S1712">
        <f>Excel_Advanced_Sales_Dataset_2000__3[[#This Row],[Quantity]]*Excel_Advanced_Sales_Dataset_2000__3[[#This Row],[Unit Price]]*Excel_Advanced_Sales_Dataset_2000__3[[#This Row],[Discount %]]/100</f>
        <v>21389.336499999998</v>
      </c>
      <c r="T1712" s="4">
        <f>Excel_Advanced_Sales_Dataset_2000__3[[#This Row],[Quantity]]*Excel_Advanced_Sales_Dataset_2000__3[[#This Row],[Unit Price]]-Excel_Advanced_Sales_Dataset_2000__3[[#This Row],[Discount Amount]]</f>
        <v>217597.6635</v>
      </c>
    </row>
    <row r="1713" spans="1:20" x14ac:dyDescent="0.25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>
        <v>47</v>
      </c>
      <c r="J1713" s="4">
        <v>10128.15</v>
      </c>
      <c r="K1713" s="6">
        <v>18.98</v>
      </c>
      <c r="L1713" s="4">
        <v>385673.88</v>
      </c>
      <c r="M1713" s="4" t="str" cm="1">
        <f t="array" ref="M1713">IF(Excel_Advanced_Sales_Dataset_2000__3[[#This Row],[Total Sales]]&gt;50000,{"Yes"},{"No"})</f>
        <v>Yes</v>
      </c>
      <c r="N1713" s="5">
        <v>46363</v>
      </c>
      <c r="O1713" s="1" t="s">
        <v>45</v>
      </c>
      <c r="P1713" t="s">
        <v>35</v>
      </c>
      <c r="Q1713" t="str">
        <f>IF(Excel_Advanced_Sales_Dataset_2000__3[[#This Row],[Delivery Status]]="Pending","Follow Up","Ok")</f>
        <v>Ok</v>
      </c>
      <c r="R1713" s="1" t="s">
        <v>53</v>
      </c>
      <c r="S1713">
        <f>Excel_Advanced_Sales_Dataset_2000__3[[#This Row],[Quantity]]*Excel_Advanced_Sales_Dataset_2000__3[[#This Row],[Unit Price]]*Excel_Advanced_Sales_Dataset_2000__3[[#This Row],[Discount %]]/100</f>
        <v>90349.174889999995</v>
      </c>
      <c r="T1713" s="4">
        <f>Excel_Advanced_Sales_Dataset_2000__3[[#This Row],[Quantity]]*Excel_Advanced_Sales_Dataset_2000__3[[#This Row],[Unit Price]]-Excel_Advanced_Sales_Dataset_2000__3[[#This Row],[Discount Amount]]</f>
        <v>385673.87511000002</v>
      </c>
    </row>
    <row r="1714" spans="1:20" x14ac:dyDescent="0.25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>
        <v>23</v>
      </c>
      <c r="J1714" s="4">
        <v>21790.87</v>
      </c>
      <c r="K1714" s="6">
        <v>6.46</v>
      </c>
      <c r="L1714" s="4">
        <v>468813.14</v>
      </c>
      <c r="M1714" s="4" t="str" cm="1">
        <f t="array" ref="M1714">IF(Excel_Advanced_Sales_Dataset_2000__3[[#This Row],[Total Sales]]&gt;50000,{"Yes"},{"No"})</f>
        <v>Yes</v>
      </c>
      <c r="N1714" s="5">
        <v>46229</v>
      </c>
      <c r="O1714" s="1" t="s">
        <v>24</v>
      </c>
      <c r="P1714" t="s">
        <v>35</v>
      </c>
      <c r="Q1714" t="str">
        <f>IF(Excel_Advanced_Sales_Dataset_2000__3[[#This Row],[Delivery Status]]="Pending","Follow Up","Ok")</f>
        <v>Ok</v>
      </c>
      <c r="R1714" s="1" t="s">
        <v>26</v>
      </c>
      <c r="S1714">
        <f>Excel_Advanced_Sales_Dataset_2000__3[[#This Row],[Quantity]]*Excel_Advanced_Sales_Dataset_2000__3[[#This Row],[Unit Price]]*Excel_Advanced_Sales_Dataset_2000__3[[#This Row],[Discount %]]/100</f>
        <v>32376.874645999997</v>
      </c>
      <c r="T1714" s="4">
        <f>Excel_Advanced_Sales_Dataset_2000__3[[#This Row],[Quantity]]*Excel_Advanced_Sales_Dataset_2000__3[[#This Row],[Unit Price]]-Excel_Advanced_Sales_Dataset_2000__3[[#This Row],[Discount Amount]]</f>
        <v>468813.13535399997</v>
      </c>
    </row>
    <row r="1715" spans="1:20" x14ac:dyDescent="0.25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>
        <v>24</v>
      </c>
      <c r="J1715" s="4">
        <v>13574.63</v>
      </c>
      <c r="K1715" s="6">
        <v>2.2599999999999998</v>
      </c>
      <c r="L1715" s="4">
        <v>318428.24</v>
      </c>
      <c r="M1715" s="4" t="str" cm="1">
        <f t="array" ref="M1715">IF(Excel_Advanced_Sales_Dataset_2000__3[[#This Row],[Total Sales]]&gt;50000,{"Yes"},{"No"})</f>
        <v>Yes</v>
      </c>
      <c r="N1715" s="5">
        <v>46313</v>
      </c>
      <c r="O1715" s="1" t="s">
        <v>24</v>
      </c>
      <c r="P1715" t="s">
        <v>35</v>
      </c>
      <c r="Q1715" t="str">
        <f>IF(Excel_Advanced_Sales_Dataset_2000__3[[#This Row],[Delivery Status]]="Pending","Follow Up","Ok")</f>
        <v>Ok</v>
      </c>
      <c r="R1715" s="1" t="s">
        <v>36</v>
      </c>
      <c r="S1715">
        <f>Excel_Advanced_Sales_Dataset_2000__3[[#This Row],[Quantity]]*Excel_Advanced_Sales_Dataset_2000__3[[#This Row],[Unit Price]]*Excel_Advanced_Sales_Dataset_2000__3[[#This Row],[Discount %]]/100</f>
        <v>7362.8793119999991</v>
      </c>
      <c r="T1715" s="4">
        <f>Excel_Advanced_Sales_Dataset_2000__3[[#This Row],[Quantity]]*Excel_Advanced_Sales_Dataset_2000__3[[#This Row],[Unit Price]]-Excel_Advanced_Sales_Dataset_2000__3[[#This Row],[Discount Amount]]</f>
        <v>318428.24068799999</v>
      </c>
    </row>
    <row r="1716" spans="1:20" x14ac:dyDescent="0.25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>
        <v>45</v>
      </c>
      <c r="J1716" s="4">
        <v>29437.27</v>
      </c>
      <c r="K1716" s="6">
        <v>5.17</v>
      </c>
      <c r="L1716" s="4">
        <v>1256191.3400000001</v>
      </c>
      <c r="M1716" s="4" t="str" cm="1">
        <f t="array" ref="M1716">IF(Excel_Advanced_Sales_Dataset_2000__3[[#This Row],[Total Sales]]&gt;50000,{"Yes"},{"No"})</f>
        <v>Yes</v>
      </c>
      <c r="N1716" s="5">
        <v>46368</v>
      </c>
      <c r="O1716" s="1" t="s">
        <v>68</v>
      </c>
      <c r="P1716" t="s">
        <v>35</v>
      </c>
      <c r="Q1716" t="str">
        <f>IF(Excel_Advanced_Sales_Dataset_2000__3[[#This Row],[Delivery Status]]="Pending","Follow Up","Ok")</f>
        <v>Ok</v>
      </c>
      <c r="R1716" s="1" t="s">
        <v>26</v>
      </c>
      <c r="S1716">
        <f>Excel_Advanced_Sales_Dataset_2000__3[[#This Row],[Quantity]]*Excel_Advanced_Sales_Dataset_2000__3[[#This Row],[Unit Price]]*Excel_Advanced_Sales_Dataset_2000__3[[#This Row],[Discount %]]/100</f>
        <v>68485.808655000001</v>
      </c>
      <c r="T1716" s="4">
        <f>Excel_Advanced_Sales_Dataset_2000__3[[#This Row],[Quantity]]*Excel_Advanced_Sales_Dataset_2000__3[[#This Row],[Unit Price]]-Excel_Advanced_Sales_Dataset_2000__3[[#This Row],[Discount Amount]]</f>
        <v>1256191.3413449998</v>
      </c>
    </row>
    <row r="1717" spans="1:20" x14ac:dyDescent="0.25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>
        <v>37</v>
      </c>
      <c r="J1717" s="4">
        <v>25386.06</v>
      </c>
      <c r="K1717" s="6">
        <v>5.63</v>
      </c>
      <c r="L1717" s="4">
        <v>886402.52</v>
      </c>
      <c r="M1717" s="4" t="str" cm="1">
        <f t="array" ref="M1717">IF(Excel_Advanced_Sales_Dataset_2000__3[[#This Row],[Total Sales]]&gt;50000,{"Yes"},{"No"})</f>
        <v>Yes</v>
      </c>
      <c r="N1717" s="5">
        <v>46063</v>
      </c>
      <c r="O1717" s="1" t="s">
        <v>24</v>
      </c>
      <c r="P1717" t="s">
        <v>35</v>
      </c>
      <c r="Q1717" t="str">
        <f>IF(Excel_Advanced_Sales_Dataset_2000__3[[#This Row],[Delivery Status]]="Pending","Follow Up","Ok")</f>
        <v>Ok</v>
      </c>
      <c r="R1717" s="1" t="s">
        <v>26</v>
      </c>
      <c r="S1717">
        <f>Excel_Advanced_Sales_Dataset_2000__3[[#This Row],[Quantity]]*Excel_Advanced_Sales_Dataset_2000__3[[#This Row],[Unit Price]]*Excel_Advanced_Sales_Dataset_2000__3[[#This Row],[Discount %]]/100</f>
        <v>52881.70158600001</v>
      </c>
      <c r="T1717" s="4">
        <f>Excel_Advanced_Sales_Dataset_2000__3[[#This Row],[Quantity]]*Excel_Advanced_Sales_Dataset_2000__3[[#This Row],[Unit Price]]-Excel_Advanced_Sales_Dataset_2000__3[[#This Row],[Discount Amount]]</f>
        <v>886402.51841400005</v>
      </c>
    </row>
    <row r="1718" spans="1:20" x14ac:dyDescent="0.25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>
        <v>30</v>
      </c>
      <c r="J1718" s="4">
        <v>9746.64</v>
      </c>
      <c r="K1718" s="6">
        <v>16.690000000000001</v>
      </c>
      <c r="L1718" s="4">
        <v>243597.77</v>
      </c>
      <c r="M1718" s="4" t="str" cm="1">
        <f t="array" ref="M1718">IF(Excel_Advanced_Sales_Dataset_2000__3[[#This Row],[Total Sales]]&gt;50000,{"Yes"},{"No"})</f>
        <v>Yes</v>
      </c>
      <c r="N1718" s="5">
        <v>46165</v>
      </c>
      <c r="O1718" s="1" t="s">
        <v>45</v>
      </c>
      <c r="P1718" t="s">
        <v>25</v>
      </c>
      <c r="Q1718" t="str">
        <f>IF(Excel_Advanced_Sales_Dataset_2000__3[[#This Row],[Delivery Status]]="Pending","Follow Up","Ok")</f>
        <v>Follow Up</v>
      </c>
      <c r="R1718" s="1" t="s">
        <v>36</v>
      </c>
      <c r="S1718">
        <f>Excel_Advanced_Sales_Dataset_2000__3[[#This Row],[Quantity]]*Excel_Advanced_Sales_Dataset_2000__3[[#This Row],[Unit Price]]*Excel_Advanced_Sales_Dataset_2000__3[[#This Row],[Discount %]]/100</f>
        <v>48801.426480000002</v>
      </c>
      <c r="T1718" s="4">
        <f>Excel_Advanced_Sales_Dataset_2000__3[[#This Row],[Quantity]]*Excel_Advanced_Sales_Dataset_2000__3[[#This Row],[Unit Price]]-Excel_Advanced_Sales_Dataset_2000__3[[#This Row],[Discount Amount]]</f>
        <v>243597.77351999996</v>
      </c>
    </row>
    <row r="1719" spans="1:20" x14ac:dyDescent="0.25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>
        <v>21</v>
      </c>
      <c r="J1719" s="4">
        <v>25049.02</v>
      </c>
      <c r="K1719" s="6">
        <v>7.76</v>
      </c>
      <c r="L1719" s="4">
        <v>485209.54</v>
      </c>
      <c r="M1719" s="4" t="str" cm="1">
        <f t="array" ref="M1719">IF(Excel_Advanced_Sales_Dataset_2000__3[[#This Row],[Total Sales]]&gt;50000,{"Yes"},{"No"})</f>
        <v>Yes</v>
      </c>
      <c r="N1719" s="5">
        <v>46033</v>
      </c>
      <c r="O1719" s="1" t="s">
        <v>45</v>
      </c>
      <c r="P1719" t="s">
        <v>35</v>
      </c>
      <c r="Q1719" t="str">
        <f>IF(Excel_Advanced_Sales_Dataset_2000__3[[#This Row],[Delivery Status]]="Pending","Follow Up","Ok")</f>
        <v>Ok</v>
      </c>
      <c r="R1719" s="1" t="s">
        <v>53</v>
      </c>
      <c r="S1719">
        <f>Excel_Advanced_Sales_Dataset_2000__3[[#This Row],[Quantity]]*Excel_Advanced_Sales_Dataset_2000__3[[#This Row],[Unit Price]]*Excel_Advanced_Sales_Dataset_2000__3[[#This Row],[Discount %]]/100</f>
        <v>40819.882991999999</v>
      </c>
      <c r="T1719" s="4">
        <f>Excel_Advanced_Sales_Dataset_2000__3[[#This Row],[Quantity]]*Excel_Advanced_Sales_Dataset_2000__3[[#This Row],[Unit Price]]-Excel_Advanced_Sales_Dataset_2000__3[[#This Row],[Discount Amount]]</f>
        <v>485209.53700800007</v>
      </c>
    </row>
    <row r="1720" spans="1:20" x14ac:dyDescent="0.25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>
        <v>38</v>
      </c>
      <c r="J1720" s="4">
        <v>19567.32</v>
      </c>
      <c r="K1720" s="6">
        <v>6.69</v>
      </c>
      <c r="L1720" s="4">
        <v>693814.12</v>
      </c>
      <c r="M1720" s="4" t="str" cm="1">
        <f t="array" ref="M1720">IF(Excel_Advanced_Sales_Dataset_2000__3[[#This Row],[Total Sales]]&gt;50000,{"Yes"},{"No"})</f>
        <v>Yes</v>
      </c>
      <c r="N1720" s="5">
        <v>46045</v>
      </c>
      <c r="O1720" s="1" t="s">
        <v>113</v>
      </c>
      <c r="P1720" t="s">
        <v>35</v>
      </c>
      <c r="Q1720" t="str">
        <f>IF(Excel_Advanced_Sales_Dataset_2000__3[[#This Row],[Delivery Status]]="Pending","Follow Up","Ok")</f>
        <v>Ok</v>
      </c>
      <c r="R1720" s="1" t="s">
        <v>53</v>
      </c>
      <c r="S1720">
        <f>Excel_Advanced_Sales_Dataset_2000__3[[#This Row],[Quantity]]*Excel_Advanced_Sales_Dataset_2000__3[[#This Row],[Unit Price]]*Excel_Advanced_Sales_Dataset_2000__3[[#This Row],[Discount %]]/100</f>
        <v>49744.040904000001</v>
      </c>
      <c r="T1720" s="4">
        <f>Excel_Advanced_Sales_Dataset_2000__3[[#This Row],[Quantity]]*Excel_Advanced_Sales_Dataset_2000__3[[#This Row],[Unit Price]]-Excel_Advanced_Sales_Dataset_2000__3[[#This Row],[Discount Amount]]</f>
        <v>693814.11909599998</v>
      </c>
    </row>
    <row r="1721" spans="1:20" x14ac:dyDescent="0.25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>
        <v>3</v>
      </c>
      <c r="J1721" s="4">
        <v>15963.31</v>
      </c>
      <c r="K1721" s="6">
        <v>7.04</v>
      </c>
      <c r="L1721" s="4">
        <v>44518.48</v>
      </c>
      <c r="M1721" s="4" t="str" cm="1">
        <f t="array" ref="M1721">IF(Excel_Advanced_Sales_Dataset_2000__3[[#This Row],[Total Sales]]&gt;50000,{"Yes"},{"No"})</f>
        <v>No</v>
      </c>
      <c r="N1721" s="5">
        <v>46199</v>
      </c>
      <c r="O1721" s="1" t="s">
        <v>113</v>
      </c>
      <c r="P1721" t="s">
        <v>35</v>
      </c>
      <c r="Q1721" t="str">
        <f>IF(Excel_Advanced_Sales_Dataset_2000__3[[#This Row],[Delivery Status]]="Pending","Follow Up","Ok")</f>
        <v>Ok</v>
      </c>
      <c r="R1721" s="1" t="s">
        <v>26</v>
      </c>
      <c r="S1721">
        <f>Excel_Advanced_Sales_Dataset_2000__3[[#This Row],[Quantity]]*Excel_Advanced_Sales_Dataset_2000__3[[#This Row],[Unit Price]]*Excel_Advanced_Sales_Dataset_2000__3[[#This Row],[Discount %]]/100</f>
        <v>3371.4510720000003</v>
      </c>
      <c r="T1721" s="4">
        <f>Excel_Advanced_Sales_Dataset_2000__3[[#This Row],[Quantity]]*Excel_Advanced_Sales_Dataset_2000__3[[#This Row],[Unit Price]]-Excel_Advanced_Sales_Dataset_2000__3[[#This Row],[Discount Amount]]</f>
        <v>44518.478927999997</v>
      </c>
    </row>
    <row r="1722" spans="1:20" x14ac:dyDescent="0.25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>
        <v>28</v>
      </c>
      <c r="J1722" s="4">
        <v>48007.59</v>
      </c>
      <c r="K1722" s="6">
        <v>9.1</v>
      </c>
      <c r="L1722" s="4">
        <v>1221889.18</v>
      </c>
      <c r="M1722" s="4" t="str" cm="1">
        <f t="array" ref="M1722">IF(Excel_Advanced_Sales_Dataset_2000__3[[#This Row],[Total Sales]]&gt;50000,{"Yes"},{"No"})</f>
        <v>Yes</v>
      </c>
      <c r="N1722" s="5">
        <v>46066</v>
      </c>
      <c r="O1722" s="1" t="s">
        <v>113</v>
      </c>
      <c r="P1722" t="s">
        <v>35</v>
      </c>
      <c r="Q1722" t="str">
        <f>IF(Excel_Advanced_Sales_Dataset_2000__3[[#This Row],[Delivery Status]]="Pending","Follow Up","Ok")</f>
        <v>Ok</v>
      </c>
      <c r="R1722" s="1" t="s">
        <v>26</v>
      </c>
      <c r="S1722">
        <f>Excel_Advanced_Sales_Dataset_2000__3[[#This Row],[Quantity]]*Excel_Advanced_Sales_Dataset_2000__3[[#This Row],[Unit Price]]*Excel_Advanced_Sales_Dataset_2000__3[[#This Row],[Discount %]]/100</f>
        <v>122323.33932</v>
      </c>
      <c r="T1722" s="4">
        <f>Excel_Advanced_Sales_Dataset_2000__3[[#This Row],[Quantity]]*Excel_Advanced_Sales_Dataset_2000__3[[#This Row],[Unit Price]]-Excel_Advanced_Sales_Dataset_2000__3[[#This Row],[Discount Amount]]</f>
        <v>1221889.18068</v>
      </c>
    </row>
    <row r="1723" spans="1:20" x14ac:dyDescent="0.25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>
        <v>6</v>
      </c>
      <c r="J1723" s="4">
        <v>19111.650000000001</v>
      </c>
      <c r="K1723" s="6">
        <v>9.07</v>
      </c>
      <c r="L1723" s="4">
        <v>104269.34</v>
      </c>
      <c r="M1723" s="4" t="str" cm="1">
        <f t="array" ref="M1723">IF(Excel_Advanced_Sales_Dataset_2000__3[[#This Row],[Total Sales]]&gt;50000,{"Yes"},{"No"})</f>
        <v>Yes</v>
      </c>
      <c r="N1723" s="5">
        <v>46335</v>
      </c>
      <c r="O1723" s="1" t="s">
        <v>68</v>
      </c>
      <c r="P1723" t="s">
        <v>25</v>
      </c>
      <c r="Q1723" t="str">
        <f>IF(Excel_Advanced_Sales_Dataset_2000__3[[#This Row],[Delivery Status]]="Pending","Follow Up","Ok")</f>
        <v>Follow Up</v>
      </c>
      <c r="R1723" s="1" t="s">
        <v>53</v>
      </c>
      <c r="S1723">
        <f>Excel_Advanced_Sales_Dataset_2000__3[[#This Row],[Quantity]]*Excel_Advanced_Sales_Dataset_2000__3[[#This Row],[Unit Price]]*Excel_Advanced_Sales_Dataset_2000__3[[#This Row],[Discount %]]/100</f>
        <v>10400.559930000001</v>
      </c>
      <c r="T1723" s="4">
        <f>Excel_Advanced_Sales_Dataset_2000__3[[#This Row],[Quantity]]*Excel_Advanced_Sales_Dataset_2000__3[[#This Row],[Unit Price]]-Excel_Advanced_Sales_Dataset_2000__3[[#This Row],[Discount Amount]]</f>
        <v>104269.34007000001</v>
      </c>
    </row>
    <row r="1724" spans="1:20" x14ac:dyDescent="0.25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>
        <v>46</v>
      </c>
      <c r="J1724" s="4">
        <v>42809.16</v>
      </c>
      <c r="K1724" s="6">
        <v>18.25</v>
      </c>
      <c r="L1724" s="4">
        <v>1609838.46</v>
      </c>
      <c r="M1724" s="4" t="str" cm="1">
        <f t="array" ref="M1724">IF(Excel_Advanced_Sales_Dataset_2000__3[[#This Row],[Total Sales]]&gt;50000,{"Yes"},{"No"})</f>
        <v>Yes</v>
      </c>
      <c r="N1724" s="5">
        <v>46305</v>
      </c>
      <c r="O1724" s="1" t="s">
        <v>24</v>
      </c>
      <c r="P1724" t="s">
        <v>35</v>
      </c>
      <c r="Q1724" t="str">
        <f>IF(Excel_Advanced_Sales_Dataset_2000__3[[#This Row],[Delivery Status]]="Pending","Follow Up","Ok")</f>
        <v>Ok</v>
      </c>
      <c r="R1724" s="1" t="s">
        <v>36</v>
      </c>
      <c r="S1724">
        <f>Excel_Advanced_Sales_Dataset_2000__3[[#This Row],[Quantity]]*Excel_Advanced_Sales_Dataset_2000__3[[#This Row],[Unit Price]]*Excel_Advanced_Sales_Dataset_2000__3[[#This Row],[Discount %]]/100</f>
        <v>359382.8982</v>
      </c>
      <c r="T1724" s="4">
        <f>Excel_Advanced_Sales_Dataset_2000__3[[#This Row],[Quantity]]*Excel_Advanced_Sales_Dataset_2000__3[[#This Row],[Unit Price]]-Excel_Advanced_Sales_Dataset_2000__3[[#This Row],[Discount Amount]]</f>
        <v>1609838.4618000002</v>
      </c>
    </row>
    <row r="1725" spans="1:20" x14ac:dyDescent="0.25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>
        <v>18</v>
      </c>
      <c r="J1725" s="4">
        <v>10977</v>
      </c>
      <c r="K1725" s="6">
        <v>12.6</v>
      </c>
      <c r="L1725" s="4">
        <v>172690.16</v>
      </c>
      <c r="M1725" s="4" t="str" cm="1">
        <f t="array" ref="M1725">IF(Excel_Advanced_Sales_Dataset_2000__3[[#This Row],[Total Sales]]&gt;50000,{"Yes"},{"No"})</f>
        <v>Yes</v>
      </c>
      <c r="N1725" s="5">
        <v>46074</v>
      </c>
      <c r="O1725" s="1" t="s">
        <v>58</v>
      </c>
      <c r="P1725" t="s">
        <v>25</v>
      </c>
      <c r="Q1725" t="str">
        <f>IF(Excel_Advanced_Sales_Dataset_2000__3[[#This Row],[Delivery Status]]="Pending","Follow Up","Ok")</f>
        <v>Follow Up</v>
      </c>
      <c r="R1725" s="1" t="s">
        <v>36</v>
      </c>
      <c r="S1725">
        <f>Excel_Advanced_Sales_Dataset_2000__3[[#This Row],[Quantity]]*Excel_Advanced_Sales_Dataset_2000__3[[#This Row],[Unit Price]]*Excel_Advanced_Sales_Dataset_2000__3[[#This Row],[Discount %]]/100</f>
        <v>24895.835999999999</v>
      </c>
      <c r="T1725" s="4">
        <f>Excel_Advanced_Sales_Dataset_2000__3[[#This Row],[Quantity]]*Excel_Advanced_Sales_Dataset_2000__3[[#This Row],[Unit Price]]-Excel_Advanced_Sales_Dataset_2000__3[[#This Row],[Discount Amount]]</f>
        <v>172690.16399999999</v>
      </c>
    </row>
    <row r="1726" spans="1:20" x14ac:dyDescent="0.25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>
        <v>3</v>
      </c>
      <c r="J1726" s="4">
        <v>49782.2</v>
      </c>
      <c r="K1726" s="6">
        <v>10.49</v>
      </c>
      <c r="L1726" s="4">
        <v>133680.14000000001</v>
      </c>
      <c r="M1726" s="4" t="str" cm="1">
        <f t="array" ref="M1726">IF(Excel_Advanced_Sales_Dataset_2000__3[[#This Row],[Total Sales]]&gt;50000,{"Yes"},{"No"})</f>
        <v>Yes</v>
      </c>
      <c r="N1726" s="5">
        <v>46347</v>
      </c>
      <c r="O1726" s="1" t="s">
        <v>58</v>
      </c>
      <c r="P1726" t="s">
        <v>35</v>
      </c>
      <c r="Q1726" t="str">
        <f>IF(Excel_Advanced_Sales_Dataset_2000__3[[#This Row],[Delivery Status]]="Pending","Follow Up","Ok")</f>
        <v>Ok</v>
      </c>
      <c r="R1726" s="1" t="s">
        <v>36</v>
      </c>
      <c r="S1726">
        <f>Excel_Advanced_Sales_Dataset_2000__3[[#This Row],[Quantity]]*Excel_Advanced_Sales_Dataset_2000__3[[#This Row],[Unit Price]]*Excel_Advanced_Sales_Dataset_2000__3[[#This Row],[Discount %]]/100</f>
        <v>15666.458339999997</v>
      </c>
      <c r="T1726" s="4">
        <f>Excel_Advanced_Sales_Dataset_2000__3[[#This Row],[Quantity]]*Excel_Advanced_Sales_Dataset_2000__3[[#This Row],[Unit Price]]-Excel_Advanced_Sales_Dataset_2000__3[[#This Row],[Discount Amount]]</f>
        <v>133680.14165999996</v>
      </c>
    </row>
    <row r="1727" spans="1:20" x14ac:dyDescent="0.25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>
        <v>23</v>
      </c>
      <c r="J1727" s="4">
        <v>7825.05</v>
      </c>
      <c r="K1727" s="6">
        <v>3.05</v>
      </c>
      <c r="L1727" s="4">
        <v>174486.88</v>
      </c>
      <c r="M1727" s="4" t="str" cm="1">
        <f t="array" ref="M1727">IF(Excel_Advanced_Sales_Dataset_2000__3[[#This Row],[Total Sales]]&gt;50000,{"Yes"},{"No"})</f>
        <v>Yes</v>
      </c>
      <c r="N1727" s="5">
        <v>46220</v>
      </c>
      <c r="O1727" s="1" t="s">
        <v>45</v>
      </c>
      <c r="P1727" t="s">
        <v>35</v>
      </c>
      <c r="Q1727" t="str">
        <f>IF(Excel_Advanced_Sales_Dataset_2000__3[[#This Row],[Delivery Status]]="Pending","Follow Up","Ok")</f>
        <v>Ok</v>
      </c>
      <c r="R1727" s="1" t="s">
        <v>53</v>
      </c>
      <c r="S1727">
        <f>Excel_Advanced_Sales_Dataset_2000__3[[#This Row],[Quantity]]*Excel_Advanced_Sales_Dataset_2000__3[[#This Row],[Unit Price]]*Excel_Advanced_Sales_Dataset_2000__3[[#This Row],[Discount %]]/100</f>
        <v>5489.2725749999991</v>
      </c>
      <c r="T1727" s="4">
        <f>Excel_Advanced_Sales_Dataset_2000__3[[#This Row],[Quantity]]*Excel_Advanced_Sales_Dataset_2000__3[[#This Row],[Unit Price]]-Excel_Advanced_Sales_Dataset_2000__3[[#This Row],[Discount Amount]]</f>
        <v>174486.87742499998</v>
      </c>
    </row>
    <row r="1728" spans="1:20" x14ac:dyDescent="0.25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>
        <v>20</v>
      </c>
      <c r="J1728" s="4">
        <v>44265.08</v>
      </c>
      <c r="K1728" s="6">
        <v>17.62</v>
      </c>
      <c r="L1728" s="4">
        <v>729311.46</v>
      </c>
      <c r="M1728" s="4" t="str" cm="1">
        <f t="array" ref="M1728">IF(Excel_Advanced_Sales_Dataset_2000__3[[#This Row],[Total Sales]]&gt;50000,{"Yes"},{"No"})</f>
        <v>Yes</v>
      </c>
      <c r="N1728" s="5">
        <v>46164</v>
      </c>
      <c r="O1728" s="1" t="s">
        <v>113</v>
      </c>
      <c r="P1728" t="s">
        <v>35</v>
      </c>
      <c r="Q1728" t="str">
        <f>IF(Excel_Advanced_Sales_Dataset_2000__3[[#This Row],[Delivery Status]]="Pending","Follow Up","Ok")</f>
        <v>Ok</v>
      </c>
      <c r="R1728" s="1" t="s">
        <v>36</v>
      </c>
      <c r="S1728">
        <f>Excel_Advanced_Sales_Dataset_2000__3[[#This Row],[Quantity]]*Excel_Advanced_Sales_Dataset_2000__3[[#This Row],[Unit Price]]*Excel_Advanced_Sales_Dataset_2000__3[[#This Row],[Discount %]]/100</f>
        <v>155990.14192000002</v>
      </c>
      <c r="T1728" s="4">
        <f>Excel_Advanced_Sales_Dataset_2000__3[[#This Row],[Quantity]]*Excel_Advanced_Sales_Dataset_2000__3[[#This Row],[Unit Price]]-Excel_Advanced_Sales_Dataset_2000__3[[#This Row],[Discount Amount]]</f>
        <v>729311.45808000001</v>
      </c>
    </row>
    <row r="1729" spans="1:20" x14ac:dyDescent="0.25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>
        <v>46</v>
      </c>
      <c r="J1729" s="4">
        <v>46561.48</v>
      </c>
      <c r="K1729" s="6">
        <v>3.96</v>
      </c>
      <c r="L1729" s="4">
        <v>2057011.69</v>
      </c>
      <c r="M1729" s="4" t="str" cm="1">
        <f t="array" ref="M1729">IF(Excel_Advanced_Sales_Dataset_2000__3[[#This Row],[Total Sales]]&gt;50000,{"Yes"},{"No"})</f>
        <v>Yes</v>
      </c>
      <c r="N1729" s="5">
        <v>46039</v>
      </c>
      <c r="O1729" s="1" t="s">
        <v>113</v>
      </c>
      <c r="P1729" t="s">
        <v>35</v>
      </c>
      <c r="Q1729" t="str">
        <f>IF(Excel_Advanced_Sales_Dataset_2000__3[[#This Row],[Delivery Status]]="Pending","Follow Up","Ok")</f>
        <v>Ok</v>
      </c>
      <c r="R1729" s="1" t="s">
        <v>53</v>
      </c>
      <c r="S1729">
        <f>Excel_Advanced_Sales_Dataset_2000__3[[#This Row],[Quantity]]*Excel_Advanced_Sales_Dataset_2000__3[[#This Row],[Unit Price]]*Excel_Advanced_Sales_Dataset_2000__3[[#This Row],[Discount %]]/100</f>
        <v>84816.391968000011</v>
      </c>
      <c r="T1729" s="4">
        <f>Excel_Advanced_Sales_Dataset_2000__3[[#This Row],[Quantity]]*Excel_Advanced_Sales_Dataset_2000__3[[#This Row],[Unit Price]]-Excel_Advanced_Sales_Dataset_2000__3[[#This Row],[Discount Amount]]</f>
        <v>2057011.6880320001</v>
      </c>
    </row>
    <row r="1730" spans="1:20" x14ac:dyDescent="0.25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>
        <v>22</v>
      </c>
      <c r="J1730" s="4">
        <v>19727.990000000002</v>
      </c>
      <c r="K1730" s="6">
        <v>17.84</v>
      </c>
      <c r="L1730" s="4">
        <v>356587.36</v>
      </c>
      <c r="M1730" s="4" t="str" cm="1">
        <f t="array" ref="M1730">IF(Excel_Advanced_Sales_Dataset_2000__3[[#This Row],[Total Sales]]&gt;50000,{"Yes"},{"No"})</f>
        <v>Yes</v>
      </c>
      <c r="N1730" s="5">
        <v>46081</v>
      </c>
      <c r="O1730" s="1" t="s">
        <v>58</v>
      </c>
      <c r="P1730" t="s">
        <v>25</v>
      </c>
      <c r="Q1730" t="str">
        <f>IF(Excel_Advanced_Sales_Dataset_2000__3[[#This Row],[Delivery Status]]="Pending","Follow Up","Ok")</f>
        <v>Follow Up</v>
      </c>
      <c r="R1730" s="1" t="s">
        <v>53</v>
      </c>
      <c r="S1730">
        <f>Excel_Advanced_Sales_Dataset_2000__3[[#This Row],[Quantity]]*Excel_Advanced_Sales_Dataset_2000__3[[#This Row],[Unit Price]]*Excel_Advanced_Sales_Dataset_2000__3[[#This Row],[Discount %]]/100</f>
        <v>77428.415152000001</v>
      </c>
      <c r="T1730" s="4">
        <f>Excel_Advanced_Sales_Dataset_2000__3[[#This Row],[Quantity]]*Excel_Advanced_Sales_Dataset_2000__3[[#This Row],[Unit Price]]-Excel_Advanced_Sales_Dataset_2000__3[[#This Row],[Discount Amount]]</f>
        <v>356587.364848</v>
      </c>
    </row>
    <row r="1731" spans="1:20" x14ac:dyDescent="0.25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>
        <v>8</v>
      </c>
      <c r="J1731" s="4">
        <v>38343.24</v>
      </c>
      <c r="K1731" s="6">
        <v>6.99</v>
      </c>
      <c r="L1731" s="4">
        <v>285304.38</v>
      </c>
      <c r="M1731" s="4" t="str" cm="1">
        <f t="array" ref="M1731">IF(Excel_Advanced_Sales_Dataset_2000__3[[#This Row],[Total Sales]]&gt;50000,{"Yes"},{"No"})</f>
        <v>Yes</v>
      </c>
      <c r="N1731" s="5">
        <v>46279</v>
      </c>
      <c r="O1731" s="1" t="s">
        <v>68</v>
      </c>
      <c r="P1731" t="s">
        <v>35</v>
      </c>
      <c r="Q1731" t="str">
        <f>IF(Excel_Advanced_Sales_Dataset_2000__3[[#This Row],[Delivery Status]]="Pending","Follow Up","Ok")</f>
        <v>Ok</v>
      </c>
      <c r="R1731" s="1" t="s">
        <v>36</v>
      </c>
      <c r="S1731">
        <f>Excel_Advanced_Sales_Dataset_2000__3[[#This Row],[Quantity]]*Excel_Advanced_Sales_Dataset_2000__3[[#This Row],[Unit Price]]*Excel_Advanced_Sales_Dataset_2000__3[[#This Row],[Discount %]]/100</f>
        <v>21441.539808000001</v>
      </c>
      <c r="T1731" s="4">
        <f>Excel_Advanced_Sales_Dataset_2000__3[[#This Row],[Quantity]]*Excel_Advanced_Sales_Dataset_2000__3[[#This Row],[Unit Price]]-Excel_Advanced_Sales_Dataset_2000__3[[#This Row],[Discount Amount]]</f>
        <v>285304.38019199995</v>
      </c>
    </row>
    <row r="1732" spans="1:20" x14ac:dyDescent="0.25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>
        <v>16</v>
      </c>
      <c r="J1732" s="4">
        <v>24381.48</v>
      </c>
      <c r="K1732" s="6">
        <v>1.54</v>
      </c>
      <c r="L1732" s="4">
        <v>384096.08</v>
      </c>
      <c r="M1732" s="4" t="str" cm="1">
        <f t="array" ref="M1732">IF(Excel_Advanced_Sales_Dataset_2000__3[[#This Row],[Total Sales]]&gt;50000,{"Yes"},{"No"})</f>
        <v>Yes</v>
      </c>
      <c r="N1732" s="5">
        <v>46255</v>
      </c>
      <c r="O1732" s="1" t="s">
        <v>113</v>
      </c>
      <c r="P1732" t="s">
        <v>35</v>
      </c>
      <c r="Q1732" t="str">
        <f>IF(Excel_Advanced_Sales_Dataset_2000__3[[#This Row],[Delivery Status]]="Pending","Follow Up","Ok")</f>
        <v>Ok</v>
      </c>
      <c r="R1732" s="1" t="s">
        <v>53</v>
      </c>
      <c r="S1732">
        <f>Excel_Advanced_Sales_Dataset_2000__3[[#This Row],[Quantity]]*Excel_Advanced_Sales_Dataset_2000__3[[#This Row],[Unit Price]]*Excel_Advanced_Sales_Dataset_2000__3[[#This Row],[Discount %]]/100</f>
        <v>6007.5966720000006</v>
      </c>
      <c r="T1732" s="4">
        <f>Excel_Advanced_Sales_Dataset_2000__3[[#This Row],[Quantity]]*Excel_Advanced_Sales_Dataset_2000__3[[#This Row],[Unit Price]]-Excel_Advanced_Sales_Dataset_2000__3[[#This Row],[Discount Amount]]</f>
        <v>384096.08332799998</v>
      </c>
    </row>
    <row r="1733" spans="1:20" x14ac:dyDescent="0.25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>
        <v>6</v>
      </c>
      <c r="J1733" s="4">
        <v>32057.01</v>
      </c>
      <c r="K1733" s="6">
        <v>15.11</v>
      </c>
      <c r="L1733" s="4">
        <v>163279.17000000001</v>
      </c>
      <c r="M1733" s="4" t="str" cm="1">
        <f t="array" ref="M1733">IF(Excel_Advanced_Sales_Dataset_2000__3[[#This Row],[Total Sales]]&gt;50000,{"Yes"},{"No"})</f>
        <v>Yes</v>
      </c>
      <c r="N1733" s="5">
        <v>46366</v>
      </c>
      <c r="O1733" s="1" t="s">
        <v>68</v>
      </c>
      <c r="P1733" t="s">
        <v>35</v>
      </c>
      <c r="Q1733" t="str">
        <f>IF(Excel_Advanced_Sales_Dataset_2000__3[[#This Row],[Delivery Status]]="Pending","Follow Up","Ok")</f>
        <v>Ok</v>
      </c>
      <c r="R1733" s="1" t="s">
        <v>53</v>
      </c>
      <c r="S1733">
        <f>Excel_Advanced_Sales_Dataset_2000__3[[#This Row],[Quantity]]*Excel_Advanced_Sales_Dataset_2000__3[[#This Row],[Unit Price]]*Excel_Advanced_Sales_Dataset_2000__3[[#This Row],[Discount %]]/100</f>
        <v>29062.885266000001</v>
      </c>
      <c r="T1733" s="4">
        <f>Excel_Advanced_Sales_Dataset_2000__3[[#This Row],[Quantity]]*Excel_Advanced_Sales_Dataset_2000__3[[#This Row],[Unit Price]]-Excel_Advanced_Sales_Dataset_2000__3[[#This Row],[Discount Amount]]</f>
        <v>163279.174734</v>
      </c>
    </row>
    <row r="1734" spans="1:20" x14ac:dyDescent="0.25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>
        <v>16</v>
      </c>
      <c r="J1734" s="4">
        <v>9085.59</v>
      </c>
      <c r="K1734" s="6">
        <v>3.79</v>
      </c>
      <c r="L1734" s="4">
        <v>139859.94</v>
      </c>
      <c r="M1734" s="4" t="str" cm="1">
        <f t="array" ref="M1734">IF(Excel_Advanced_Sales_Dataset_2000__3[[#This Row],[Total Sales]]&gt;50000,{"Yes"},{"No"})</f>
        <v>Yes</v>
      </c>
      <c r="N1734" s="5">
        <v>46261</v>
      </c>
      <c r="O1734" s="1" t="s">
        <v>58</v>
      </c>
      <c r="P1734" t="s">
        <v>35</v>
      </c>
      <c r="Q1734" t="str">
        <f>IF(Excel_Advanced_Sales_Dataset_2000__3[[#This Row],[Delivery Status]]="Pending","Follow Up","Ok")</f>
        <v>Ok</v>
      </c>
      <c r="R1734" s="1" t="s">
        <v>53</v>
      </c>
      <c r="S1734">
        <f>Excel_Advanced_Sales_Dataset_2000__3[[#This Row],[Quantity]]*Excel_Advanced_Sales_Dataset_2000__3[[#This Row],[Unit Price]]*Excel_Advanced_Sales_Dataset_2000__3[[#This Row],[Discount %]]/100</f>
        <v>5509.501776000001</v>
      </c>
      <c r="T1734" s="4">
        <f>Excel_Advanced_Sales_Dataset_2000__3[[#This Row],[Quantity]]*Excel_Advanced_Sales_Dataset_2000__3[[#This Row],[Unit Price]]-Excel_Advanced_Sales_Dataset_2000__3[[#This Row],[Discount Amount]]</f>
        <v>139859.93822400001</v>
      </c>
    </row>
    <row r="1735" spans="1:20" x14ac:dyDescent="0.25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>
        <v>33</v>
      </c>
      <c r="J1735" s="4">
        <v>34834.019999999997</v>
      </c>
      <c r="K1735" s="6">
        <v>10.35</v>
      </c>
      <c r="L1735" s="4">
        <v>1030547.06</v>
      </c>
      <c r="M1735" s="4" t="str" cm="1">
        <f t="array" ref="M1735">IF(Excel_Advanced_Sales_Dataset_2000__3[[#This Row],[Total Sales]]&gt;50000,{"Yes"},{"No"})</f>
        <v>Yes</v>
      </c>
      <c r="N1735" s="5">
        <v>46138</v>
      </c>
      <c r="O1735" s="1" t="s">
        <v>113</v>
      </c>
      <c r="P1735" t="s">
        <v>35</v>
      </c>
      <c r="Q1735" t="str">
        <f>IF(Excel_Advanced_Sales_Dataset_2000__3[[#This Row],[Delivery Status]]="Pending","Follow Up","Ok")</f>
        <v>Ok</v>
      </c>
      <c r="R1735" s="1" t="s">
        <v>26</v>
      </c>
      <c r="S1735">
        <f>Excel_Advanced_Sales_Dataset_2000__3[[#This Row],[Quantity]]*Excel_Advanced_Sales_Dataset_2000__3[[#This Row],[Unit Price]]*Excel_Advanced_Sales_Dataset_2000__3[[#This Row],[Discount %]]/100</f>
        <v>118975.59530999999</v>
      </c>
      <c r="T1735" s="4">
        <f>Excel_Advanced_Sales_Dataset_2000__3[[#This Row],[Quantity]]*Excel_Advanced_Sales_Dataset_2000__3[[#This Row],[Unit Price]]-Excel_Advanced_Sales_Dataset_2000__3[[#This Row],[Discount Amount]]</f>
        <v>1030547.0646899999</v>
      </c>
    </row>
    <row r="1736" spans="1:20" x14ac:dyDescent="0.25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>
        <v>8</v>
      </c>
      <c r="J1736" s="4">
        <v>34334.199999999997</v>
      </c>
      <c r="K1736" s="6">
        <v>4.74</v>
      </c>
      <c r="L1736" s="4">
        <v>261654.07</v>
      </c>
      <c r="M1736" s="4" t="str" cm="1">
        <f t="array" ref="M1736">IF(Excel_Advanced_Sales_Dataset_2000__3[[#This Row],[Total Sales]]&gt;50000,{"Yes"},{"No"})</f>
        <v>Yes</v>
      </c>
      <c r="N1736" s="5">
        <v>46033</v>
      </c>
      <c r="O1736" s="1" t="s">
        <v>68</v>
      </c>
      <c r="P1736" t="s">
        <v>35</v>
      </c>
      <c r="Q1736" t="str">
        <f>IF(Excel_Advanced_Sales_Dataset_2000__3[[#This Row],[Delivery Status]]="Pending","Follow Up","Ok")</f>
        <v>Ok</v>
      </c>
      <c r="R1736" s="1" t="s">
        <v>53</v>
      </c>
      <c r="S1736">
        <f>Excel_Advanced_Sales_Dataset_2000__3[[#This Row],[Quantity]]*Excel_Advanced_Sales_Dataset_2000__3[[#This Row],[Unit Price]]*Excel_Advanced_Sales_Dataset_2000__3[[#This Row],[Discount %]]/100</f>
        <v>13019.52864</v>
      </c>
      <c r="T1736" s="4">
        <f>Excel_Advanced_Sales_Dataset_2000__3[[#This Row],[Quantity]]*Excel_Advanced_Sales_Dataset_2000__3[[#This Row],[Unit Price]]-Excel_Advanced_Sales_Dataset_2000__3[[#This Row],[Discount Amount]]</f>
        <v>261654.07135999997</v>
      </c>
    </row>
    <row r="1737" spans="1:20" x14ac:dyDescent="0.25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>
        <v>22</v>
      </c>
      <c r="J1737" s="4">
        <v>48685.82</v>
      </c>
      <c r="K1737" s="6">
        <v>18.170000000000002</v>
      </c>
      <c r="L1737" s="4">
        <v>876471.34</v>
      </c>
      <c r="M1737" s="4" t="str" cm="1">
        <f t="array" ref="M1737">IF(Excel_Advanced_Sales_Dataset_2000__3[[#This Row],[Total Sales]]&gt;50000,{"Yes"},{"No"})</f>
        <v>Yes</v>
      </c>
      <c r="N1737" s="5">
        <v>46165</v>
      </c>
      <c r="O1737" s="1" t="s">
        <v>58</v>
      </c>
      <c r="P1737" t="s">
        <v>35</v>
      </c>
      <c r="Q1737" t="str">
        <f>IF(Excel_Advanced_Sales_Dataset_2000__3[[#This Row],[Delivery Status]]="Pending","Follow Up","Ok")</f>
        <v>Ok</v>
      </c>
      <c r="R1737" s="1" t="s">
        <v>26</v>
      </c>
      <c r="S1737">
        <f>Excel_Advanced_Sales_Dataset_2000__3[[#This Row],[Quantity]]*Excel_Advanced_Sales_Dataset_2000__3[[#This Row],[Unit Price]]*Excel_Advanced_Sales_Dataset_2000__3[[#This Row],[Discount %]]/100</f>
        <v>194616.69686800003</v>
      </c>
      <c r="T1737" s="4">
        <f>Excel_Advanced_Sales_Dataset_2000__3[[#This Row],[Quantity]]*Excel_Advanced_Sales_Dataset_2000__3[[#This Row],[Unit Price]]-Excel_Advanced_Sales_Dataset_2000__3[[#This Row],[Discount Amount]]</f>
        <v>876471.34313199995</v>
      </c>
    </row>
    <row r="1738" spans="1:20" x14ac:dyDescent="0.25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>
        <v>44</v>
      </c>
      <c r="J1738" s="4">
        <v>16457.43</v>
      </c>
      <c r="K1738" s="6">
        <v>2.48</v>
      </c>
      <c r="L1738" s="4">
        <v>706168.57</v>
      </c>
      <c r="M1738" s="4" t="str" cm="1">
        <f t="array" ref="M1738">IF(Excel_Advanced_Sales_Dataset_2000__3[[#This Row],[Total Sales]]&gt;50000,{"Yes"},{"No"})</f>
        <v>Yes</v>
      </c>
      <c r="N1738" s="5">
        <v>46323</v>
      </c>
      <c r="O1738" s="1" t="s">
        <v>68</v>
      </c>
      <c r="P1738" t="s">
        <v>35</v>
      </c>
      <c r="Q1738" t="str">
        <f>IF(Excel_Advanced_Sales_Dataset_2000__3[[#This Row],[Delivery Status]]="Pending","Follow Up","Ok")</f>
        <v>Ok</v>
      </c>
      <c r="R1738" s="1" t="s">
        <v>53</v>
      </c>
      <c r="S1738">
        <f>Excel_Advanced_Sales_Dataset_2000__3[[#This Row],[Quantity]]*Excel_Advanced_Sales_Dataset_2000__3[[#This Row],[Unit Price]]*Excel_Advanced_Sales_Dataset_2000__3[[#This Row],[Discount %]]/100</f>
        <v>17958.347615999999</v>
      </c>
      <c r="T1738" s="4">
        <f>Excel_Advanced_Sales_Dataset_2000__3[[#This Row],[Quantity]]*Excel_Advanced_Sales_Dataset_2000__3[[#This Row],[Unit Price]]-Excel_Advanced_Sales_Dataset_2000__3[[#This Row],[Discount Amount]]</f>
        <v>706168.57238400006</v>
      </c>
    </row>
    <row r="1739" spans="1:20" x14ac:dyDescent="0.25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>
        <v>12</v>
      </c>
      <c r="J1739" s="4">
        <v>44130.27</v>
      </c>
      <c r="K1739" s="6">
        <v>19.37</v>
      </c>
      <c r="L1739" s="4">
        <v>426986.84</v>
      </c>
      <c r="M1739" s="4" t="str" cm="1">
        <f t="array" ref="M1739">IF(Excel_Advanced_Sales_Dataset_2000__3[[#This Row],[Total Sales]]&gt;50000,{"Yes"},{"No"})</f>
        <v>Yes</v>
      </c>
      <c r="N1739" s="5">
        <v>46357</v>
      </c>
      <c r="O1739" s="1" t="s">
        <v>68</v>
      </c>
      <c r="P1739" t="s">
        <v>35</v>
      </c>
      <c r="Q1739" t="str">
        <f>IF(Excel_Advanced_Sales_Dataset_2000__3[[#This Row],[Delivery Status]]="Pending","Follow Up","Ok")</f>
        <v>Ok</v>
      </c>
      <c r="R1739" s="1" t="s">
        <v>36</v>
      </c>
      <c r="S1739">
        <f>Excel_Advanced_Sales_Dataset_2000__3[[#This Row],[Quantity]]*Excel_Advanced_Sales_Dataset_2000__3[[#This Row],[Unit Price]]*Excel_Advanced_Sales_Dataset_2000__3[[#This Row],[Discount %]]/100</f>
        <v>102576.39958800001</v>
      </c>
      <c r="T1739" s="4">
        <f>Excel_Advanced_Sales_Dataset_2000__3[[#This Row],[Quantity]]*Excel_Advanced_Sales_Dataset_2000__3[[#This Row],[Unit Price]]-Excel_Advanced_Sales_Dataset_2000__3[[#This Row],[Discount Amount]]</f>
        <v>426986.84041199996</v>
      </c>
    </row>
    <row r="1740" spans="1:20" x14ac:dyDescent="0.25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>
        <v>32</v>
      </c>
      <c r="J1740" s="4">
        <v>46431.91</v>
      </c>
      <c r="K1740" s="6">
        <v>10.83</v>
      </c>
      <c r="L1740" s="4">
        <v>1324906.69</v>
      </c>
      <c r="M1740" s="4" t="str" cm="1">
        <f t="array" ref="M1740">IF(Excel_Advanced_Sales_Dataset_2000__3[[#This Row],[Total Sales]]&gt;50000,{"Yes"},{"No"})</f>
        <v>Yes</v>
      </c>
      <c r="N1740" s="5">
        <v>46348</v>
      </c>
      <c r="O1740" s="1" t="s">
        <v>68</v>
      </c>
      <c r="P1740" t="s">
        <v>35</v>
      </c>
      <c r="Q1740" t="str">
        <f>IF(Excel_Advanced_Sales_Dataset_2000__3[[#This Row],[Delivery Status]]="Pending","Follow Up","Ok")</f>
        <v>Ok</v>
      </c>
      <c r="R1740" s="1" t="s">
        <v>53</v>
      </c>
      <c r="S1740">
        <f>Excel_Advanced_Sales_Dataset_2000__3[[#This Row],[Quantity]]*Excel_Advanced_Sales_Dataset_2000__3[[#This Row],[Unit Price]]*Excel_Advanced_Sales_Dataset_2000__3[[#This Row],[Discount %]]/100</f>
        <v>160914.42729600001</v>
      </c>
      <c r="T1740" s="4">
        <f>Excel_Advanced_Sales_Dataset_2000__3[[#This Row],[Quantity]]*Excel_Advanced_Sales_Dataset_2000__3[[#This Row],[Unit Price]]-Excel_Advanced_Sales_Dataset_2000__3[[#This Row],[Discount Amount]]</f>
        <v>1324906.692704</v>
      </c>
    </row>
    <row r="1741" spans="1:20" x14ac:dyDescent="0.25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>
        <v>37</v>
      </c>
      <c r="J1741" s="4">
        <v>5989.21</v>
      </c>
      <c r="K1741" s="6">
        <v>16.48</v>
      </c>
      <c r="L1741" s="4">
        <v>185080.95999999999</v>
      </c>
      <c r="M1741" s="4" t="str" cm="1">
        <f t="array" ref="M1741">IF(Excel_Advanced_Sales_Dataset_2000__3[[#This Row],[Total Sales]]&gt;50000,{"Yes"},{"No"})</f>
        <v>Yes</v>
      </c>
      <c r="N1741" s="5">
        <v>46291</v>
      </c>
      <c r="O1741" s="1" t="s">
        <v>68</v>
      </c>
      <c r="P1741" t="s">
        <v>35</v>
      </c>
      <c r="Q1741" t="str">
        <f>IF(Excel_Advanced_Sales_Dataset_2000__3[[#This Row],[Delivery Status]]="Pending","Follow Up","Ok")</f>
        <v>Ok</v>
      </c>
      <c r="R1741" s="1" t="s">
        <v>36</v>
      </c>
      <c r="S1741">
        <f>Excel_Advanced_Sales_Dataset_2000__3[[#This Row],[Quantity]]*Excel_Advanced_Sales_Dataset_2000__3[[#This Row],[Unit Price]]*Excel_Advanced_Sales_Dataset_2000__3[[#This Row],[Discount %]]/100</f>
        <v>36519.806895999995</v>
      </c>
      <c r="T1741" s="4">
        <f>Excel_Advanced_Sales_Dataset_2000__3[[#This Row],[Quantity]]*Excel_Advanced_Sales_Dataset_2000__3[[#This Row],[Unit Price]]-Excel_Advanced_Sales_Dataset_2000__3[[#This Row],[Discount Amount]]</f>
        <v>185080.96310399999</v>
      </c>
    </row>
    <row r="1742" spans="1:20" x14ac:dyDescent="0.25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>
        <v>19</v>
      </c>
      <c r="J1742" s="4">
        <v>29263.86</v>
      </c>
      <c r="K1742" s="6">
        <v>19.02</v>
      </c>
      <c r="L1742" s="4">
        <v>450259.6</v>
      </c>
      <c r="M1742" s="4" t="str" cm="1">
        <f t="array" ref="M1742">IF(Excel_Advanced_Sales_Dataset_2000__3[[#This Row],[Total Sales]]&gt;50000,{"Yes"},{"No"})</f>
        <v>Yes</v>
      </c>
      <c r="N1742" s="5">
        <v>46317</v>
      </c>
      <c r="O1742" s="1" t="s">
        <v>24</v>
      </c>
      <c r="P1742" t="s">
        <v>35</v>
      </c>
      <c r="Q1742" t="str">
        <f>IF(Excel_Advanced_Sales_Dataset_2000__3[[#This Row],[Delivery Status]]="Pending","Follow Up","Ok")</f>
        <v>Ok</v>
      </c>
      <c r="R1742" s="1" t="s">
        <v>36</v>
      </c>
      <c r="S1742">
        <f>Excel_Advanced_Sales_Dataset_2000__3[[#This Row],[Quantity]]*Excel_Advanced_Sales_Dataset_2000__3[[#This Row],[Unit Price]]*Excel_Advanced_Sales_Dataset_2000__3[[#This Row],[Discount %]]/100</f>
        <v>105753.73726799998</v>
      </c>
      <c r="T1742" s="4">
        <f>Excel_Advanced_Sales_Dataset_2000__3[[#This Row],[Quantity]]*Excel_Advanced_Sales_Dataset_2000__3[[#This Row],[Unit Price]]-Excel_Advanced_Sales_Dataset_2000__3[[#This Row],[Discount Amount]]</f>
        <v>450259.602732</v>
      </c>
    </row>
    <row r="1743" spans="1:20" x14ac:dyDescent="0.25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>
        <v>20</v>
      </c>
      <c r="J1743" s="4">
        <v>41797.82</v>
      </c>
      <c r="K1743" s="6">
        <v>6.26</v>
      </c>
      <c r="L1743" s="4">
        <v>783625.53</v>
      </c>
      <c r="M1743" s="4" t="str" cm="1">
        <f t="array" ref="M1743">IF(Excel_Advanced_Sales_Dataset_2000__3[[#This Row],[Total Sales]]&gt;50000,{"Yes"},{"No"})</f>
        <v>Yes</v>
      </c>
      <c r="N1743" s="5">
        <v>46055</v>
      </c>
      <c r="O1743" s="1" t="s">
        <v>58</v>
      </c>
      <c r="P1743" t="s">
        <v>35</v>
      </c>
      <c r="Q1743" t="str">
        <f>IF(Excel_Advanced_Sales_Dataset_2000__3[[#This Row],[Delivery Status]]="Pending","Follow Up","Ok")</f>
        <v>Ok</v>
      </c>
      <c r="R1743" s="1" t="s">
        <v>36</v>
      </c>
      <c r="S1743">
        <f>Excel_Advanced_Sales_Dataset_2000__3[[#This Row],[Quantity]]*Excel_Advanced_Sales_Dataset_2000__3[[#This Row],[Unit Price]]*Excel_Advanced_Sales_Dataset_2000__3[[#This Row],[Discount %]]/100</f>
        <v>52330.870640000001</v>
      </c>
      <c r="T1743" s="4">
        <f>Excel_Advanced_Sales_Dataset_2000__3[[#This Row],[Quantity]]*Excel_Advanced_Sales_Dataset_2000__3[[#This Row],[Unit Price]]-Excel_Advanced_Sales_Dataset_2000__3[[#This Row],[Discount Amount]]</f>
        <v>783625.52936000004</v>
      </c>
    </row>
    <row r="1744" spans="1:20" x14ac:dyDescent="0.25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>
        <v>42</v>
      </c>
      <c r="J1744" s="4">
        <v>19415.38</v>
      </c>
      <c r="K1744" s="6">
        <v>6.96</v>
      </c>
      <c r="L1744" s="4">
        <v>758690.92</v>
      </c>
      <c r="M1744" s="4" t="str" cm="1">
        <f t="array" ref="M1744">IF(Excel_Advanced_Sales_Dataset_2000__3[[#This Row],[Total Sales]]&gt;50000,{"Yes"},{"No"})</f>
        <v>Yes</v>
      </c>
      <c r="N1744" s="5">
        <v>46040</v>
      </c>
      <c r="O1744" s="1" t="s">
        <v>113</v>
      </c>
      <c r="P1744" t="s">
        <v>35</v>
      </c>
      <c r="Q1744" t="str">
        <f>IF(Excel_Advanced_Sales_Dataset_2000__3[[#This Row],[Delivery Status]]="Pending","Follow Up","Ok")</f>
        <v>Ok</v>
      </c>
      <c r="R1744" s="1" t="s">
        <v>53</v>
      </c>
      <c r="S1744">
        <f>Excel_Advanced_Sales_Dataset_2000__3[[#This Row],[Quantity]]*Excel_Advanced_Sales_Dataset_2000__3[[#This Row],[Unit Price]]*Excel_Advanced_Sales_Dataset_2000__3[[#This Row],[Discount %]]/100</f>
        <v>56755.038816000008</v>
      </c>
      <c r="T1744" s="4">
        <f>Excel_Advanced_Sales_Dataset_2000__3[[#This Row],[Quantity]]*Excel_Advanced_Sales_Dataset_2000__3[[#This Row],[Unit Price]]-Excel_Advanced_Sales_Dataset_2000__3[[#This Row],[Discount Amount]]</f>
        <v>758690.92118400009</v>
      </c>
    </row>
    <row r="1745" spans="1:20" x14ac:dyDescent="0.25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>
        <v>20</v>
      </c>
      <c r="J1745" s="4">
        <v>41003.339999999997</v>
      </c>
      <c r="K1745" s="6">
        <v>4.12</v>
      </c>
      <c r="L1745" s="4">
        <v>786280.05</v>
      </c>
      <c r="M1745" s="4" t="str" cm="1">
        <f t="array" ref="M1745">IF(Excel_Advanced_Sales_Dataset_2000__3[[#This Row],[Total Sales]]&gt;50000,{"Yes"},{"No"})</f>
        <v>Yes</v>
      </c>
      <c r="N1745" s="5">
        <v>46073</v>
      </c>
      <c r="O1745" s="1" t="s">
        <v>58</v>
      </c>
      <c r="P1745" t="s">
        <v>35</v>
      </c>
      <c r="Q1745" t="str">
        <f>IF(Excel_Advanced_Sales_Dataset_2000__3[[#This Row],[Delivery Status]]="Pending","Follow Up","Ok")</f>
        <v>Ok</v>
      </c>
      <c r="R1745" s="1" t="s">
        <v>26</v>
      </c>
      <c r="S1745">
        <f>Excel_Advanced_Sales_Dataset_2000__3[[#This Row],[Quantity]]*Excel_Advanced_Sales_Dataset_2000__3[[#This Row],[Unit Price]]*Excel_Advanced_Sales_Dataset_2000__3[[#This Row],[Discount %]]/100</f>
        <v>33786.752160000004</v>
      </c>
      <c r="T1745" s="4">
        <f>Excel_Advanced_Sales_Dataset_2000__3[[#This Row],[Quantity]]*Excel_Advanced_Sales_Dataset_2000__3[[#This Row],[Unit Price]]-Excel_Advanced_Sales_Dataset_2000__3[[#This Row],[Discount Amount]]</f>
        <v>786280.0478399999</v>
      </c>
    </row>
    <row r="1746" spans="1:20" x14ac:dyDescent="0.25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>
        <v>25</v>
      </c>
      <c r="J1746" s="4">
        <v>48139.57</v>
      </c>
      <c r="K1746" s="6">
        <v>12.08</v>
      </c>
      <c r="L1746" s="4">
        <v>1058107.75</v>
      </c>
      <c r="M1746" s="4" t="str" cm="1">
        <f t="array" ref="M1746">IF(Excel_Advanced_Sales_Dataset_2000__3[[#This Row],[Total Sales]]&gt;50000,{"Yes"},{"No"})</f>
        <v>Yes</v>
      </c>
      <c r="N1746" s="5">
        <v>46183</v>
      </c>
      <c r="O1746" s="1" t="s">
        <v>45</v>
      </c>
      <c r="P1746" t="s">
        <v>35</v>
      </c>
      <c r="Q1746" t="str">
        <f>IF(Excel_Advanced_Sales_Dataset_2000__3[[#This Row],[Delivery Status]]="Pending","Follow Up","Ok")</f>
        <v>Ok</v>
      </c>
      <c r="R1746" s="1" t="s">
        <v>36</v>
      </c>
      <c r="S1746">
        <f>Excel_Advanced_Sales_Dataset_2000__3[[#This Row],[Quantity]]*Excel_Advanced_Sales_Dataset_2000__3[[#This Row],[Unit Price]]*Excel_Advanced_Sales_Dataset_2000__3[[#This Row],[Discount %]]/100</f>
        <v>145381.50140000001</v>
      </c>
      <c r="T1746" s="4">
        <f>Excel_Advanced_Sales_Dataset_2000__3[[#This Row],[Quantity]]*Excel_Advanced_Sales_Dataset_2000__3[[#This Row],[Unit Price]]-Excel_Advanced_Sales_Dataset_2000__3[[#This Row],[Discount Amount]]</f>
        <v>1058107.7486</v>
      </c>
    </row>
    <row r="1747" spans="1:20" x14ac:dyDescent="0.25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>
        <v>41</v>
      </c>
      <c r="J1747" s="4">
        <v>34404.620000000003</v>
      </c>
      <c r="K1747" s="6">
        <v>14.39</v>
      </c>
      <c r="L1747" s="4">
        <v>1207605.6000000001</v>
      </c>
      <c r="M1747" s="4" t="str" cm="1">
        <f t="array" ref="M1747">IF(Excel_Advanced_Sales_Dataset_2000__3[[#This Row],[Total Sales]]&gt;50000,{"Yes"},{"No"})</f>
        <v>Yes</v>
      </c>
      <c r="N1747" s="5">
        <v>46035</v>
      </c>
      <c r="O1747" s="1" t="s">
        <v>24</v>
      </c>
      <c r="P1747" t="s">
        <v>35</v>
      </c>
      <c r="Q1747" t="str">
        <f>IF(Excel_Advanced_Sales_Dataset_2000__3[[#This Row],[Delivery Status]]="Pending","Follow Up","Ok")</f>
        <v>Ok</v>
      </c>
      <c r="R1747" s="1" t="s">
        <v>53</v>
      </c>
      <c r="S1747">
        <f>Excel_Advanced_Sales_Dataset_2000__3[[#This Row],[Quantity]]*Excel_Advanced_Sales_Dataset_2000__3[[#This Row],[Unit Price]]*Excel_Advanced_Sales_Dataset_2000__3[[#This Row],[Discount %]]/100</f>
        <v>202983.81753800006</v>
      </c>
      <c r="T1747" s="4">
        <f>Excel_Advanced_Sales_Dataset_2000__3[[#This Row],[Quantity]]*Excel_Advanced_Sales_Dataset_2000__3[[#This Row],[Unit Price]]-Excel_Advanced_Sales_Dataset_2000__3[[#This Row],[Discount Amount]]</f>
        <v>1207605.6024620002</v>
      </c>
    </row>
    <row r="1748" spans="1:20" x14ac:dyDescent="0.25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>
        <v>41</v>
      </c>
      <c r="J1748" s="4">
        <v>5166.37</v>
      </c>
      <c r="K1748" s="6">
        <v>7.21</v>
      </c>
      <c r="L1748" s="4">
        <v>196548.86</v>
      </c>
      <c r="M1748" s="4" t="str" cm="1">
        <f t="array" ref="M1748">IF(Excel_Advanced_Sales_Dataset_2000__3[[#This Row],[Total Sales]]&gt;50000,{"Yes"},{"No"})</f>
        <v>Yes</v>
      </c>
      <c r="N1748" s="5">
        <v>46179</v>
      </c>
      <c r="O1748" s="1" t="s">
        <v>45</v>
      </c>
      <c r="P1748" t="s">
        <v>35</v>
      </c>
      <c r="Q1748" t="str">
        <f>IF(Excel_Advanced_Sales_Dataset_2000__3[[#This Row],[Delivery Status]]="Pending","Follow Up","Ok")</f>
        <v>Ok</v>
      </c>
      <c r="R1748" s="1" t="s">
        <v>26</v>
      </c>
      <c r="S1748">
        <f>Excel_Advanced_Sales_Dataset_2000__3[[#This Row],[Quantity]]*Excel_Advanced_Sales_Dataset_2000__3[[#This Row],[Unit Price]]*Excel_Advanced_Sales_Dataset_2000__3[[#This Row],[Discount %]]/100</f>
        <v>15272.306356999999</v>
      </c>
      <c r="T1748" s="4">
        <f>Excel_Advanced_Sales_Dataset_2000__3[[#This Row],[Quantity]]*Excel_Advanced_Sales_Dataset_2000__3[[#This Row],[Unit Price]]-Excel_Advanced_Sales_Dataset_2000__3[[#This Row],[Discount Amount]]</f>
        <v>196548.86364299999</v>
      </c>
    </row>
    <row r="1749" spans="1:20" x14ac:dyDescent="0.25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>
        <v>36</v>
      </c>
      <c r="J1749" s="4">
        <v>49418.09</v>
      </c>
      <c r="K1749" s="6">
        <v>11.47</v>
      </c>
      <c r="L1749" s="4">
        <v>1574994.06</v>
      </c>
      <c r="M1749" s="4" t="str" cm="1">
        <f t="array" ref="M1749">IF(Excel_Advanced_Sales_Dataset_2000__3[[#This Row],[Total Sales]]&gt;50000,{"Yes"},{"No"})</f>
        <v>Yes</v>
      </c>
      <c r="N1749" s="5">
        <v>46332</v>
      </c>
      <c r="O1749" s="1" t="s">
        <v>68</v>
      </c>
      <c r="P1749" t="s">
        <v>35</v>
      </c>
      <c r="Q1749" t="str">
        <f>IF(Excel_Advanced_Sales_Dataset_2000__3[[#This Row],[Delivery Status]]="Pending","Follow Up","Ok")</f>
        <v>Ok</v>
      </c>
      <c r="R1749" s="1" t="s">
        <v>53</v>
      </c>
      <c r="S1749">
        <f>Excel_Advanced_Sales_Dataset_2000__3[[#This Row],[Quantity]]*Excel_Advanced_Sales_Dataset_2000__3[[#This Row],[Unit Price]]*Excel_Advanced_Sales_Dataset_2000__3[[#This Row],[Discount %]]/100</f>
        <v>204057.17722799999</v>
      </c>
      <c r="T1749" s="4">
        <f>Excel_Advanced_Sales_Dataset_2000__3[[#This Row],[Quantity]]*Excel_Advanced_Sales_Dataset_2000__3[[#This Row],[Unit Price]]-Excel_Advanced_Sales_Dataset_2000__3[[#This Row],[Discount Amount]]</f>
        <v>1574994.0627719997</v>
      </c>
    </row>
    <row r="1750" spans="1:20" x14ac:dyDescent="0.25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>
        <v>26</v>
      </c>
      <c r="J1750" s="4">
        <v>26795.73</v>
      </c>
      <c r="K1750" s="6">
        <v>9.52</v>
      </c>
      <c r="L1750" s="4">
        <v>630364.18999999994</v>
      </c>
      <c r="M1750" s="4" t="str" cm="1">
        <f t="array" ref="M1750">IF(Excel_Advanced_Sales_Dataset_2000__3[[#This Row],[Total Sales]]&gt;50000,{"Yes"},{"No"})</f>
        <v>Yes</v>
      </c>
      <c r="N1750" s="5">
        <v>46202</v>
      </c>
      <c r="O1750" s="1" t="s">
        <v>68</v>
      </c>
      <c r="P1750" t="s">
        <v>35</v>
      </c>
      <c r="Q1750" t="str">
        <f>IF(Excel_Advanced_Sales_Dataset_2000__3[[#This Row],[Delivery Status]]="Pending","Follow Up","Ok")</f>
        <v>Ok</v>
      </c>
      <c r="R1750" s="1" t="s">
        <v>36</v>
      </c>
      <c r="S1750">
        <f>Excel_Advanced_Sales_Dataset_2000__3[[#This Row],[Quantity]]*Excel_Advanced_Sales_Dataset_2000__3[[#This Row],[Unit Price]]*Excel_Advanced_Sales_Dataset_2000__3[[#This Row],[Discount %]]/100</f>
        <v>66324.790895999991</v>
      </c>
      <c r="T1750" s="4">
        <f>Excel_Advanced_Sales_Dataset_2000__3[[#This Row],[Quantity]]*Excel_Advanced_Sales_Dataset_2000__3[[#This Row],[Unit Price]]-Excel_Advanced_Sales_Dataset_2000__3[[#This Row],[Discount Amount]]</f>
        <v>630364.18910399999</v>
      </c>
    </row>
    <row r="1751" spans="1:20" x14ac:dyDescent="0.25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>
        <v>45</v>
      </c>
      <c r="J1751" s="4">
        <v>21531.200000000001</v>
      </c>
      <c r="K1751" s="6">
        <v>4.21</v>
      </c>
      <c r="L1751" s="4">
        <v>928113.14</v>
      </c>
      <c r="M1751" s="4" t="str" cm="1">
        <f t="array" ref="M1751">IF(Excel_Advanced_Sales_Dataset_2000__3[[#This Row],[Total Sales]]&gt;50000,{"Yes"},{"No"})</f>
        <v>Yes</v>
      </c>
      <c r="N1751" s="5">
        <v>46122</v>
      </c>
      <c r="O1751" s="1" t="s">
        <v>58</v>
      </c>
      <c r="P1751" t="s">
        <v>35</v>
      </c>
      <c r="Q1751" t="str">
        <f>IF(Excel_Advanced_Sales_Dataset_2000__3[[#This Row],[Delivery Status]]="Pending","Follow Up","Ok")</f>
        <v>Ok</v>
      </c>
      <c r="R1751" s="1" t="s">
        <v>53</v>
      </c>
      <c r="S1751">
        <f>Excel_Advanced_Sales_Dataset_2000__3[[#This Row],[Quantity]]*Excel_Advanced_Sales_Dataset_2000__3[[#This Row],[Unit Price]]*Excel_Advanced_Sales_Dataset_2000__3[[#This Row],[Discount %]]/100</f>
        <v>40790.858399999997</v>
      </c>
      <c r="T1751" s="4">
        <f>Excel_Advanced_Sales_Dataset_2000__3[[#This Row],[Quantity]]*Excel_Advanced_Sales_Dataset_2000__3[[#This Row],[Unit Price]]-Excel_Advanced_Sales_Dataset_2000__3[[#This Row],[Discount Amount]]</f>
        <v>928113.14159999997</v>
      </c>
    </row>
    <row r="1752" spans="1:20" x14ac:dyDescent="0.25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>
        <v>30</v>
      </c>
      <c r="J1752" s="4">
        <v>6530.42</v>
      </c>
      <c r="K1752" s="6">
        <v>9.2100000000000009</v>
      </c>
      <c r="L1752" s="4">
        <v>177869.05</v>
      </c>
      <c r="M1752" s="4" t="str" cm="1">
        <f t="array" ref="M1752">IF(Excel_Advanced_Sales_Dataset_2000__3[[#This Row],[Total Sales]]&gt;50000,{"Yes"},{"No"})</f>
        <v>Yes</v>
      </c>
      <c r="N1752" s="5">
        <v>46124</v>
      </c>
      <c r="O1752" s="1" t="s">
        <v>24</v>
      </c>
      <c r="P1752" t="s">
        <v>25</v>
      </c>
      <c r="Q1752" t="str">
        <f>IF(Excel_Advanced_Sales_Dataset_2000__3[[#This Row],[Delivery Status]]="Pending","Follow Up","Ok")</f>
        <v>Follow Up</v>
      </c>
      <c r="R1752" s="1" t="s">
        <v>36</v>
      </c>
      <c r="S1752">
        <f>Excel_Advanced_Sales_Dataset_2000__3[[#This Row],[Quantity]]*Excel_Advanced_Sales_Dataset_2000__3[[#This Row],[Unit Price]]*Excel_Advanced_Sales_Dataset_2000__3[[#This Row],[Discount %]]/100</f>
        <v>18043.550460000002</v>
      </c>
      <c r="T1752" s="4">
        <f>Excel_Advanced_Sales_Dataset_2000__3[[#This Row],[Quantity]]*Excel_Advanced_Sales_Dataset_2000__3[[#This Row],[Unit Price]]-Excel_Advanced_Sales_Dataset_2000__3[[#This Row],[Discount Amount]]</f>
        <v>177869.04954000001</v>
      </c>
    </row>
    <row r="1753" spans="1:20" x14ac:dyDescent="0.25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>
        <v>5</v>
      </c>
      <c r="J1753" s="4">
        <v>4365.71</v>
      </c>
      <c r="K1753" s="6">
        <v>0.84</v>
      </c>
      <c r="L1753" s="4">
        <v>21645.19</v>
      </c>
      <c r="M1753" s="4" t="str" cm="1">
        <f t="array" ref="M1753">IF(Excel_Advanced_Sales_Dataset_2000__3[[#This Row],[Total Sales]]&gt;50000,{"Yes"},{"No"})</f>
        <v>No</v>
      </c>
      <c r="N1753" s="5">
        <v>46378</v>
      </c>
      <c r="O1753" s="1" t="s">
        <v>24</v>
      </c>
      <c r="P1753" t="s">
        <v>25</v>
      </c>
      <c r="Q1753" t="str">
        <f>IF(Excel_Advanced_Sales_Dataset_2000__3[[#This Row],[Delivery Status]]="Pending","Follow Up","Ok")</f>
        <v>Follow Up</v>
      </c>
      <c r="R1753" s="1" t="s">
        <v>53</v>
      </c>
      <c r="S1753">
        <f>Excel_Advanced_Sales_Dataset_2000__3[[#This Row],[Quantity]]*Excel_Advanced_Sales_Dataset_2000__3[[#This Row],[Unit Price]]*Excel_Advanced_Sales_Dataset_2000__3[[#This Row],[Discount %]]/100</f>
        <v>183.35982000000001</v>
      </c>
      <c r="T1753" s="4">
        <f>Excel_Advanced_Sales_Dataset_2000__3[[#This Row],[Quantity]]*Excel_Advanced_Sales_Dataset_2000__3[[#This Row],[Unit Price]]-Excel_Advanced_Sales_Dataset_2000__3[[#This Row],[Discount Amount]]</f>
        <v>21645.190179999998</v>
      </c>
    </row>
    <row r="1754" spans="1:20" x14ac:dyDescent="0.25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>
        <v>19</v>
      </c>
      <c r="J1754" s="4">
        <v>18449.080000000002</v>
      </c>
      <c r="K1754" s="6">
        <v>12.6</v>
      </c>
      <c r="L1754" s="4">
        <v>306365.42</v>
      </c>
      <c r="M1754" s="4" t="str" cm="1">
        <f t="array" ref="M1754">IF(Excel_Advanced_Sales_Dataset_2000__3[[#This Row],[Total Sales]]&gt;50000,{"Yes"},{"No"})</f>
        <v>Yes</v>
      </c>
      <c r="N1754" s="5">
        <v>46092</v>
      </c>
      <c r="O1754" s="1" t="s">
        <v>24</v>
      </c>
      <c r="P1754" t="s">
        <v>35</v>
      </c>
      <c r="Q1754" t="str">
        <f>IF(Excel_Advanced_Sales_Dataset_2000__3[[#This Row],[Delivery Status]]="Pending","Follow Up","Ok")</f>
        <v>Ok</v>
      </c>
      <c r="R1754" s="1" t="s">
        <v>36</v>
      </c>
      <c r="S1754">
        <f>Excel_Advanced_Sales_Dataset_2000__3[[#This Row],[Quantity]]*Excel_Advanced_Sales_Dataset_2000__3[[#This Row],[Unit Price]]*Excel_Advanced_Sales_Dataset_2000__3[[#This Row],[Discount %]]/100</f>
        <v>44167.097520000003</v>
      </c>
      <c r="T1754" s="4">
        <f>Excel_Advanced_Sales_Dataset_2000__3[[#This Row],[Quantity]]*Excel_Advanced_Sales_Dataset_2000__3[[#This Row],[Unit Price]]-Excel_Advanced_Sales_Dataset_2000__3[[#This Row],[Discount Amount]]</f>
        <v>306365.42248000001</v>
      </c>
    </row>
    <row r="1755" spans="1:20" x14ac:dyDescent="0.25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>
        <v>44</v>
      </c>
      <c r="J1755" s="4">
        <v>45115.5</v>
      </c>
      <c r="K1755" s="6">
        <v>17.66</v>
      </c>
      <c r="L1755" s="4">
        <v>1634516.52</v>
      </c>
      <c r="M1755" s="4" t="str" cm="1">
        <f t="array" ref="M1755">IF(Excel_Advanced_Sales_Dataset_2000__3[[#This Row],[Total Sales]]&gt;50000,{"Yes"},{"No"})</f>
        <v>Yes</v>
      </c>
      <c r="N1755" s="5">
        <v>46278</v>
      </c>
      <c r="O1755" s="1" t="s">
        <v>45</v>
      </c>
      <c r="P1755" t="s">
        <v>35</v>
      </c>
      <c r="Q1755" t="str">
        <f>IF(Excel_Advanced_Sales_Dataset_2000__3[[#This Row],[Delivery Status]]="Pending","Follow Up","Ok")</f>
        <v>Ok</v>
      </c>
      <c r="R1755" s="1" t="s">
        <v>53</v>
      </c>
      <c r="S1755">
        <f>Excel_Advanced_Sales_Dataset_2000__3[[#This Row],[Quantity]]*Excel_Advanced_Sales_Dataset_2000__3[[#This Row],[Unit Price]]*Excel_Advanced_Sales_Dataset_2000__3[[#This Row],[Discount %]]/100</f>
        <v>350565.48119999998</v>
      </c>
      <c r="T1755" s="4">
        <f>Excel_Advanced_Sales_Dataset_2000__3[[#This Row],[Quantity]]*Excel_Advanced_Sales_Dataset_2000__3[[#This Row],[Unit Price]]-Excel_Advanced_Sales_Dataset_2000__3[[#This Row],[Discount Amount]]</f>
        <v>1634516.5188</v>
      </c>
    </row>
    <row r="1756" spans="1:20" x14ac:dyDescent="0.25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>
        <v>7</v>
      </c>
      <c r="J1756" s="4">
        <v>772.77</v>
      </c>
      <c r="K1756" s="6">
        <v>4.29</v>
      </c>
      <c r="L1756" s="4">
        <v>5177.33</v>
      </c>
      <c r="M1756" s="4" t="str" cm="1">
        <f t="array" ref="M1756">IF(Excel_Advanced_Sales_Dataset_2000__3[[#This Row],[Total Sales]]&gt;50000,{"Yes"},{"No"})</f>
        <v>No</v>
      </c>
      <c r="N1756" s="5">
        <v>46204</v>
      </c>
      <c r="O1756" s="1" t="s">
        <v>113</v>
      </c>
      <c r="P1756" t="s">
        <v>35</v>
      </c>
      <c r="Q1756" t="str">
        <f>IF(Excel_Advanced_Sales_Dataset_2000__3[[#This Row],[Delivery Status]]="Pending","Follow Up","Ok")</f>
        <v>Ok</v>
      </c>
      <c r="R1756" s="1" t="s">
        <v>36</v>
      </c>
      <c r="S1756">
        <f>Excel_Advanced_Sales_Dataset_2000__3[[#This Row],[Quantity]]*Excel_Advanced_Sales_Dataset_2000__3[[#This Row],[Unit Price]]*Excel_Advanced_Sales_Dataset_2000__3[[#This Row],[Discount %]]/100</f>
        <v>232.06283099999996</v>
      </c>
      <c r="T1756" s="4">
        <f>Excel_Advanced_Sales_Dataset_2000__3[[#This Row],[Quantity]]*Excel_Advanced_Sales_Dataset_2000__3[[#This Row],[Unit Price]]-Excel_Advanced_Sales_Dataset_2000__3[[#This Row],[Discount Amount]]</f>
        <v>5177.3271689999992</v>
      </c>
    </row>
    <row r="1757" spans="1:20" x14ac:dyDescent="0.25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>
        <v>6</v>
      </c>
      <c r="J1757" s="4">
        <v>3300.91</v>
      </c>
      <c r="K1757" s="6">
        <v>3.65</v>
      </c>
      <c r="L1757" s="4">
        <v>19082.560000000001</v>
      </c>
      <c r="M1757" s="4" t="str" cm="1">
        <f t="array" ref="M1757">IF(Excel_Advanced_Sales_Dataset_2000__3[[#This Row],[Total Sales]]&gt;50000,{"Yes"},{"No"})</f>
        <v>No</v>
      </c>
      <c r="N1757" s="5">
        <v>46308</v>
      </c>
      <c r="O1757" s="1" t="s">
        <v>24</v>
      </c>
      <c r="P1757" t="s">
        <v>35</v>
      </c>
      <c r="Q1757" t="str">
        <f>IF(Excel_Advanced_Sales_Dataset_2000__3[[#This Row],[Delivery Status]]="Pending","Follow Up","Ok")</f>
        <v>Ok</v>
      </c>
      <c r="R1757" s="1" t="s">
        <v>53</v>
      </c>
      <c r="S1757">
        <f>Excel_Advanced_Sales_Dataset_2000__3[[#This Row],[Quantity]]*Excel_Advanced_Sales_Dataset_2000__3[[#This Row],[Unit Price]]*Excel_Advanced_Sales_Dataset_2000__3[[#This Row],[Discount %]]/100</f>
        <v>722.89928999999984</v>
      </c>
      <c r="T1757" s="4">
        <f>Excel_Advanced_Sales_Dataset_2000__3[[#This Row],[Quantity]]*Excel_Advanced_Sales_Dataset_2000__3[[#This Row],[Unit Price]]-Excel_Advanced_Sales_Dataset_2000__3[[#This Row],[Discount Amount]]</f>
        <v>19082.560709999998</v>
      </c>
    </row>
    <row r="1758" spans="1:20" x14ac:dyDescent="0.25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>
        <v>50</v>
      </c>
      <c r="J1758" s="4">
        <v>26137.27</v>
      </c>
      <c r="K1758" s="6">
        <v>17.13</v>
      </c>
      <c r="L1758" s="4">
        <v>1082997.78</v>
      </c>
      <c r="M1758" s="4" t="str" cm="1">
        <f t="array" ref="M1758">IF(Excel_Advanced_Sales_Dataset_2000__3[[#This Row],[Total Sales]]&gt;50000,{"Yes"},{"No"})</f>
        <v>Yes</v>
      </c>
      <c r="N1758" s="5">
        <v>46036</v>
      </c>
      <c r="O1758" s="1" t="s">
        <v>24</v>
      </c>
      <c r="P1758" t="s">
        <v>35</v>
      </c>
      <c r="Q1758" t="str">
        <f>IF(Excel_Advanced_Sales_Dataset_2000__3[[#This Row],[Delivery Status]]="Pending","Follow Up","Ok")</f>
        <v>Ok</v>
      </c>
      <c r="R1758" s="1" t="s">
        <v>26</v>
      </c>
      <c r="S1758">
        <f>Excel_Advanced_Sales_Dataset_2000__3[[#This Row],[Quantity]]*Excel_Advanced_Sales_Dataset_2000__3[[#This Row],[Unit Price]]*Excel_Advanced_Sales_Dataset_2000__3[[#This Row],[Discount %]]/100</f>
        <v>223865.71755</v>
      </c>
      <c r="T1758" s="4">
        <f>Excel_Advanced_Sales_Dataset_2000__3[[#This Row],[Quantity]]*Excel_Advanced_Sales_Dataset_2000__3[[#This Row],[Unit Price]]-Excel_Advanced_Sales_Dataset_2000__3[[#This Row],[Discount Amount]]</f>
        <v>1082997.7824500001</v>
      </c>
    </row>
    <row r="1759" spans="1:20" x14ac:dyDescent="0.25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>
        <v>37</v>
      </c>
      <c r="J1759" s="4">
        <v>28322.81</v>
      </c>
      <c r="K1759" s="6">
        <v>3.11</v>
      </c>
      <c r="L1759" s="4">
        <v>1015352.91</v>
      </c>
      <c r="M1759" s="4" t="str" cm="1">
        <f t="array" ref="M1759">IF(Excel_Advanced_Sales_Dataset_2000__3[[#This Row],[Total Sales]]&gt;50000,{"Yes"},{"No"})</f>
        <v>Yes</v>
      </c>
      <c r="N1759" s="5">
        <v>46079</v>
      </c>
      <c r="O1759" s="1" t="s">
        <v>113</v>
      </c>
      <c r="P1759" t="s">
        <v>35</v>
      </c>
      <c r="Q1759" t="str">
        <f>IF(Excel_Advanced_Sales_Dataset_2000__3[[#This Row],[Delivery Status]]="Pending","Follow Up","Ok")</f>
        <v>Ok</v>
      </c>
      <c r="R1759" s="1" t="s">
        <v>36</v>
      </c>
      <c r="S1759">
        <f>Excel_Advanced_Sales_Dataset_2000__3[[#This Row],[Quantity]]*Excel_Advanced_Sales_Dataset_2000__3[[#This Row],[Unit Price]]*Excel_Advanced_Sales_Dataset_2000__3[[#This Row],[Discount %]]/100</f>
        <v>32591.057466999999</v>
      </c>
      <c r="T1759" s="4">
        <f>Excel_Advanced_Sales_Dataset_2000__3[[#This Row],[Quantity]]*Excel_Advanced_Sales_Dataset_2000__3[[#This Row],[Unit Price]]-Excel_Advanced_Sales_Dataset_2000__3[[#This Row],[Discount Amount]]</f>
        <v>1015352.9125330001</v>
      </c>
    </row>
    <row r="1760" spans="1:20" x14ac:dyDescent="0.25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>
        <v>15</v>
      </c>
      <c r="J1760" s="4">
        <v>44398.98</v>
      </c>
      <c r="K1760" s="6">
        <v>10.27</v>
      </c>
      <c r="L1760" s="4">
        <v>597588.06999999995</v>
      </c>
      <c r="M1760" s="4" t="str" cm="1">
        <f t="array" ref="M1760">IF(Excel_Advanced_Sales_Dataset_2000__3[[#This Row],[Total Sales]]&gt;50000,{"Yes"},{"No"})</f>
        <v>Yes</v>
      </c>
      <c r="N1760" s="5">
        <v>46051</v>
      </c>
      <c r="O1760" s="1" t="s">
        <v>24</v>
      </c>
      <c r="P1760" t="s">
        <v>35</v>
      </c>
      <c r="Q1760" t="str">
        <f>IF(Excel_Advanced_Sales_Dataset_2000__3[[#This Row],[Delivery Status]]="Pending","Follow Up","Ok")</f>
        <v>Ok</v>
      </c>
      <c r="R1760" s="1" t="s">
        <v>26</v>
      </c>
      <c r="S1760">
        <f>Excel_Advanced_Sales_Dataset_2000__3[[#This Row],[Quantity]]*Excel_Advanced_Sales_Dataset_2000__3[[#This Row],[Unit Price]]*Excel_Advanced_Sales_Dataset_2000__3[[#This Row],[Discount %]]/100</f>
        <v>68396.628690000012</v>
      </c>
      <c r="T1760" s="4">
        <f>Excel_Advanced_Sales_Dataset_2000__3[[#This Row],[Quantity]]*Excel_Advanced_Sales_Dataset_2000__3[[#This Row],[Unit Price]]-Excel_Advanced_Sales_Dataset_2000__3[[#This Row],[Discount Amount]]</f>
        <v>597588.07131000003</v>
      </c>
    </row>
    <row r="1761" spans="1:20" x14ac:dyDescent="0.25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>
        <v>19</v>
      </c>
      <c r="J1761" s="4">
        <v>24605.61</v>
      </c>
      <c r="K1761" s="6">
        <v>6.31</v>
      </c>
      <c r="L1761" s="4">
        <v>438006.92</v>
      </c>
      <c r="M1761" s="4" t="str" cm="1">
        <f t="array" ref="M1761">IF(Excel_Advanced_Sales_Dataset_2000__3[[#This Row],[Total Sales]]&gt;50000,{"Yes"},{"No"})</f>
        <v>Yes</v>
      </c>
      <c r="N1761" s="5">
        <v>46053</v>
      </c>
      <c r="O1761" s="1" t="s">
        <v>68</v>
      </c>
      <c r="P1761" t="s">
        <v>35</v>
      </c>
      <c r="Q1761" t="str">
        <f>IF(Excel_Advanced_Sales_Dataset_2000__3[[#This Row],[Delivery Status]]="Pending","Follow Up","Ok")</f>
        <v>Ok</v>
      </c>
      <c r="R1761" s="1" t="s">
        <v>36</v>
      </c>
      <c r="S1761">
        <f>Excel_Advanced_Sales_Dataset_2000__3[[#This Row],[Quantity]]*Excel_Advanced_Sales_Dataset_2000__3[[#This Row],[Unit Price]]*Excel_Advanced_Sales_Dataset_2000__3[[#This Row],[Discount %]]/100</f>
        <v>29499.665828999998</v>
      </c>
      <c r="T1761" s="4">
        <f>Excel_Advanced_Sales_Dataset_2000__3[[#This Row],[Quantity]]*Excel_Advanced_Sales_Dataset_2000__3[[#This Row],[Unit Price]]-Excel_Advanced_Sales_Dataset_2000__3[[#This Row],[Discount Amount]]</f>
        <v>438006.92417100002</v>
      </c>
    </row>
    <row r="1762" spans="1:20" x14ac:dyDescent="0.25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>
        <v>15</v>
      </c>
      <c r="J1762" s="4">
        <v>19167.82</v>
      </c>
      <c r="K1762" s="6">
        <v>1.65</v>
      </c>
      <c r="L1762" s="4">
        <v>282773.26</v>
      </c>
      <c r="M1762" s="4" t="str" cm="1">
        <f t="array" ref="M1762">IF(Excel_Advanced_Sales_Dataset_2000__3[[#This Row],[Total Sales]]&gt;50000,{"Yes"},{"No"})</f>
        <v>Yes</v>
      </c>
      <c r="N1762" s="5">
        <v>46081</v>
      </c>
      <c r="O1762" s="1" t="s">
        <v>58</v>
      </c>
      <c r="P1762" t="s">
        <v>25</v>
      </c>
      <c r="Q1762" t="str">
        <f>IF(Excel_Advanced_Sales_Dataset_2000__3[[#This Row],[Delivery Status]]="Pending","Follow Up","Ok")</f>
        <v>Follow Up</v>
      </c>
      <c r="R1762" s="1" t="s">
        <v>53</v>
      </c>
      <c r="S1762">
        <f>Excel_Advanced_Sales_Dataset_2000__3[[#This Row],[Quantity]]*Excel_Advanced_Sales_Dataset_2000__3[[#This Row],[Unit Price]]*Excel_Advanced_Sales_Dataset_2000__3[[#This Row],[Discount %]]/100</f>
        <v>4744.0354499999994</v>
      </c>
      <c r="T1762" s="4">
        <f>Excel_Advanced_Sales_Dataset_2000__3[[#This Row],[Quantity]]*Excel_Advanced_Sales_Dataset_2000__3[[#This Row],[Unit Price]]-Excel_Advanced_Sales_Dataset_2000__3[[#This Row],[Discount Amount]]</f>
        <v>282773.26454999996</v>
      </c>
    </row>
    <row r="1763" spans="1:20" x14ac:dyDescent="0.25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>
        <v>48</v>
      </c>
      <c r="J1763" s="4">
        <v>40033.68</v>
      </c>
      <c r="K1763" s="6">
        <v>3.47</v>
      </c>
      <c r="L1763" s="4">
        <v>1854936.54</v>
      </c>
      <c r="M1763" s="4" t="str" cm="1">
        <f t="array" ref="M1763">IF(Excel_Advanced_Sales_Dataset_2000__3[[#This Row],[Total Sales]]&gt;50000,{"Yes"},{"No"})</f>
        <v>Yes</v>
      </c>
      <c r="N1763" s="5">
        <v>46276</v>
      </c>
      <c r="O1763" s="1" t="s">
        <v>113</v>
      </c>
      <c r="P1763" t="s">
        <v>35</v>
      </c>
      <c r="Q1763" t="str">
        <f>IF(Excel_Advanced_Sales_Dataset_2000__3[[#This Row],[Delivery Status]]="Pending","Follow Up","Ok")</f>
        <v>Ok</v>
      </c>
      <c r="R1763" s="1" t="s">
        <v>53</v>
      </c>
      <c r="S1763">
        <f>Excel_Advanced_Sales_Dataset_2000__3[[#This Row],[Quantity]]*Excel_Advanced_Sales_Dataset_2000__3[[#This Row],[Unit Price]]*Excel_Advanced_Sales_Dataset_2000__3[[#This Row],[Discount %]]/100</f>
        <v>66680.097408000001</v>
      </c>
      <c r="T1763" s="4">
        <f>Excel_Advanced_Sales_Dataset_2000__3[[#This Row],[Quantity]]*Excel_Advanced_Sales_Dataset_2000__3[[#This Row],[Unit Price]]-Excel_Advanced_Sales_Dataset_2000__3[[#This Row],[Discount Amount]]</f>
        <v>1854936.5425920002</v>
      </c>
    </row>
    <row r="1764" spans="1:20" x14ac:dyDescent="0.25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>
        <v>1</v>
      </c>
      <c r="J1764" s="4">
        <v>6978.81</v>
      </c>
      <c r="K1764" s="6">
        <v>10.75</v>
      </c>
      <c r="L1764" s="4">
        <v>6228.59</v>
      </c>
      <c r="M1764" s="4" t="str" cm="1">
        <f t="array" ref="M1764">IF(Excel_Advanced_Sales_Dataset_2000__3[[#This Row],[Total Sales]]&gt;50000,{"Yes"},{"No"})</f>
        <v>No</v>
      </c>
      <c r="N1764" s="5">
        <v>46055</v>
      </c>
      <c r="O1764" s="1" t="s">
        <v>113</v>
      </c>
      <c r="P1764" t="s">
        <v>25</v>
      </c>
      <c r="Q1764" t="str">
        <f>IF(Excel_Advanced_Sales_Dataset_2000__3[[#This Row],[Delivery Status]]="Pending","Follow Up","Ok")</f>
        <v>Follow Up</v>
      </c>
      <c r="R1764" s="1" t="s">
        <v>26</v>
      </c>
      <c r="S1764">
        <f>Excel_Advanced_Sales_Dataset_2000__3[[#This Row],[Quantity]]*Excel_Advanced_Sales_Dataset_2000__3[[#This Row],[Unit Price]]*Excel_Advanced_Sales_Dataset_2000__3[[#This Row],[Discount %]]/100</f>
        <v>750.22207500000002</v>
      </c>
      <c r="T1764" s="4">
        <f>Excel_Advanced_Sales_Dataset_2000__3[[#This Row],[Quantity]]*Excel_Advanced_Sales_Dataset_2000__3[[#This Row],[Unit Price]]-Excel_Advanced_Sales_Dataset_2000__3[[#This Row],[Discount Amount]]</f>
        <v>6228.5879250000007</v>
      </c>
    </row>
    <row r="1765" spans="1:20" x14ac:dyDescent="0.25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>
        <v>27</v>
      </c>
      <c r="J1765" s="4">
        <v>8010.84</v>
      </c>
      <c r="K1765" s="6">
        <v>14.39</v>
      </c>
      <c r="L1765" s="4">
        <v>185168.16</v>
      </c>
      <c r="M1765" s="4" t="str" cm="1">
        <f t="array" ref="M1765">IF(Excel_Advanced_Sales_Dataset_2000__3[[#This Row],[Total Sales]]&gt;50000,{"Yes"},{"No"})</f>
        <v>Yes</v>
      </c>
      <c r="N1765" s="5">
        <v>46113</v>
      </c>
      <c r="O1765" s="1" t="s">
        <v>68</v>
      </c>
      <c r="P1765" t="s">
        <v>35</v>
      </c>
      <c r="Q1765" t="str">
        <f>IF(Excel_Advanced_Sales_Dataset_2000__3[[#This Row],[Delivery Status]]="Pending","Follow Up","Ok")</f>
        <v>Ok</v>
      </c>
      <c r="R1765" s="1" t="s">
        <v>26</v>
      </c>
      <c r="S1765">
        <f>Excel_Advanced_Sales_Dataset_2000__3[[#This Row],[Quantity]]*Excel_Advanced_Sales_Dataset_2000__3[[#This Row],[Unit Price]]*Excel_Advanced_Sales_Dataset_2000__3[[#This Row],[Discount %]]/100</f>
        <v>31124.516652000002</v>
      </c>
      <c r="T1765" s="4">
        <f>Excel_Advanced_Sales_Dataset_2000__3[[#This Row],[Quantity]]*Excel_Advanced_Sales_Dataset_2000__3[[#This Row],[Unit Price]]-Excel_Advanced_Sales_Dataset_2000__3[[#This Row],[Discount Amount]]</f>
        <v>185168.163348</v>
      </c>
    </row>
    <row r="1766" spans="1:20" x14ac:dyDescent="0.25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>
        <v>14</v>
      </c>
      <c r="J1766" s="4">
        <v>38615.99</v>
      </c>
      <c r="K1766" s="6">
        <v>6.58</v>
      </c>
      <c r="L1766" s="4">
        <v>505050.81</v>
      </c>
      <c r="M1766" s="4" t="str" cm="1">
        <f t="array" ref="M1766">IF(Excel_Advanced_Sales_Dataset_2000__3[[#This Row],[Total Sales]]&gt;50000,{"Yes"},{"No"})</f>
        <v>Yes</v>
      </c>
      <c r="N1766" s="5">
        <v>46194</v>
      </c>
      <c r="O1766" s="1" t="s">
        <v>113</v>
      </c>
      <c r="P1766" t="s">
        <v>35</v>
      </c>
      <c r="Q1766" t="str">
        <f>IF(Excel_Advanced_Sales_Dataset_2000__3[[#This Row],[Delivery Status]]="Pending","Follow Up","Ok")</f>
        <v>Ok</v>
      </c>
      <c r="R1766" s="1" t="s">
        <v>53</v>
      </c>
      <c r="S1766">
        <f>Excel_Advanced_Sales_Dataset_2000__3[[#This Row],[Quantity]]*Excel_Advanced_Sales_Dataset_2000__3[[#This Row],[Unit Price]]*Excel_Advanced_Sales_Dataset_2000__3[[#This Row],[Discount %]]/100</f>
        <v>35573.049987999999</v>
      </c>
      <c r="T1766" s="4">
        <f>Excel_Advanced_Sales_Dataset_2000__3[[#This Row],[Quantity]]*Excel_Advanced_Sales_Dataset_2000__3[[#This Row],[Unit Price]]-Excel_Advanced_Sales_Dataset_2000__3[[#This Row],[Discount Amount]]</f>
        <v>505050.81001199997</v>
      </c>
    </row>
    <row r="1767" spans="1:20" x14ac:dyDescent="0.25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>
        <v>20</v>
      </c>
      <c r="J1767" s="4">
        <v>24979.72</v>
      </c>
      <c r="K1767" s="6">
        <v>8.09</v>
      </c>
      <c r="L1767" s="4">
        <v>459177.21</v>
      </c>
      <c r="M1767" s="4" t="str" cm="1">
        <f t="array" ref="M1767">IF(Excel_Advanced_Sales_Dataset_2000__3[[#This Row],[Total Sales]]&gt;50000,{"Yes"},{"No"})</f>
        <v>Yes</v>
      </c>
      <c r="N1767" s="5">
        <v>46357</v>
      </c>
      <c r="O1767" s="1" t="s">
        <v>24</v>
      </c>
      <c r="P1767" t="s">
        <v>35</v>
      </c>
      <c r="Q1767" t="str">
        <f>IF(Excel_Advanced_Sales_Dataset_2000__3[[#This Row],[Delivery Status]]="Pending","Follow Up","Ok")</f>
        <v>Ok</v>
      </c>
      <c r="R1767" s="1" t="s">
        <v>53</v>
      </c>
      <c r="S1767">
        <f>Excel_Advanced_Sales_Dataset_2000__3[[#This Row],[Quantity]]*Excel_Advanced_Sales_Dataset_2000__3[[#This Row],[Unit Price]]*Excel_Advanced_Sales_Dataset_2000__3[[#This Row],[Discount %]]/100</f>
        <v>40417.186959999999</v>
      </c>
      <c r="T1767" s="4">
        <f>Excel_Advanced_Sales_Dataset_2000__3[[#This Row],[Quantity]]*Excel_Advanced_Sales_Dataset_2000__3[[#This Row],[Unit Price]]-Excel_Advanced_Sales_Dataset_2000__3[[#This Row],[Discount Amount]]</f>
        <v>459177.21304</v>
      </c>
    </row>
    <row r="1768" spans="1:20" x14ac:dyDescent="0.25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>
        <v>4</v>
      </c>
      <c r="J1768" s="4">
        <v>16019.01</v>
      </c>
      <c r="K1768" s="6">
        <v>1.41</v>
      </c>
      <c r="L1768" s="4">
        <v>63172.57</v>
      </c>
      <c r="M1768" s="4" t="str" cm="1">
        <f t="array" ref="M1768">IF(Excel_Advanced_Sales_Dataset_2000__3[[#This Row],[Total Sales]]&gt;50000,{"Yes"},{"No"})</f>
        <v>Yes</v>
      </c>
      <c r="N1768" s="5">
        <v>46070</v>
      </c>
      <c r="O1768" s="1" t="s">
        <v>24</v>
      </c>
      <c r="P1768" t="s">
        <v>35</v>
      </c>
      <c r="Q1768" t="str">
        <f>IF(Excel_Advanced_Sales_Dataset_2000__3[[#This Row],[Delivery Status]]="Pending","Follow Up","Ok")</f>
        <v>Ok</v>
      </c>
      <c r="R1768" s="1" t="s">
        <v>53</v>
      </c>
      <c r="S1768">
        <f>Excel_Advanced_Sales_Dataset_2000__3[[#This Row],[Quantity]]*Excel_Advanced_Sales_Dataset_2000__3[[#This Row],[Unit Price]]*Excel_Advanced_Sales_Dataset_2000__3[[#This Row],[Discount %]]/100</f>
        <v>903.47216399999991</v>
      </c>
      <c r="T1768" s="4">
        <f>Excel_Advanced_Sales_Dataset_2000__3[[#This Row],[Quantity]]*Excel_Advanced_Sales_Dataset_2000__3[[#This Row],[Unit Price]]-Excel_Advanced_Sales_Dataset_2000__3[[#This Row],[Discount Amount]]</f>
        <v>63172.567836000002</v>
      </c>
    </row>
    <row r="1769" spans="1:20" x14ac:dyDescent="0.25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>
        <v>8</v>
      </c>
      <c r="J1769" s="4">
        <v>37191.980000000003</v>
      </c>
      <c r="K1769" s="6">
        <v>18.8</v>
      </c>
      <c r="L1769" s="4">
        <v>241599.1</v>
      </c>
      <c r="M1769" s="4" t="str" cm="1">
        <f t="array" ref="M1769">IF(Excel_Advanced_Sales_Dataset_2000__3[[#This Row],[Total Sales]]&gt;50000,{"Yes"},{"No"})</f>
        <v>Yes</v>
      </c>
      <c r="N1769" s="5">
        <v>46071</v>
      </c>
      <c r="O1769" s="1" t="s">
        <v>68</v>
      </c>
      <c r="P1769" t="s">
        <v>35</v>
      </c>
      <c r="Q1769" t="str">
        <f>IF(Excel_Advanced_Sales_Dataset_2000__3[[#This Row],[Delivery Status]]="Pending","Follow Up","Ok")</f>
        <v>Ok</v>
      </c>
      <c r="R1769" s="1" t="s">
        <v>53</v>
      </c>
      <c r="S1769">
        <f>Excel_Advanced_Sales_Dataset_2000__3[[#This Row],[Quantity]]*Excel_Advanced_Sales_Dataset_2000__3[[#This Row],[Unit Price]]*Excel_Advanced_Sales_Dataset_2000__3[[#This Row],[Discount %]]/100</f>
        <v>55936.737920000007</v>
      </c>
      <c r="T1769" s="4">
        <f>Excel_Advanced_Sales_Dataset_2000__3[[#This Row],[Quantity]]*Excel_Advanced_Sales_Dataset_2000__3[[#This Row],[Unit Price]]-Excel_Advanced_Sales_Dataset_2000__3[[#This Row],[Discount Amount]]</f>
        <v>241599.10208000001</v>
      </c>
    </row>
    <row r="1770" spans="1:20" x14ac:dyDescent="0.25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>
        <v>29</v>
      </c>
      <c r="J1770" s="4">
        <v>12851.03</v>
      </c>
      <c r="K1770" s="6">
        <v>7.72</v>
      </c>
      <c r="L1770" s="4">
        <v>343908.98</v>
      </c>
      <c r="M1770" s="4" t="str" cm="1">
        <f t="array" ref="M1770">IF(Excel_Advanced_Sales_Dataset_2000__3[[#This Row],[Total Sales]]&gt;50000,{"Yes"},{"No"})</f>
        <v>Yes</v>
      </c>
      <c r="N1770" s="5">
        <v>46230</v>
      </c>
      <c r="O1770" s="1" t="s">
        <v>24</v>
      </c>
      <c r="P1770" t="s">
        <v>25</v>
      </c>
      <c r="Q1770" t="str">
        <f>IF(Excel_Advanced_Sales_Dataset_2000__3[[#This Row],[Delivery Status]]="Pending","Follow Up","Ok")</f>
        <v>Follow Up</v>
      </c>
      <c r="R1770" s="1" t="s">
        <v>26</v>
      </c>
      <c r="S1770">
        <f>Excel_Advanced_Sales_Dataset_2000__3[[#This Row],[Quantity]]*Excel_Advanced_Sales_Dataset_2000__3[[#This Row],[Unit Price]]*Excel_Advanced_Sales_Dataset_2000__3[[#This Row],[Discount %]]/100</f>
        <v>28770.885963999997</v>
      </c>
      <c r="T1770" s="4">
        <f>Excel_Advanced_Sales_Dataset_2000__3[[#This Row],[Quantity]]*Excel_Advanced_Sales_Dataset_2000__3[[#This Row],[Unit Price]]-Excel_Advanced_Sales_Dataset_2000__3[[#This Row],[Discount Amount]]</f>
        <v>343908.98403599998</v>
      </c>
    </row>
    <row r="1771" spans="1:20" x14ac:dyDescent="0.25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>
        <v>39</v>
      </c>
      <c r="J1771" s="4">
        <v>32313.38</v>
      </c>
      <c r="K1771" s="6">
        <v>9.85</v>
      </c>
      <c r="L1771" s="4">
        <v>1136089.97</v>
      </c>
      <c r="M1771" s="4" t="str" cm="1">
        <f t="array" ref="M1771">IF(Excel_Advanced_Sales_Dataset_2000__3[[#This Row],[Total Sales]]&gt;50000,{"Yes"},{"No"})</f>
        <v>Yes</v>
      </c>
      <c r="N1771" s="5">
        <v>46189</v>
      </c>
      <c r="O1771" s="1" t="s">
        <v>58</v>
      </c>
      <c r="P1771" t="s">
        <v>35</v>
      </c>
      <c r="Q1771" t="str">
        <f>IF(Excel_Advanced_Sales_Dataset_2000__3[[#This Row],[Delivery Status]]="Pending","Follow Up","Ok")</f>
        <v>Ok</v>
      </c>
      <c r="R1771" s="1" t="s">
        <v>36</v>
      </c>
      <c r="S1771">
        <f>Excel_Advanced_Sales_Dataset_2000__3[[#This Row],[Quantity]]*Excel_Advanced_Sales_Dataset_2000__3[[#This Row],[Unit Price]]*Excel_Advanced_Sales_Dataset_2000__3[[#This Row],[Discount %]]/100</f>
        <v>124131.84927000001</v>
      </c>
      <c r="T1771" s="4">
        <f>Excel_Advanced_Sales_Dataset_2000__3[[#This Row],[Quantity]]*Excel_Advanced_Sales_Dataset_2000__3[[#This Row],[Unit Price]]-Excel_Advanced_Sales_Dataset_2000__3[[#This Row],[Discount Amount]]</f>
        <v>1136089.9707300002</v>
      </c>
    </row>
    <row r="1772" spans="1:20" x14ac:dyDescent="0.25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>
        <v>30</v>
      </c>
      <c r="J1772" s="4">
        <v>39771.99</v>
      </c>
      <c r="K1772" s="6">
        <v>9.81</v>
      </c>
      <c r="L1772" s="4">
        <v>1076110.73</v>
      </c>
      <c r="M1772" s="4" t="str" cm="1">
        <f t="array" ref="M1772">IF(Excel_Advanced_Sales_Dataset_2000__3[[#This Row],[Total Sales]]&gt;50000,{"Yes"},{"No"})</f>
        <v>Yes</v>
      </c>
      <c r="N1772" s="5">
        <v>46086</v>
      </c>
      <c r="O1772" s="1" t="s">
        <v>113</v>
      </c>
      <c r="P1772" t="s">
        <v>35</v>
      </c>
      <c r="Q1772" t="str">
        <f>IF(Excel_Advanced_Sales_Dataset_2000__3[[#This Row],[Delivery Status]]="Pending","Follow Up","Ok")</f>
        <v>Ok</v>
      </c>
      <c r="R1772" s="1" t="s">
        <v>36</v>
      </c>
      <c r="S1772">
        <f>Excel_Advanced_Sales_Dataset_2000__3[[#This Row],[Quantity]]*Excel_Advanced_Sales_Dataset_2000__3[[#This Row],[Unit Price]]*Excel_Advanced_Sales_Dataset_2000__3[[#This Row],[Discount %]]/100</f>
        <v>117048.96656999999</v>
      </c>
      <c r="T1772" s="4">
        <f>Excel_Advanced_Sales_Dataset_2000__3[[#This Row],[Quantity]]*Excel_Advanced_Sales_Dataset_2000__3[[#This Row],[Unit Price]]-Excel_Advanced_Sales_Dataset_2000__3[[#This Row],[Discount Amount]]</f>
        <v>1076110.73343</v>
      </c>
    </row>
    <row r="1773" spans="1:20" x14ac:dyDescent="0.25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>
        <v>41</v>
      </c>
      <c r="J1773" s="4">
        <v>25462.19</v>
      </c>
      <c r="K1773" s="6">
        <v>4.2699999999999996</v>
      </c>
      <c r="L1773" s="4">
        <v>999373.13</v>
      </c>
      <c r="M1773" s="4" t="str" cm="1">
        <f t="array" ref="M1773">IF(Excel_Advanced_Sales_Dataset_2000__3[[#This Row],[Total Sales]]&gt;50000,{"Yes"},{"No"})</f>
        <v>Yes</v>
      </c>
      <c r="N1773" s="5">
        <v>46312</v>
      </c>
      <c r="O1773" s="1" t="s">
        <v>113</v>
      </c>
      <c r="P1773" t="s">
        <v>35</v>
      </c>
      <c r="Q1773" t="str">
        <f>IF(Excel_Advanced_Sales_Dataset_2000__3[[#This Row],[Delivery Status]]="Pending","Follow Up","Ok")</f>
        <v>Ok</v>
      </c>
      <c r="R1773" s="1" t="s">
        <v>26</v>
      </c>
      <c r="S1773">
        <f>Excel_Advanced_Sales_Dataset_2000__3[[#This Row],[Quantity]]*Excel_Advanced_Sales_Dataset_2000__3[[#This Row],[Unit Price]]*Excel_Advanced_Sales_Dataset_2000__3[[#This Row],[Discount %]]/100</f>
        <v>44576.656032999999</v>
      </c>
      <c r="T1773" s="4">
        <f>Excel_Advanced_Sales_Dataset_2000__3[[#This Row],[Quantity]]*Excel_Advanced_Sales_Dataset_2000__3[[#This Row],[Unit Price]]-Excel_Advanced_Sales_Dataset_2000__3[[#This Row],[Discount Amount]]</f>
        <v>999373.13396699994</v>
      </c>
    </row>
    <row r="1774" spans="1:20" x14ac:dyDescent="0.25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>
        <v>13</v>
      </c>
      <c r="J1774" s="4">
        <v>45013.94</v>
      </c>
      <c r="K1774" s="6">
        <v>7.83</v>
      </c>
      <c r="L1774" s="4">
        <v>539361.53</v>
      </c>
      <c r="M1774" s="4" t="str" cm="1">
        <f t="array" ref="M1774">IF(Excel_Advanced_Sales_Dataset_2000__3[[#This Row],[Total Sales]]&gt;50000,{"Yes"},{"No"})</f>
        <v>Yes</v>
      </c>
      <c r="N1774" s="5">
        <v>46369</v>
      </c>
      <c r="O1774" s="1" t="s">
        <v>113</v>
      </c>
      <c r="P1774" t="s">
        <v>35</v>
      </c>
      <c r="Q1774" t="str">
        <f>IF(Excel_Advanced_Sales_Dataset_2000__3[[#This Row],[Delivery Status]]="Pending","Follow Up","Ok")</f>
        <v>Ok</v>
      </c>
      <c r="R1774" s="1" t="s">
        <v>26</v>
      </c>
      <c r="S1774">
        <f>Excel_Advanced_Sales_Dataset_2000__3[[#This Row],[Quantity]]*Excel_Advanced_Sales_Dataset_2000__3[[#This Row],[Unit Price]]*Excel_Advanced_Sales_Dataset_2000__3[[#This Row],[Discount %]]/100</f>
        <v>45819.689525999995</v>
      </c>
      <c r="T1774" s="4">
        <f>Excel_Advanced_Sales_Dataset_2000__3[[#This Row],[Quantity]]*Excel_Advanced_Sales_Dataset_2000__3[[#This Row],[Unit Price]]-Excel_Advanced_Sales_Dataset_2000__3[[#This Row],[Discount Amount]]</f>
        <v>539361.53047400003</v>
      </c>
    </row>
    <row r="1775" spans="1:20" x14ac:dyDescent="0.25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>
        <v>28</v>
      </c>
      <c r="J1775" s="4">
        <v>39357.03</v>
      </c>
      <c r="K1775" s="6">
        <v>19.739999999999998</v>
      </c>
      <c r="L1775" s="4">
        <v>884462.66</v>
      </c>
      <c r="M1775" s="4" t="str" cm="1">
        <f t="array" ref="M1775">IF(Excel_Advanced_Sales_Dataset_2000__3[[#This Row],[Total Sales]]&gt;50000,{"Yes"},{"No"})</f>
        <v>Yes</v>
      </c>
      <c r="N1775" s="5">
        <v>46302</v>
      </c>
      <c r="O1775" s="1" t="s">
        <v>58</v>
      </c>
      <c r="P1775" t="s">
        <v>35</v>
      </c>
      <c r="Q1775" t="str">
        <f>IF(Excel_Advanced_Sales_Dataset_2000__3[[#This Row],[Delivery Status]]="Pending","Follow Up","Ok")</f>
        <v>Ok</v>
      </c>
      <c r="R1775" s="1" t="s">
        <v>26</v>
      </c>
      <c r="S1775">
        <f>Excel_Advanced_Sales_Dataset_2000__3[[#This Row],[Quantity]]*Excel_Advanced_Sales_Dataset_2000__3[[#This Row],[Unit Price]]*Excel_Advanced_Sales_Dataset_2000__3[[#This Row],[Discount %]]/100</f>
        <v>217534.17621599993</v>
      </c>
      <c r="T1775" s="4">
        <f>Excel_Advanced_Sales_Dataset_2000__3[[#This Row],[Quantity]]*Excel_Advanced_Sales_Dataset_2000__3[[#This Row],[Unit Price]]-Excel_Advanced_Sales_Dataset_2000__3[[#This Row],[Discount Amount]]</f>
        <v>884462.66378399986</v>
      </c>
    </row>
    <row r="1776" spans="1:20" x14ac:dyDescent="0.25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>
        <v>28</v>
      </c>
      <c r="J1776" s="4">
        <v>27504.85</v>
      </c>
      <c r="K1776" s="6">
        <v>12.44</v>
      </c>
      <c r="L1776" s="4">
        <v>674330.91</v>
      </c>
      <c r="M1776" s="4" t="str" cm="1">
        <f t="array" ref="M1776">IF(Excel_Advanced_Sales_Dataset_2000__3[[#This Row],[Total Sales]]&gt;50000,{"Yes"},{"No"})</f>
        <v>Yes</v>
      </c>
      <c r="N1776" s="5">
        <v>46066</v>
      </c>
      <c r="O1776" s="1" t="s">
        <v>45</v>
      </c>
      <c r="P1776" t="s">
        <v>59</v>
      </c>
      <c r="Q1776" t="str">
        <f>IF(Excel_Advanced_Sales_Dataset_2000__3[[#This Row],[Delivery Status]]="Pending","Follow Up","Ok")</f>
        <v>Ok</v>
      </c>
      <c r="R1776" s="1" t="s">
        <v>26</v>
      </c>
      <c r="S1776">
        <f>Excel_Advanced_Sales_Dataset_2000__3[[#This Row],[Quantity]]*Excel_Advanced_Sales_Dataset_2000__3[[#This Row],[Unit Price]]*Excel_Advanced_Sales_Dataset_2000__3[[#This Row],[Discount %]]/100</f>
        <v>95804.893519999983</v>
      </c>
      <c r="T1776" s="4">
        <f>Excel_Advanced_Sales_Dataset_2000__3[[#This Row],[Quantity]]*Excel_Advanced_Sales_Dataset_2000__3[[#This Row],[Unit Price]]-Excel_Advanced_Sales_Dataset_2000__3[[#This Row],[Discount Amount]]</f>
        <v>674330.90647999989</v>
      </c>
    </row>
    <row r="1777" spans="1:20" x14ac:dyDescent="0.25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>
        <v>21</v>
      </c>
      <c r="J1777" s="4">
        <v>8391.17</v>
      </c>
      <c r="K1777" s="6">
        <v>10.72</v>
      </c>
      <c r="L1777" s="4">
        <v>157324.37</v>
      </c>
      <c r="M1777" s="4" t="str" cm="1">
        <f t="array" ref="M1777">IF(Excel_Advanced_Sales_Dataset_2000__3[[#This Row],[Total Sales]]&gt;50000,{"Yes"},{"No"})</f>
        <v>Yes</v>
      </c>
      <c r="N1777" s="5">
        <v>46237</v>
      </c>
      <c r="O1777" s="1" t="s">
        <v>58</v>
      </c>
      <c r="P1777" t="s">
        <v>35</v>
      </c>
      <c r="Q1777" t="str">
        <f>IF(Excel_Advanced_Sales_Dataset_2000__3[[#This Row],[Delivery Status]]="Pending","Follow Up","Ok")</f>
        <v>Ok</v>
      </c>
      <c r="R1777" s="1" t="s">
        <v>53</v>
      </c>
      <c r="S1777">
        <f>Excel_Advanced_Sales_Dataset_2000__3[[#This Row],[Quantity]]*Excel_Advanced_Sales_Dataset_2000__3[[#This Row],[Unit Price]]*Excel_Advanced_Sales_Dataset_2000__3[[#This Row],[Discount %]]/100</f>
        <v>18890.201904000001</v>
      </c>
      <c r="T1777" s="4">
        <f>Excel_Advanced_Sales_Dataset_2000__3[[#This Row],[Quantity]]*Excel_Advanced_Sales_Dataset_2000__3[[#This Row],[Unit Price]]-Excel_Advanced_Sales_Dataset_2000__3[[#This Row],[Discount Amount]]</f>
        <v>157324.36809599999</v>
      </c>
    </row>
    <row r="1778" spans="1:20" x14ac:dyDescent="0.25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>
        <v>19</v>
      </c>
      <c r="J1778" s="4">
        <v>46846.26</v>
      </c>
      <c r="K1778" s="6">
        <v>14.22</v>
      </c>
      <c r="L1778" s="4">
        <v>763509.71</v>
      </c>
      <c r="M1778" s="4" t="str" cm="1">
        <f t="array" ref="M1778">IF(Excel_Advanced_Sales_Dataset_2000__3[[#This Row],[Total Sales]]&gt;50000,{"Yes"},{"No"})</f>
        <v>Yes</v>
      </c>
      <c r="N1778" s="5">
        <v>46095</v>
      </c>
      <c r="O1778" s="1" t="s">
        <v>113</v>
      </c>
      <c r="P1778" t="s">
        <v>35</v>
      </c>
      <c r="Q1778" t="str">
        <f>IF(Excel_Advanced_Sales_Dataset_2000__3[[#This Row],[Delivery Status]]="Pending","Follow Up","Ok")</f>
        <v>Ok</v>
      </c>
      <c r="R1778" s="1" t="s">
        <v>36</v>
      </c>
      <c r="S1778">
        <f>Excel_Advanced_Sales_Dataset_2000__3[[#This Row],[Quantity]]*Excel_Advanced_Sales_Dataset_2000__3[[#This Row],[Unit Price]]*Excel_Advanced_Sales_Dataset_2000__3[[#This Row],[Discount %]]/100</f>
        <v>126569.22526800001</v>
      </c>
      <c r="T1778" s="4">
        <f>Excel_Advanced_Sales_Dataset_2000__3[[#This Row],[Quantity]]*Excel_Advanced_Sales_Dataset_2000__3[[#This Row],[Unit Price]]-Excel_Advanced_Sales_Dataset_2000__3[[#This Row],[Discount Amount]]</f>
        <v>763509.71473200002</v>
      </c>
    </row>
    <row r="1779" spans="1:20" x14ac:dyDescent="0.25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>
        <v>1</v>
      </c>
      <c r="J1779" s="4">
        <v>10188.959999999999</v>
      </c>
      <c r="K1779" s="6">
        <v>16.739999999999998</v>
      </c>
      <c r="L1779" s="4">
        <v>8483.33</v>
      </c>
      <c r="M1779" s="4" t="str" cm="1">
        <f t="array" ref="M1779">IF(Excel_Advanced_Sales_Dataset_2000__3[[#This Row],[Total Sales]]&gt;50000,{"Yes"},{"No"})</f>
        <v>No</v>
      </c>
      <c r="N1779" s="5">
        <v>46067</v>
      </c>
      <c r="O1779" s="1" t="s">
        <v>58</v>
      </c>
      <c r="P1779" t="s">
        <v>35</v>
      </c>
      <c r="Q1779" t="str">
        <f>IF(Excel_Advanced_Sales_Dataset_2000__3[[#This Row],[Delivery Status]]="Pending","Follow Up","Ok")</f>
        <v>Ok</v>
      </c>
      <c r="R1779" s="1" t="s">
        <v>36</v>
      </c>
      <c r="S1779">
        <f>Excel_Advanced_Sales_Dataset_2000__3[[#This Row],[Quantity]]*Excel_Advanced_Sales_Dataset_2000__3[[#This Row],[Unit Price]]*Excel_Advanced_Sales_Dataset_2000__3[[#This Row],[Discount %]]/100</f>
        <v>1705.6319039999996</v>
      </c>
      <c r="T1779" s="4">
        <f>Excel_Advanced_Sales_Dataset_2000__3[[#This Row],[Quantity]]*Excel_Advanced_Sales_Dataset_2000__3[[#This Row],[Unit Price]]-Excel_Advanced_Sales_Dataset_2000__3[[#This Row],[Discount Amount]]</f>
        <v>8483.3280959999993</v>
      </c>
    </row>
    <row r="1780" spans="1:20" x14ac:dyDescent="0.25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>
        <v>16</v>
      </c>
      <c r="J1780" s="4">
        <v>40179.29</v>
      </c>
      <c r="K1780" s="6">
        <v>4.76</v>
      </c>
      <c r="L1780" s="4">
        <v>612268.09</v>
      </c>
      <c r="M1780" s="4" t="str" cm="1">
        <f t="array" ref="M1780">IF(Excel_Advanced_Sales_Dataset_2000__3[[#This Row],[Total Sales]]&gt;50000,{"Yes"},{"No"})</f>
        <v>Yes</v>
      </c>
      <c r="N1780" s="5">
        <v>46267</v>
      </c>
      <c r="O1780" s="1" t="s">
        <v>24</v>
      </c>
      <c r="P1780" t="s">
        <v>25</v>
      </c>
      <c r="Q1780" t="str">
        <f>IF(Excel_Advanced_Sales_Dataset_2000__3[[#This Row],[Delivery Status]]="Pending","Follow Up","Ok")</f>
        <v>Follow Up</v>
      </c>
      <c r="R1780" s="1" t="s">
        <v>36</v>
      </c>
      <c r="S1780">
        <f>Excel_Advanced_Sales_Dataset_2000__3[[#This Row],[Quantity]]*Excel_Advanced_Sales_Dataset_2000__3[[#This Row],[Unit Price]]*Excel_Advanced_Sales_Dataset_2000__3[[#This Row],[Discount %]]/100</f>
        <v>30600.547264000001</v>
      </c>
      <c r="T1780" s="4">
        <f>Excel_Advanced_Sales_Dataset_2000__3[[#This Row],[Quantity]]*Excel_Advanced_Sales_Dataset_2000__3[[#This Row],[Unit Price]]-Excel_Advanced_Sales_Dataset_2000__3[[#This Row],[Discount Amount]]</f>
        <v>612268.09273599996</v>
      </c>
    </row>
    <row r="1781" spans="1:20" x14ac:dyDescent="0.25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>
        <v>25</v>
      </c>
      <c r="J1781" s="4">
        <v>32533.32</v>
      </c>
      <c r="K1781" s="6">
        <v>3.36</v>
      </c>
      <c r="L1781" s="4">
        <v>786005.01</v>
      </c>
      <c r="M1781" s="4" t="str" cm="1">
        <f t="array" ref="M1781">IF(Excel_Advanced_Sales_Dataset_2000__3[[#This Row],[Total Sales]]&gt;50000,{"Yes"},{"No"})</f>
        <v>Yes</v>
      </c>
      <c r="N1781" s="5">
        <v>46040</v>
      </c>
      <c r="O1781" s="1" t="s">
        <v>113</v>
      </c>
      <c r="P1781" t="s">
        <v>25</v>
      </c>
      <c r="Q1781" t="str">
        <f>IF(Excel_Advanced_Sales_Dataset_2000__3[[#This Row],[Delivery Status]]="Pending","Follow Up","Ok")</f>
        <v>Follow Up</v>
      </c>
      <c r="R1781" s="1" t="s">
        <v>26</v>
      </c>
      <c r="S1781">
        <f>Excel_Advanced_Sales_Dataset_2000__3[[#This Row],[Quantity]]*Excel_Advanced_Sales_Dataset_2000__3[[#This Row],[Unit Price]]*Excel_Advanced_Sales_Dataset_2000__3[[#This Row],[Discount %]]/100</f>
        <v>27327.988799999999</v>
      </c>
      <c r="T1781" s="4">
        <f>Excel_Advanced_Sales_Dataset_2000__3[[#This Row],[Quantity]]*Excel_Advanced_Sales_Dataset_2000__3[[#This Row],[Unit Price]]-Excel_Advanced_Sales_Dataset_2000__3[[#This Row],[Discount Amount]]</f>
        <v>786005.01119999995</v>
      </c>
    </row>
    <row r="1782" spans="1:20" x14ac:dyDescent="0.25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>
        <v>12</v>
      </c>
      <c r="J1782" s="4">
        <v>41844.43</v>
      </c>
      <c r="K1782" s="6">
        <v>11.51</v>
      </c>
      <c r="L1782" s="4">
        <v>444337.63</v>
      </c>
      <c r="M1782" s="4" t="str" cm="1">
        <f t="array" ref="M1782">IF(Excel_Advanced_Sales_Dataset_2000__3[[#This Row],[Total Sales]]&gt;50000,{"Yes"},{"No"})</f>
        <v>Yes</v>
      </c>
      <c r="N1782" s="5">
        <v>46181</v>
      </c>
      <c r="O1782" s="1" t="s">
        <v>68</v>
      </c>
      <c r="P1782" t="s">
        <v>25</v>
      </c>
      <c r="Q1782" t="str">
        <f>IF(Excel_Advanced_Sales_Dataset_2000__3[[#This Row],[Delivery Status]]="Pending","Follow Up","Ok")</f>
        <v>Follow Up</v>
      </c>
      <c r="R1782" s="1" t="s">
        <v>53</v>
      </c>
      <c r="S1782">
        <f>Excel_Advanced_Sales_Dataset_2000__3[[#This Row],[Quantity]]*Excel_Advanced_Sales_Dataset_2000__3[[#This Row],[Unit Price]]*Excel_Advanced_Sales_Dataset_2000__3[[#This Row],[Discount %]]/100</f>
        <v>57795.526716</v>
      </c>
      <c r="T1782" s="4">
        <f>Excel_Advanced_Sales_Dataset_2000__3[[#This Row],[Quantity]]*Excel_Advanced_Sales_Dataset_2000__3[[#This Row],[Unit Price]]-Excel_Advanced_Sales_Dataset_2000__3[[#This Row],[Discount Amount]]</f>
        <v>444337.63328400004</v>
      </c>
    </row>
    <row r="1783" spans="1:20" x14ac:dyDescent="0.25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>
        <v>17</v>
      </c>
      <c r="J1783" s="4">
        <v>39650.71</v>
      </c>
      <c r="K1783" s="6">
        <v>0.37</v>
      </c>
      <c r="L1783" s="4">
        <v>671568.04</v>
      </c>
      <c r="M1783" s="4" t="str" cm="1">
        <f t="array" ref="M1783">IF(Excel_Advanced_Sales_Dataset_2000__3[[#This Row],[Total Sales]]&gt;50000,{"Yes"},{"No"})</f>
        <v>Yes</v>
      </c>
      <c r="N1783" s="5">
        <v>46024</v>
      </c>
      <c r="O1783" s="1" t="s">
        <v>113</v>
      </c>
      <c r="P1783" t="s">
        <v>35</v>
      </c>
      <c r="Q1783" t="str">
        <f>IF(Excel_Advanced_Sales_Dataset_2000__3[[#This Row],[Delivery Status]]="Pending","Follow Up","Ok")</f>
        <v>Ok</v>
      </c>
      <c r="R1783" s="1" t="s">
        <v>26</v>
      </c>
      <c r="S1783">
        <f>Excel_Advanced_Sales_Dataset_2000__3[[#This Row],[Quantity]]*Excel_Advanced_Sales_Dataset_2000__3[[#This Row],[Unit Price]]*Excel_Advanced_Sales_Dataset_2000__3[[#This Row],[Discount %]]/100</f>
        <v>2494.0296589999998</v>
      </c>
      <c r="T1783" s="4">
        <f>Excel_Advanced_Sales_Dataset_2000__3[[#This Row],[Quantity]]*Excel_Advanced_Sales_Dataset_2000__3[[#This Row],[Unit Price]]-Excel_Advanced_Sales_Dataset_2000__3[[#This Row],[Discount Amount]]</f>
        <v>671568.04034099996</v>
      </c>
    </row>
    <row r="1784" spans="1:20" x14ac:dyDescent="0.25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>
        <v>23</v>
      </c>
      <c r="J1784" s="4">
        <v>16939.55</v>
      </c>
      <c r="K1784" s="6">
        <v>0.05</v>
      </c>
      <c r="L1784" s="4">
        <v>389414.85</v>
      </c>
      <c r="M1784" s="4" t="str" cm="1">
        <f t="array" ref="M1784">IF(Excel_Advanced_Sales_Dataset_2000__3[[#This Row],[Total Sales]]&gt;50000,{"Yes"},{"No"})</f>
        <v>Yes</v>
      </c>
      <c r="N1784" s="5">
        <v>46381</v>
      </c>
      <c r="O1784" s="1" t="s">
        <v>45</v>
      </c>
      <c r="P1784" t="s">
        <v>25</v>
      </c>
      <c r="Q1784" t="str">
        <f>IF(Excel_Advanced_Sales_Dataset_2000__3[[#This Row],[Delivery Status]]="Pending","Follow Up","Ok")</f>
        <v>Follow Up</v>
      </c>
      <c r="R1784" s="1" t="s">
        <v>53</v>
      </c>
      <c r="S1784">
        <f>Excel_Advanced_Sales_Dataset_2000__3[[#This Row],[Quantity]]*Excel_Advanced_Sales_Dataset_2000__3[[#This Row],[Unit Price]]*Excel_Advanced_Sales_Dataset_2000__3[[#This Row],[Discount %]]/100</f>
        <v>194.80482499999999</v>
      </c>
      <c r="T1784" s="4">
        <f>Excel_Advanced_Sales_Dataset_2000__3[[#This Row],[Quantity]]*Excel_Advanced_Sales_Dataset_2000__3[[#This Row],[Unit Price]]-Excel_Advanced_Sales_Dataset_2000__3[[#This Row],[Discount Amount]]</f>
        <v>389414.84517499997</v>
      </c>
    </row>
    <row r="1785" spans="1:20" x14ac:dyDescent="0.25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>
        <v>7</v>
      </c>
      <c r="J1785" s="4">
        <v>14105.28</v>
      </c>
      <c r="K1785" s="6">
        <v>9.82</v>
      </c>
      <c r="L1785" s="4">
        <v>89040.99</v>
      </c>
      <c r="M1785" s="4" t="str" cm="1">
        <f t="array" ref="M1785">IF(Excel_Advanced_Sales_Dataset_2000__3[[#This Row],[Total Sales]]&gt;50000,{"Yes"},{"No"})</f>
        <v>Yes</v>
      </c>
      <c r="N1785" s="5">
        <v>46334</v>
      </c>
      <c r="O1785" s="1" t="s">
        <v>113</v>
      </c>
      <c r="P1785" t="s">
        <v>25</v>
      </c>
      <c r="Q1785" t="str">
        <f>IF(Excel_Advanced_Sales_Dataset_2000__3[[#This Row],[Delivery Status]]="Pending","Follow Up","Ok")</f>
        <v>Follow Up</v>
      </c>
      <c r="R1785" s="1" t="s">
        <v>36</v>
      </c>
      <c r="S1785">
        <f>Excel_Advanced_Sales_Dataset_2000__3[[#This Row],[Quantity]]*Excel_Advanced_Sales_Dataset_2000__3[[#This Row],[Unit Price]]*Excel_Advanced_Sales_Dataset_2000__3[[#This Row],[Discount %]]/100</f>
        <v>9695.9694720000007</v>
      </c>
      <c r="T1785" s="4">
        <f>Excel_Advanced_Sales_Dataset_2000__3[[#This Row],[Quantity]]*Excel_Advanced_Sales_Dataset_2000__3[[#This Row],[Unit Price]]-Excel_Advanced_Sales_Dataset_2000__3[[#This Row],[Discount Amount]]</f>
        <v>89040.990528000009</v>
      </c>
    </row>
    <row r="1786" spans="1:20" x14ac:dyDescent="0.25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>
        <v>48</v>
      </c>
      <c r="J1786" s="4">
        <v>11932.1</v>
      </c>
      <c r="K1786" s="6">
        <v>12.79</v>
      </c>
      <c r="L1786" s="4">
        <v>499487.25</v>
      </c>
      <c r="M1786" s="4" t="str" cm="1">
        <f t="array" ref="M1786">IF(Excel_Advanced_Sales_Dataset_2000__3[[#This Row],[Total Sales]]&gt;50000,{"Yes"},{"No"})</f>
        <v>Yes</v>
      </c>
      <c r="N1786" s="5">
        <v>46299</v>
      </c>
      <c r="O1786" s="1" t="s">
        <v>24</v>
      </c>
      <c r="P1786" t="s">
        <v>35</v>
      </c>
      <c r="Q1786" t="str">
        <f>IF(Excel_Advanced_Sales_Dataset_2000__3[[#This Row],[Delivery Status]]="Pending","Follow Up","Ok")</f>
        <v>Ok</v>
      </c>
      <c r="R1786" s="1" t="s">
        <v>26</v>
      </c>
      <c r="S1786">
        <f>Excel_Advanced_Sales_Dataset_2000__3[[#This Row],[Quantity]]*Excel_Advanced_Sales_Dataset_2000__3[[#This Row],[Unit Price]]*Excel_Advanced_Sales_Dataset_2000__3[[#This Row],[Discount %]]/100</f>
        <v>73253.548320000002</v>
      </c>
      <c r="T1786" s="4">
        <f>Excel_Advanced_Sales_Dataset_2000__3[[#This Row],[Quantity]]*Excel_Advanced_Sales_Dataset_2000__3[[#This Row],[Unit Price]]-Excel_Advanced_Sales_Dataset_2000__3[[#This Row],[Discount Amount]]</f>
        <v>499487.25168000004</v>
      </c>
    </row>
    <row r="1787" spans="1:20" x14ac:dyDescent="0.25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>
        <v>5</v>
      </c>
      <c r="J1787" s="4">
        <v>28021.8</v>
      </c>
      <c r="K1787" s="6">
        <v>9.7100000000000009</v>
      </c>
      <c r="L1787" s="4">
        <v>126504.42</v>
      </c>
      <c r="M1787" s="4" t="str" cm="1">
        <f t="array" ref="M1787">IF(Excel_Advanced_Sales_Dataset_2000__3[[#This Row],[Total Sales]]&gt;50000,{"Yes"},{"No"})</f>
        <v>Yes</v>
      </c>
      <c r="N1787" s="5">
        <v>46198</v>
      </c>
      <c r="O1787" s="1" t="s">
        <v>45</v>
      </c>
      <c r="P1787" t="s">
        <v>35</v>
      </c>
      <c r="Q1787" t="str">
        <f>IF(Excel_Advanced_Sales_Dataset_2000__3[[#This Row],[Delivery Status]]="Pending","Follow Up","Ok")</f>
        <v>Ok</v>
      </c>
      <c r="R1787" s="1" t="s">
        <v>53</v>
      </c>
      <c r="S1787">
        <f>Excel_Advanced_Sales_Dataset_2000__3[[#This Row],[Quantity]]*Excel_Advanced_Sales_Dataset_2000__3[[#This Row],[Unit Price]]*Excel_Advanced_Sales_Dataset_2000__3[[#This Row],[Discount %]]/100</f>
        <v>13604.583900000001</v>
      </c>
      <c r="T1787" s="4">
        <f>Excel_Advanced_Sales_Dataset_2000__3[[#This Row],[Quantity]]*Excel_Advanced_Sales_Dataset_2000__3[[#This Row],[Unit Price]]-Excel_Advanced_Sales_Dataset_2000__3[[#This Row],[Discount Amount]]</f>
        <v>126504.4161</v>
      </c>
    </row>
    <row r="1788" spans="1:20" x14ac:dyDescent="0.25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>
        <v>7</v>
      </c>
      <c r="J1788" s="4">
        <v>19774.78</v>
      </c>
      <c r="K1788" s="6">
        <v>9.81</v>
      </c>
      <c r="L1788" s="4">
        <v>124844.12</v>
      </c>
      <c r="M1788" s="4" t="str" cm="1">
        <f t="array" ref="M1788">IF(Excel_Advanced_Sales_Dataset_2000__3[[#This Row],[Total Sales]]&gt;50000,{"Yes"},{"No"})</f>
        <v>Yes</v>
      </c>
      <c r="N1788" s="5">
        <v>46277</v>
      </c>
      <c r="O1788" s="1" t="s">
        <v>24</v>
      </c>
      <c r="P1788" t="s">
        <v>35</v>
      </c>
      <c r="Q1788" t="str">
        <f>IF(Excel_Advanced_Sales_Dataset_2000__3[[#This Row],[Delivery Status]]="Pending","Follow Up","Ok")</f>
        <v>Ok</v>
      </c>
      <c r="R1788" s="1" t="s">
        <v>26</v>
      </c>
      <c r="S1788">
        <f>Excel_Advanced_Sales_Dataset_2000__3[[#This Row],[Quantity]]*Excel_Advanced_Sales_Dataset_2000__3[[#This Row],[Unit Price]]*Excel_Advanced_Sales_Dataset_2000__3[[#This Row],[Discount %]]/100</f>
        <v>13579.341425999999</v>
      </c>
      <c r="T1788" s="4">
        <f>Excel_Advanced_Sales_Dataset_2000__3[[#This Row],[Quantity]]*Excel_Advanced_Sales_Dataset_2000__3[[#This Row],[Unit Price]]-Excel_Advanced_Sales_Dataset_2000__3[[#This Row],[Discount Amount]]</f>
        <v>124844.11857399999</v>
      </c>
    </row>
    <row r="1789" spans="1:20" x14ac:dyDescent="0.25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>
        <v>11</v>
      </c>
      <c r="J1789" s="4">
        <v>42792.09</v>
      </c>
      <c r="K1789" s="6">
        <v>10.9</v>
      </c>
      <c r="L1789" s="4">
        <v>419405.27</v>
      </c>
      <c r="M1789" s="4" t="str" cm="1">
        <f t="array" ref="M1789">IF(Excel_Advanced_Sales_Dataset_2000__3[[#This Row],[Total Sales]]&gt;50000,{"Yes"},{"No"})</f>
        <v>Yes</v>
      </c>
      <c r="N1789" s="5">
        <v>46286</v>
      </c>
      <c r="O1789" s="1" t="s">
        <v>24</v>
      </c>
      <c r="P1789" t="s">
        <v>35</v>
      </c>
      <c r="Q1789" t="str">
        <f>IF(Excel_Advanced_Sales_Dataset_2000__3[[#This Row],[Delivery Status]]="Pending","Follow Up","Ok")</f>
        <v>Ok</v>
      </c>
      <c r="R1789" s="1" t="s">
        <v>26</v>
      </c>
      <c r="S1789">
        <f>Excel_Advanced_Sales_Dataset_2000__3[[#This Row],[Quantity]]*Excel_Advanced_Sales_Dataset_2000__3[[#This Row],[Unit Price]]*Excel_Advanced_Sales_Dataset_2000__3[[#This Row],[Discount %]]/100</f>
        <v>51307.715909999999</v>
      </c>
      <c r="T1789" s="4">
        <f>Excel_Advanced_Sales_Dataset_2000__3[[#This Row],[Quantity]]*Excel_Advanced_Sales_Dataset_2000__3[[#This Row],[Unit Price]]-Excel_Advanced_Sales_Dataset_2000__3[[#This Row],[Discount Amount]]</f>
        <v>419405.27408999996</v>
      </c>
    </row>
    <row r="1790" spans="1:20" x14ac:dyDescent="0.25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>
        <v>30</v>
      </c>
      <c r="J1790" s="4">
        <v>48524.67</v>
      </c>
      <c r="K1790" s="6">
        <v>14.25</v>
      </c>
      <c r="L1790" s="4">
        <v>1248297.1399999999</v>
      </c>
      <c r="M1790" s="4" t="str" cm="1">
        <f t="array" ref="M1790">IF(Excel_Advanced_Sales_Dataset_2000__3[[#This Row],[Total Sales]]&gt;50000,{"Yes"},{"No"})</f>
        <v>Yes</v>
      </c>
      <c r="N1790" s="5">
        <v>46367</v>
      </c>
      <c r="O1790" s="1" t="s">
        <v>24</v>
      </c>
      <c r="P1790" t="s">
        <v>35</v>
      </c>
      <c r="Q1790" t="str">
        <f>IF(Excel_Advanced_Sales_Dataset_2000__3[[#This Row],[Delivery Status]]="Pending","Follow Up","Ok")</f>
        <v>Ok</v>
      </c>
      <c r="R1790" s="1" t="s">
        <v>26</v>
      </c>
      <c r="S1790">
        <f>Excel_Advanced_Sales_Dataset_2000__3[[#This Row],[Quantity]]*Excel_Advanced_Sales_Dataset_2000__3[[#This Row],[Unit Price]]*Excel_Advanced_Sales_Dataset_2000__3[[#This Row],[Discount %]]/100</f>
        <v>207442.96424999996</v>
      </c>
      <c r="T1790" s="4">
        <f>Excel_Advanced_Sales_Dataset_2000__3[[#This Row],[Quantity]]*Excel_Advanced_Sales_Dataset_2000__3[[#This Row],[Unit Price]]-Excel_Advanced_Sales_Dataset_2000__3[[#This Row],[Discount Amount]]</f>
        <v>1248297.1357499999</v>
      </c>
    </row>
    <row r="1791" spans="1:20" x14ac:dyDescent="0.25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>
        <v>20</v>
      </c>
      <c r="J1791" s="4">
        <v>31014.2</v>
      </c>
      <c r="K1791" s="6">
        <v>16.690000000000001</v>
      </c>
      <c r="L1791" s="4">
        <v>516758.6</v>
      </c>
      <c r="M1791" s="4" t="str" cm="1">
        <f t="array" ref="M1791">IF(Excel_Advanced_Sales_Dataset_2000__3[[#This Row],[Total Sales]]&gt;50000,{"Yes"},{"No"})</f>
        <v>Yes</v>
      </c>
      <c r="N1791" s="5">
        <v>46168</v>
      </c>
      <c r="O1791" s="1" t="s">
        <v>45</v>
      </c>
      <c r="P1791" t="s">
        <v>35</v>
      </c>
      <c r="Q1791" t="str">
        <f>IF(Excel_Advanced_Sales_Dataset_2000__3[[#This Row],[Delivery Status]]="Pending","Follow Up","Ok")</f>
        <v>Ok</v>
      </c>
      <c r="R1791" s="1" t="s">
        <v>26</v>
      </c>
      <c r="S1791">
        <f>Excel_Advanced_Sales_Dataset_2000__3[[#This Row],[Quantity]]*Excel_Advanced_Sales_Dataset_2000__3[[#This Row],[Unit Price]]*Excel_Advanced_Sales_Dataset_2000__3[[#This Row],[Discount %]]/100</f>
        <v>103525.3996</v>
      </c>
      <c r="T1791" s="4">
        <f>Excel_Advanced_Sales_Dataset_2000__3[[#This Row],[Quantity]]*Excel_Advanced_Sales_Dataset_2000__3[[#This Row],[Unit Price]]-Excel_Advanced_Sales_Dataset_2000__3[[#This Row],[Discount Amount]]</f>
        <v>516758.6004</v>
      </c>
    </row>
    <row r="1792" spans="1:20" x14ac:dyDescent="0.25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>
        <v>10</v>
      </c>
      <c r="J1792" s="4">
        <v>5364.98</v>
      </c>
      <c r="K1792" s="6">
        <v>0.91</v>
      </c>
      <c r="L1792" s="4">
        <v>53161.59</v>
      </c>
      <c r="M1792" s="4" t="str" cm="1">
        <f t="array" ref="M1792">IF(Excel_Advanced_Sales_Dataset_2000__3[[#This Row],[Total Sales]]&gt;50000,{"Yes"},{"No"})</f>
        <v>Yes</v>
      </c>
      <c r="N1792" s="5">
        <v>46037</v>
      </c>
      <c r="O1792" s="1" t="s">
        <v>45</v>
      </c>
      <c r="P1792" t="s">
        <v>35</v>
      </c>
      <c r="Q1792" t="str">
        <f>IF(Excel_Advanced_Sales_Dataset_2000__3[[#This Row],[Delivery Status]]="Pending","Follow Up","Ok")</f>
        <v>Ok</v>
      </c>
      <c r="R1792" s="1" t="s">
        <v>36</v>
      </c>
      <c r="S1792">
        <f>Excel_Advanced_Sales_Dataset_2000__3[[#This Row],[Quantity]]*Excel_Advanced_Sales_Dataset_2000__3[[#This Row],[Unit Price]]*Excel_Advanced_Sales_Dataset_2000__3[[#This Row],[Discount %]]/100</f>
        <v>488.21317999999997</v>
      </c>
      <c r="T1792" s="4">
        <f>Excel_Advanced_Sales_Dataset_2000__3[[#This Row],[Quantity]]*Excel_Advanced_Sales_Dataset_2000__3[[#This Row],[Unit Price]]-Excel_Advanced_Sales_Dataset_2000__3[[#This Row],[Discount Amount]]</f>
        <v>53161.586819999997</v>
      </c>
    </row>
    <row r="1793" spans="1:20" x14ac:dyDescent="0.25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>
        <v>20</v>
      </c>
      <c r="J1793" s="4">
        <v>10854.36</v>
      </c>
      <c r="K1793" s="6">
        <v>4.8</v>
      </c>
      <c r="L1793" s="4">
        <v>206667.01</v>
      </c>
      <c r="M1793" s="4" t="str" cm="1">
        <f t="array" ref="M1793">IF(Excel_Advanced_Sales_Dataset_2000__3[[#This Row],[Total Sales]]&gt;50000,{"Yes"},{"No"})</f>
        <v>Yes</v>
      </c>
      <c r="N1793" s="5">
        <v>46037</v>
      </c>
      <c r="O1793" s="1" t="s">
        <v>24</v>
      </c>
      <c r="P1793" t="s">
        <v>35</v>
      </c>
      <c r="Q1793" t="str">
        <f>IF(Excel_Advanced_Sales_Dataset_2000__3[[#This Row],[Delivery Status]]="Pending","Follow Up","Ok")</f>
        <v>Ok</v>
      </c>
      <c r="R1793" s="1" t="s">
        <v>26</v>
      </c>
      <c r="S1793">
        <f>Excel_Advanced_Sales_Dataset_2000__3[[#This Row],[Quantity]]*Excel_Advanced_Sales_Dataset_2000__3[[#This Row],[Unit Price]]*Excel_Advanced_Sales_Dataset_2000__3[[#This Row],[Discount %]]/100</f>
        <v>10420.185600000001</v>
      </c>
      <c r="T1793" s="4">
        <f>Excel_Advanced_Sales_Dataset_2000__3[[#This Row],[Quantity]]*Excel_Advanced_Sales_Dataset_2000__3[[#This Row],[Unit Price]]-Excel_Advanced_Sales_Dataset_2000__3[[#This Row],[Discount Amount]]</f>
        <v>206667.01440000001</v>
      </c>
    </row>
    <row r="1794" spans="1:20" x14ac:dyDescent="0.25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>
        <v>14</v>
      </c>
      <c r="J1794" s="4">
        <v>15689.47</v>
      </c>
      <c r="K1794" s="6">
        <v>4.2</v>
      </c>
      <c r="L1794" s="4">
        <v>210427.17</v>
      </c>
      <c r="M1794" s="4" t="str" cm="1">
        <f t="array" ref="M1794">IF(Excel_Advanced_Sales_Dataset_2000__3[[#This Row],[Total Sales]]&gt;50000,{"Yes"},{"No"})</f>
        <v>Yes</v>
      </c>
      <c r="N1794" s="5">
        <v>46113</v>
      </c>
      <c r="O1794" s="1" t="s">
        <v>24</v>
      </c>
      <c r="P1794" t="s">
        <v>25</v>
      </c>
      <c r="Q1794" t="str">
        <f>IF(Excel_Advanced_Sales_Dataset_2000__3[[#This Row],[Delivery Status]]="Pending","Follow Up","Ok")</f>
        <v>Follow Up</v>
      </c>
      <c r="R1794" s="1" t="s">
        <v>53</v>
      </c>
      <c r="S1794">
        <f>Excel_Advanced_Sales_Dataset_2000__3[[#This Row],[Quantity]]*Excel_Advanced_Sales_Dataset_2000__3[[#This Row],[Unit Price]]*Excel_Advanced_Sales_Dataset_2000__3[[#This Row],[Discount %]]/100</f>
        <v>9225.4083599999994</v>
      </c>
      <c r="T1794" s="4">
        <f>Excel_Advanced_Sales_Dataset_2000__3[[#This Row],[Quantity]]*Excel_Advanced_Sales_Dataset_2000__3[[#This Row],[Unit Price]]-Excel_Advanced_Sales_Dataset_2000__3[[#This Row],[Discount Amount]]</f>
        <v>210427.17163999999</v>
      </c>
    </row>
    <row r="1795" spans="1:20" x14ac:dyDescent="0.25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>
        <v>13</v>
      </c>
      <c r="J1795" s="4">
        <v>2839.94</v>
      </c>
      <c r="K1795" s="6">
        <v>9.6199999999999992</v>
      </c>
      <c r="L1795" s="4">
        <v>33367.589999999997</v>
      </c>
      <c r="M1795" s="4" t="str" cm="1">
        <f t="array" ref="M1795">IF(Excel_Advanced_Sales_Dataset_2000__3[[#This Row],[Total Sales]]&gt;50000,{"Yes"},{"No"})</f>
        <v>No</v>
      </c>
      <c r="N1795" s="5">
        <v>46315</v>
      </c>
      <c r="O1795" s="1" t="s">
        <v>113</v>
      </c>
      <c r="P1795" t="s">
        <v>35</v>
      </c>
      <c r="Q1795" t="str">
        <f>IF(Excel_Advanced_Sales_Dataset_2000__3[[#This Row],[Delivery Status]]="Pending","Follow Up","Ok")</f>
        <v>Ok</v>
      </c>
      <c r="R1795" s="1" t="s">
        <v>36</v>
      </c>
      <c r="S1795">
        <f>Excel_Advanced_Sales_Dataset_2000__3[[#This Row],[Quantity]]*Excel_Advanced_Sales_Dataset_2000__3[[#This Row],[Unit Price]]*Excel_Advanced_Sales_Dataset_2000__3[[#This Row],[Discount %]]/100</f>
        <v>3551.6289639999995</v>
      </c>
      <c r="T1795" s="4">
        <f>Excel_Advanced_Sales_Dataset_2000__3[[#This Row],[Quantity]]*Excel_Advanced_Sales_Dataset_2000__3[[#This Row],[Unit Price]]-Excel_Advanced_Sales_Dataset_2000__3[[#This Row],[Discount Amount]]</f>
        <v>33367.591035999998</v>
      </c>
    </row>
    <row r="1796" spans="1:20" x14ac:dyDescent="0.25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>
        <v>16</v>
      </c>
      <c r="J1796" s="4">
        <v>1673.3</v>
      </c>
      <c r="K1796" s="6">
        <v>8.51</v>
      </c>
      <c r="L1796" s="4">
        <v>24494.43</v>
      </c>
      <c r="M1796" s="4" t="str" cm="1">
        <f t="array" ref="M1796">IF(Excel_Advanced_Sales_Dataset_2000__3[[#This Row],[Total Sales]]&gt;50000,{"Yes"},{"No"})</f>
        <v>No</v>
      </c>
      <c r="N1796" s="5">
        <v>46190</v>
      </c>
      <c r="O1796" s="1" t="s">
        <v>24</v>
      </c>
      <c r="P1796" t="s">
        <v>35</v>
      </c>
      <c r="Q1796" t="str">
        <f>IF(Excel_Advanced_Sales_Dataset_2000__3[[#This Row],[Delivery Status]]="Pending","Follow Up","Ok")</f>
        <v>Ok</v>
      </c>
      <c r="R1796" s="1" t="s">
        <v>53</v>
      </c>
      <c r="S1796">
        <f>Excel_Advanced_Sales_Dataset_2000__3[[#This Row],[Quantity]]*Excel_Advanced_Sales_Dataset_2000__3[[#This Row],[Unit Price]]*Excel_Advanced_Sales_Dataset_2000__3[[#This Row],[Discount %]]/100</f>
        <v>2278.36528</v>
      </c>
      <c r="T1796" s="4">
        <f>Excel_Advanced_Sales_Dataset_2000__3[[#This Row],[Quantity]]*Excel_Advanced_Sales_Dataset_2000__3[[#This Row],[Unit Price]]-Excel_Advanced_Sales_Dataset_2000__3[[#This Row],[Discount Amount]]</f>
        <v>24494.434719999997</v>
      </c>
    </row>
    <row r="1797" spans="1:20" x14ac:dyDescent="0.25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>
        <v>27</v>
      </c>
      <c r="J1797" s="4">
        <v>45008.6</v>
      </c>
      <c r="K1797" s="6">
        <v>8.14</v>
      </c>
      <c r="L1797" s="4">
        <v>1116312.3</v>
      </c>
      <c r="M1797" s="4" t="str" cm="1">
        <f t="array" ref="M1797">IF(Excel_Advanced_Sales_Dataset_2000__3[[#This Row],[Total Sales]]&gt;50000,{"Yes"},{"No"})</f>
        <v>Yes</v>
      </c>
      <c r="N1797" s="5">
        <v>46172</v>
      </c>
      <c r="O1797" s="1" t="s">
        <v>24</v>
      </c>
      <c r="P1797" t="s">
        <v>35</v>
      </c>
      <c r="Q1797" t="str">
        <f>IF(Excel_Advanced_Sales_Dataset_2000__3[[#This Row],[Delivery Status]]="Pending","Follow Up","Ok")</f>
        <v>Ok</v>
      </c>
      <c r="R1797" s="1" t="s">
        <v>26</v>
      </c>
      <c r="S1797">
        <f>Excel_Advanced_Sales_Dataset_2000__3[[#This Row],[Quantity]]*Excel_Advanced_Sales_Dataset_2000__3[[#This Row],[Unit Price]]*Excel_Advanced_Sales_Dataset_2000__3[[#This Row],[Discount %]]/100</f>
        <v>98919.901080000011</v>
      </c>
      <c r="T1797" s="4">
        <f>Excel_Advanced_Sales_Dataset_2000__3[[#This Row],[Quantity]]*Excel_Advanced_Sales_Dataset_2000__3[[#This Row],[Unit Price]]-Excel_Advanced_Sales_Dataset_2000__3[[#This Row],[Discount Amount]]</f>
        <v>1116312.29892</v>
      </c>
    </row>
    <row r="1798" spans="1:20" x14ac:dyDescent="0.25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>
        <v>16</v>
      </c>
      <c r="J1798" s="4">
        <v>15743.18</v>
      </c>
      <c r="K1798" s="6">
        <v>17.37</v>
      </c>
      <c r="L1798" s="4">
        <v>208137.43</v>
      </c>
      <c r="M1798" s="4" t="str" cm="1">
        <f t="array" ref="M1798">IF(Excel_Advanced_Sales_Dataset_2000__3[[#This Row],[Total Sales]]&gt;50000,{"Yes"},{"No"})</f>
        <v>Yes</v>
      </c>
      <c r="N1798" s="5">
        <v>46061</v>
      </c>
      <c r="O1798" s="1" t="s">
        <v>68</v>
      </c>
      <c r="P1798" t="s">
        <v>35</v>
      </c>
      <c r="Q1798" t="str">
        <f>IF(Excel_Advanced_Sales_Dataset_2000__3[[#This Row],[Delivery Status]]="Pending","Follow Up","Ok")</f>
        <v>Ok</v>
      </c>
      <c r="R1798" s="1" t="s">
        <v>36</v>
      </c>
      <c r="S1798">
        <f>Excel_Advanced_Sales_Dataset_2000__3[[#This Row],[Quantity]]*Excel_Advanced_Sales_Dataset_2000__3[[#This Row],[Unit Price]]*Excel_Advanced_Sales_Dataset_2000__3[[#This Row],[Discount %]]/100</f>
        <v>43753.445855999998</v>
      </c>
      <c r="T1798" s="4">
        <f>Excel_Advanced_Sales_Dataset_2000__3[[#This Row],[Quantity]]*Excel_Advanced_Sales_Dataset_2000__3[[#This Row],[Unit Price]]-Excel_Advanced_Sales_Dataset_2000__3[[#This Row],[Discount Amount]]</f>
        <v>208137.434144</v>
      </c>
    </row>
    <row r="1799" spans="1:20" x14ac:dyDescent="0.25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>
        <v>26</v>
      </c>
      <c r="J1799" s="4">
        <v>14219.35</v>
      </c>
      <c r="K1799" s="6">
        <v>19.309999999999999</v>
      </c>
      <c r="L1799" s="4">
        <v>298313.43</v>
      </c>
      <c r="M1799" s="4" t="str" cm="1">
        <f t="array" ref="M1799">IF(Excel_Advanced_Sales_Dataset_2000__3[[#This Row],[Total Sales]]&gt;50000,{"Yes"},{"No"})</f>
        <v>Yes</v>
      </c>
      <c r="N1799" s="5">
        <v>46255</v>
      </c>
      <c r="O1799" s="1" t="s">
        <v>68</v>
      </c>
      <c r="P1799" t="s">
        <v>35</v>
      </c>
      <c r="Q1799" t="str">
        <f>IF(Excel_Advanced_Sales_Dataset_2000__3[[#This Row],[Delivery Status]]="Pending","Follow Up","Ok")</f>
        <v>Ok</v>
      </c>
      <c r="R1799" s="1" t="s">
        <v>26</v>
      </c>
      <c r="S1799">
        <f>Excel_Advanced_Sales_Dataset_2000__3[[#This Row],[Quantity]]*Excel_Advanced_Sales_Dataset_2000__3[[#This Row],[Unit Price]]*Excel_Advanced_Sales_Dataset_2000__3[[#This Row],[Discount %]]/100</f>
        <v>71389.668610000008</v>
      </c>
      <c r="T1799" s="4">
        <f>Excel_Advanced_Sales_Dataset_2000__3[[#This Row],[Quantity]]*Excel_Advanced_Sales_Dataset_2000__3[[#This Row],[Unit Price]]-Excel_Advanced_Sales_Dataset_2000__3[[#This Row],[Discount Amount]]</f>
        <v>298313.43139000004</v>
      </c>
    </row>
    <row r="1800" spans="1:20" x14ac:dyDescent="0.25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>
        <v>23</v>
      </c>
      <c r="J1800" s="4">
        <v>45307.89</v>
      </c>
      <c r="K1800" s="6">
        <v>1.23</v>
      </c>
      <c r="L1800" s="4">
        <v>1029263.87</v>
      </c>
      <c r="M1800" s="4" t="str" cm="1">
        <f t="array" ref="M1800">IF(Excel_Advanced_Sales_Dataset_2000__3[[#This Row],[Total Sales]]&gt;50000,{"Yes"},{"No"})</f>
        <v>Yes</v>
      </c>
      <c r="N1800" s="5">
        <v>46121</v>
      </c>
      <c r="O1800" s="1" t="s">
        <v>58</v>
      </c>
      <c r="P1800" t="s">
        <v>35</v>
      </c>
      <c r="Q1800" t="str">
        <f>IF(Excel_Advanced_Sales_Dataset_2000__3[[#This Row],[Delivery Status]]="Pending","Follow Up","Ok")</f>
        <v>Ok</v>
      </c>
      <c r="R1800" s="1" t="s">
        <v>26</v>
      </c>
      <c r="S1800">
        <f>Excel_Advanced_Sales_Dataset_2000__3[[#This Row],[Quantity]]*Excel_Advanced_Sales_Dataset_2000__3[[#This Row],[Unit Price]]*Excel_Advanced_Sales_Dataset_2000__3[[#This Row],[Discount %]]/100</f>
        <v>12817.602080999999</v>
      </c>
      <c r="T1800" s="4">
        <f>Excel_Advanced_Sales_Dataset_2000__3[[#This Row],[Quantity]]*Excel_Advanced_Sales_Dataset_2000__3[[#This Row],[Unit Price]]-Excel_Advanced_Sales_Dataset_2000__3[[#This Row],[Discount Amount]]</f>
        <v>1029263.867919</v>
      </c>
    </row>
    <row r="1801" spans="1:20" x14ac:dyDescent="0.25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>
        <v>9</v>
      </c>
      <c r="J1801" s="4">
        <v>47254.39</v>
      </c>
      <c r="K1801" s="6">
        <v>3.69</v>
      </c>
      <c r="L1801" s="4">
        <v>409596.33</v>
      </c>
      <c r="M1801" s="4" t="str" cm="1">
        <f t="array" ref="M1801">IF(Excel_Advanced_Sales_Dataset_2000__3[[#This Row],[Total Sales]]&gt;50000,{"Yes"},{"No"})</f>
        <v>Yes</v>
      </c>
      <c r="N1801" s="5">
        <v>46207</v>
      </c>
      <c r="O1801" s="1" t="s">
        <v>45</v>
      </c>
      <c r="P1801" t="s">
        <v>35</v>
      </c>
      <c r="Q1801" t="str">
        <f>IF(Excel_Advanced_Sales_Dataset_2000__3[[#This Row],[Delivery Status]]="Pending","Follow Up","Ok")</f>
        <v>Ok</v>
      </c>
      <c r="R1801" s="1" t="s">
        <v>26</v>
      </c>
      <c r="S1801">
        <f>Excel_Advanced_Sales_Dataset_2000__3[[#This Row],[Quantity]]*Excel_Advanced_Sales_Dataset_2000__3[[#This Row],[Unit Price]]*Excel_Advanced_Sales_Dataset_2000__3[[#This Row],[Discount %]]/100</f>
        <v>15693.182919000001</v>
      </c>
      <c r="T1801" s="4">
        <f>Excel_Advanced_Sales_Dataset_2000__3[[#This Row],[Quantity]]*Excel_Advanced_Sales_Dataset_2000__3[[#This Row],[Unit Price]]-Excel_Advanced_Sales_Dataset_2000__3[[#This Row],[Discount Amount]]</f>
        <v>409596.32708100002</v>
      </c>
    </row>
    <row r="1802" spans="1:20" x14ac:dyDescent="0.25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>
        <v>38</v>
      </c>
      <c r="J1802" s="4">
        <v>27757.4</v>
      </c>
      <c r="K1802" s="6">
        <v>9.86</v>
      </c>
      <c r="L1802" s="4">
        <v>950779.77</v>
      </c>
      <c r="M1802" s="4" t="str" cm="1">
        <f t="array" ref="M1802">IF(Excel_Advanced_Sales_Dataset_2000__3[[#This Row],[Total Sales]]&gt;50000,{"Yes"},{"No"})</f>
        <v>Yes</v>
      </c>
      <c r="N1802" s="5">
        <v>46046</v>
      </c>
      <c r="O1802" s="1" t="s">
        <v>24</v>
      </c>
      <c r="P1802" t="s">
        <v>35</v>
      </c>
      <c r="Q1802" t="str">
        <f>IF(Excel_Advanced_Sales_Dataset_2000__3[[#This Row],[Delivery Status]]="Pending","Follow Up","Ok")</f>
        <v>Ok</v>
      </c>
      <c r="R1802" s="1" t="s">
        <v>26</v>
      </c>
      <c r="S1802">
        <f>Excel_Advanced_Sales_Dataset_2000__3[[#This Row],[Quantity]]*Excel_Advanced_Sales_Dataset_2000__3[[#This Row],[Unit Price]]*Excel_Advanced_Sales_Dataset_2000__3[[#This Row],[Discount %]]/100</f>
        <v>104001.42632</v>
      </c>
      <c r="T1802" s="4">
        <f>Excel_Advanced_Sales_Dataset_2000__3[[#This Row],[Quantity]]*Excel_Advanced_Sales_Dataset_2000__3[[#This Row],[Unit Price]]-Excel_Advanced_Sales_Dataset_2000__3[[#This Row],[Discount Amount]]</f>
        <v>950779.77367999998</v>
      </c>
    </row>
    <row r="1803" spans="1:20" x14ac:dyDescent="0.25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>
        <v>38</v>
      </c>
      <c r="J1803" s="4">
        <v>35241.03</v>
      </c>
      <c r="K1803" s="6">
        <v>6.03</v>
      </c>
      <c r="L1803" s="4">
        <v>1258407.8400000001</v>
      </c>
      <c r="M1803" s="4" t="str" cm="1">
        <f t="array" ref="M1803">IF(Excel_Advanced_Sales_Dataset_2000__3[[#This Row],[Total Sales]]&gt;50000,{"Yes"},{"No"})</f>
        <v>Yes</v>
      </c>
      <c r="N1803" s="5">
        <v>46350</v>
      </c>
      <c r="O1803" s="1" t="s">
        <v>113</v>
      </c>
      <c r="P1803" t="s">
        <v>35</v>
      </c>
      <c r="Q1803" t="str">
        <f>IF(Excel_Advanced_Sales_Dataset_2000__3[[#This Row],[Delivery Status]]="Pending","Follow Up","Ok")</f>
        <v>Ok</v>
      </c>
      <c r="R1803" s="1" t="s">
        <v>53</v>
      </c>
      <c r="S1803">
        <f>Excel_Advanced_Sales_Dataset_2000__3[[#This Row],[Quantity]]*Excel_Advanced_Sales_Dataset_2000__3[[#This Row],[Unit Price]]*Excel_Advanced_Sales_Dataset_2000__3[[#This Row],[Discount %]]/100</f>
        <v>80751.296141999992</v>
      </c>
      <c r="T1803" s="4">
        <f>Excel_Advanced_Sales_Dataset_2000__3[[#This Row],[Quantity]]*Excel_Advanced_Sales_Dataset_2000__3[[#This Row],[Unit Price]]-Excel_Advanced_Sales_Dataset_2000__3[[#This Row],[Discount Amount]]</f>
        <v>1258407.8438579999</v>
      </c>
    </row>
    <row r="1804" spans="1:20" x14ac:dyDescent="0.25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>
        <v>22</v>
      </c>
      <c r="J1804" s="4">
        <v>9160.24</v>
      </c>
      <c r="K1804" s="6">
        <v>12.94</v>
      </c>
      <c r="L1804" s="4">
        <v>175447.91</v>
      </c>
      <c r="M1804" s="4" t="str" cm="1">
        <f t="array" ref="M1804">IF(Excel_Advanced_Sales_Dataset_2000__3[[#This Row],[Total Sales]]&gt;50000,{"Yes"},{"No"})</f>
        <v>Yes</v>
      </c>
      <c r="N1804" s="5">
        <v>46337</v>
      </c>
      <c r="O1804" s="1" t="s">
        <v>45</v>
      </c>
      <c r="P1804" t="s">
        <v>35</v>
      </c>
      <c r="Q1804" t="str">
        <f>IF(Excel_Advanced_Sales_Dataset_2000__3[[#This Row],[Delivery Status]]="Pending","Follow Up","Ok")</f>
        <v>Ok</v>
      </c>
      <c r="R1804" s="1" t="s">
        <v>53</v>
      </c>
      <c r="S1804">
        <f>Excel_Advanced_Sales_Dataset_2000__3[[#This Row],[Quantity]]*Excel_Advanced_Sales_Dataset_2000__3[[#This Row],[Unit Price]]*Excel_Advanced_Sales_Dataset_2000__3[[#This Row],[Discount %]]/100</f>
        <v>26077.371231999998</v>
      </c>
      <c r="T1804" s="4">
        <f>Excel_Advanced_Sales_Dataset_2000__3[[#This Row],[Quantity]]*Excel_Advanced_Sales_Dataset_2000__3[[#This Row],[Unit Price]]-Excel_Advanced_Sales_Dataset_2000__3[[#This Row],[Discount Amount]]</f>
        <v>175447.90876799999</v>
      </c>
    </row>
    <row r="1805" spans="1:20" x14ac:dyDescent="0.25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>
        <v>19</v>
      </c>
      <c r="J1805" s="4">
        <v>14066</v>
      </c>
      <c r="K1805" s="6">
        <v>7.42</v>
      </c>
      <c r="L1805" s="4">
        <v>247423.75</v>
      </c>
      <c r="M1805" s="4" t="str" cm="1">
        <f t="array" ref="M1805">IF(Excel_Advanced_Sales_Dataset_2000__3[[#This Row],[Total Sales]]&gt;50000,{"Yes"},{"No"})</f>
        <v>Yes</v>
      </c>
      <c r="N1805" s="5">
        <v>46030</v>
      </c>
      <c r="O1805" s="1" t="s">
        <v>24</v>
      </c>
      <c r="P1805" t="s">
        <v>35</v>
      </c>
      <c r="Q1805" t="str">
        <f>IF(Excel_Advanced_Sales_Dataset_2000__3[[#This Row],[Delivery Status]]="Pending","Follow Up","Ok")</f>
        <v>Ok</v>
      </c>
      <c r="R1805" s="1" t="s">
        <v>36</v>
      </c>
      <c r="S1805">
        <f>Excel_Advanced_Sales_Dataset_2000__3[[#This Row],[Quantity]]*Excel_Advanced_Sales_Dataset_2000__3[[#This Row],[Unit Price]]*Excel_Advanced_Sales_Dataset_2000__3[[#This Row],[Discount %]]/100</f>
        <v>19830.246800000001</v>
      </c>
      <c r="T1805" s="4">
        <f>Excel_Advanced_Sales_Dataset_2000__3[[#This Row],[Quantity]]*Excel_Advanced_Sales_Dataset_2000__3[[#This Row],[Unit Price]]-Excel_Advanced_Sales_Dataset_2000__3[[#This Row],[Discount Amount]]</f>
        <v>247423.75320000001</v>
      </c>
    </row>
    <row r="1806" spans="1:20" x14ac:dyDescent="0.25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>
        <v>9</v>
      </c>
      <c r="J1806" s="4">
        <v>2893.41</v>
      </c>
      <c r="K1806" s="6">
        <v>7.33</v>
      </c>
      <c r="L1806" s="4">
        <v>24131.91</v>
      </c>
      <c r="M1806" s="4" t="str" cm="1">
        <f t="array" ref="M1806">IF(Excel_Advanced_Sales_Dataset_2000__3[[#This Row],[Total Sales]]&gt;50000,{"Yes"},{"No"})</f>
        <v>No</v>
      </c>
      <c r="N1806" s="5">
        <v>46065</v>
      </c>
      <c r="O1806" s="1" t="s">
        <v>68</v>
      </c>
      <c r="P1806" t="s">
        <v>35</v>
      </c>
      <c r="Q1806" t="str">
        <f>IF(Excel_Advanced_Sales_Dataset_2000__3[[#This Row],[Delivery Status]]="Pending","Follow Up","Ok")</f>
        <v>Ok</v>
      </c>
      <c r="R1806" s="1" t="s">
        <v>36</v>
      </c>
      <c r="S1806">
        <f>Excel_Advanced_Sales_Dataset_2000__3[[#This Row],[Quantity]]*Excel_Advanced_Sales_Dataset_2000__3[[#This Row],[Unit Price]]*Excel_Advanced_Sales_Dataset_2000__3[[#This Row],[Discount %]]/100</f>
        <v>1908.7825769999999</v>
      </c>
      <c r="T1806" s="4">
        <f>Excel_Advanced_Sales_Dataset_2000__3[[#This Row],[Quantity]]*Excel_Advanced_Sales_Dataset_2000__3[[#This Row],[Unit Price]]-Excel_Advanced_Sales_Dataset_2000__3[[#This Row],[Discount Amount]]</f>
        <v>24131.907422999997</v>
      </c>
    </row>
    <row r="1807" spans="1:20" x14ac:dyDescent="0.25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>
        <v>44</v>
      </c>
      <c r="J1807" s="4">
        <v>16888.07</v>
      </c>
      <c r="K1807" s="6">
        <v>19.309999999999999</v>
      </c>
      <c r="L1807" s="4">
        <v>599587.28</v>
      </c>
      <c r="M1807" s="4" t="str" cm="1">
        <f t="array" ref="M1807">IF(Excel_Advanced_Sales_Dataset_2000__3[[#This Row],[Total Sales]]&gt;50000,{"Yes"},{"No"})</f>
        <v>Yes</v>
      </c>
      <c r="N1807" s="5">
        <v>46127</v>
      </c>
      <c r="O1807" s="1" t="s">
        <v>24</v>
      </c>
      <c r="P1807" t="s">
        <v>35</v>
      </c>
      <c r="Q1807" t="str">
        <f>IF(Excel_Advanced_Sales_Dataset_2000__3[[#This Row],[Delivery Status]]="Pending","Follow Up","Ok")</f>
        <v>Ok</v>
      </c>
      <c r="R1807" s="1" t="s">
        <v>36</v>
      </c>
      <c r="S1807">
        <f>Excel_Advanced_Sales_Dataset_2000__3[[#This Row],[Quantity]]*Excel_Advanced_Sales_Dataset_2000__3[[#This Row],[Unit Price]]*Excel_Advanced_Sales_Dataset_2000__3[[#This Row],[Discount %]]/100</f>
        <v>143487.79794799999</v>
      </c>
      <c r="T1807" s="4">
        <f>Excel_Advanced_Sales_Dataset_2000__3[[#This Row],[Quantity]]*Excel_Advanced_Sales_Dataset_2000__3[[#This Row],[Unit Price]]-Excel_Advanced_Sales_Dataset_2000__3[[#This Row],[Discount Amount]]</f>
        <v>599587.28205199994</v>
      </c>
    </row>
    <row r="1808" spans="1:20" x14ac:dyDescent="0.25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>
        <v>42</v>
      </c>
      <c r="J1808" s="4">
        <v>3699.91</v>
      </c>
      <c r="K1808" s="6">
        <v>18.55</v>
      </c>
      <c r="L1808" s="4">
        <v>126570.22</v>
      </c>
      <c r="M1808" s="4" t="str" cm="1">
        <f t="array" ref="M1808">IF(Excel_Advanced_Sales_Dataset_2000__3[[#This Row],[Total Sales]]&gt;50000,{"Yes"},{"No"})</f>
        <v>Yes</v>
      </c>
      <c r="N1808" s="5">
        <v>46134</v>
      </c>
      <c r="O1808" s="1" t="s">
        <v>24</v>
      </c>
      <c r="P1808" t="s">
        <v>35</v>
      </c>
      <c r="Q1808" t="str">
        <f>IF(Excel_Advanced_Sales_Dataset_2000__3[[#This Row],[Delivery Status]]="Pending","Follow Up","Ok")</f>
        <v>Ok</v>
      </c>
      <c r="R1808" s="1" t="s">
        <v>26</v>
      </c>
      <c r="S1808">
        <f>Excel_Advanced_Sales_Dataset_2000__3[[#This Row],[Quantity]]*Excel_Advanced_Sales_Dataset_2000__3[[#This Row],[Unit Price]]*Excel_Advanced_Sales_Dataset_2000__3[[#This Row],[Discount %]]/100</f>
        <v>28825.998810000001</v>
      </c>
      <c r="T1808" s="4">
        <f>Excel_Advanced_Sales_Dataset_2000__3[[#This Row],[Quantity]]*Excel_Advanced_Sales_Dataset_2000__3[[#This Row],[Unit Price]]-Excel_Advanced_Sales_Dataset_2000__3[[#This Row],[Discount Amount]]</f>
        <v>126570.22119</v>
      </c>
    </row>
    <row r="1809" spans="1:20" x14ac:dyDescent="0.25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>
        <v>50</v>
      </c>
      <c r="J1809" s="4">
        <v>9736.25</v>
      </c>
      <c r="K1809" s="6">
        <v>9.7899999999999991</v>
      </c>
      <c r="L1809" s="4">
        <v>439153.56</v>
      </c>
      <c r="M1809" s="4" t="str" cm="1">
        <f t="array" ref="M1809">IF(Excel_Advanced_Sales_Dataset_2000__3[[#This Row],[Total Sales]]&gt;50000,{"Yes"},{"No"})</f>
        <v>Yes</v>
      </c>
      <c r="N1809" s="5">
        <v>46291</v>
      </c>
      <c r="O1809" s="1" t="s">
        <v>45</v>
      </c>
      <c r="P1809" t="s">
        <v>59</v>
      </c>
      <c r="Q1809" t="str">
        <f>IF(Excel_Advanced_Sales_Dataset_2000__3[[#This Row],[Delivery Status]]="Pending","Follow Up","Ok")</f>
        <v>Ok</v>
      </c>
      <c r="R1809" s="1" t="s">
        <v>26</v>
      </c>
      <c r="S1809">
        <f>Excel_Advanced_Sales_Dataset_2000__3[[#This Row],[Quantity]]*Excel_Advanced_Sales_Dataset_2000__3[[#This Row],[Unit Price]]*Excel_Advanced_Sales_Dataset_2000__3[[#This Row],[Discount %]]/100</f>
        <v>47658.943749999999</v>
      </c>
      <c r="T1809" s="4">
        <f>Excel_Advanced_Sales_Dataset_2000__3[[#This Row],[Quantity]]*Excel_Advanced_Sales_Dataset_2000__3[[#This Row],[Unit Price]]-Excel_Advanced_Sales_Dataset_2000__3[[#This Row],[Discount Amount]]</f>
        <v>439153.55625000002</v>
      </c>
    </row>
    <row r="1810" spans="1:20" x14ac:dyDescent="0.25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>
        <v>32</v>
      </c>
      <c r="J1810" s="4">
        <v>48502.93</v>
      </c>
      <c r="K1810" s="6">
        <v>19.510000000000002</v>
      </c>
      <c r="L1810" s="4">
        <v>1249280.27</v>
      </c>
      <c r="M1810" s="4" t="str" cm="1">
        <f t="array" ref="M1810">IF(Excel_Advanced_Sales_Dataset_2000__3[[#This Row],[Total Sales]]&gt;50000,{"Yes"},{"No"})</f>
        <v>Yes</v>
      </c>
      <c r="N1810" s="5">
        <v>46132</v>
      </c>
      <c r="O1810" s="1" t="s">
        <v>24</v>
      </c>
      <c r="P1810" t="s">
        <v>35</v>
      </c>
      <c r="Q1810" t="str">
        <f>IF(Excel_Advanced_Sales_Dataset_2000__3[[#This Row],[Delivery Status]]="Pending","Follow Up","Ok")</f>
        <v>Ok</v>
      </c>
      <c r="R1810" s="1" t="s">
        <v>53</v>
      </c>
      <c r="S1810">
        <f>Excel_Advanced_Sales_Dataset_2000__3[[#This Row],[Quantity]]*Excel_Advanced_Sales_Dataset_2000__3[[#This Row],[Unit Price]]*Excel_Advanced_Sales_Dataset_2000__3[[#This Row],[Discount %]]/100</f>
        <v>302813.49257600005</v>
      </c>
      <c r="T1810" s="4">
        <f>Excel_Advanced_Sales_Dataset_2000__3[[#This Row],[Quantity]]*Excel_Advanced_Sales_Dataset_2000__3[[#This Row],[Unit Price]]-Excel_Advanced_Sales_Dataset_2000__3[[#This Row],[Discount Amount]]</f>
        <v>1249280.267424</v>
      </c>
    </row>
    <row r="1811" spans="1:20" x14ac:dyDescent="0.25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>
        <v>34</v>
      </c>
      <c r="J1811" s="4">
        <v>43507.32</v>
      </c>
      <c r="K1811" s="6">
        <v>10.95</v>
      </c>
      <c r="L1811" s="4">
        <v>1317271.1299999999</v>
      </c>
      <c r="M1811" s="4" t="str" cm="1">
        <f t="array" ref="M1811">IF(Excel_Advanced_Sales_Dataset_2000__3[[#This Row],[Total Sales]]&gt;50000,{"Yes"},{"No"})</f>
        <v>Yes</v>
      </c>
      <c r="N1811" s="5">
        <v>46027</v>
      </c>
      <c r="O1811" s="1" t="s">
        <v>24</v>
      </c>
      <c r="P1811" t="s">
        <v>35</v>
      </c>
      <c r="Q1811" t="str">
        <f>IF(Excel_Advanced_Sales_Dataset_2000__3[[#This Row],[Delivery Status]]="Pending","Follow Up","Ok")</f>
        <v>Ok</v>
      </c>
      <c r="R1811" s="1" t="s">
        <v>26</v>
      </c>
      <c r="S1811">
        <f>Excel_Advanced_Sales_Dataset_2000__3[[#This Row],[Quantity]]*Excel_Advanced_Sales_Dataset_2000__3[[#This Row],[Unit Price]]*Excel_Advanced_Sales_Dataset_2000__3[[#This Row],[Discount %]]/100</f>
        <v>161977.75235999998</v>
      </c>
      <c r="T1811" s="4">
        <f>Excel_Advanced_Sales_Dataset_2000__3[[#This Row],[Quantity]]*Excel_Advanced_Sales_Dataset_2000__3[[#This Row],[Unit Price]]-Excel_Advanced_Sales_Dataset_2000__3[[#This Row],[Discount Amount]]</f>
        <v>1317271.1276399998</v>
      </c>
    </row>
    <row r="1812" spans="1:20" x14ac:dyDescent="0.25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>
        <v>31</v>
      </c>
      <c r="J1812" s="4">
        <v>39207.269999999997</v>
      </c>
      <c r="K1812" s="6">
        <v>6.14</v>
      </c>
      <c r="L1812" s="4">
        <v>1140798.25</v>
      </c>
      <c r="M1812" s="4" t="str" cm="1">
        <f t="array" ref="M1812">IF(Excel_Advanced_Sales_Dataset_2000__3[[#This Row],[Total Sales]]&gt;50000,{"Yes"},{"No"})</f>
        <v>Yes</v>
      </c>
      <c r="N1812" s="5">
        <v>46295</v>
      </c>
      <c r="O1812" s="1" t="s">
        <v>24</v>
      </c>
      <c r="P1812" t="s">
        <v>35</v>
      </c>
      <c r="Q1812" t="str">
        <f>IF(Excel_Advanced_Sales_Dataset_2000__3[[#This Row],[Delivery Status]]="Pending","Follow Up","Ok")</f>
        <v>Ok</v>
      </c>
      <c r="R1812" s="1" t="s">
        <v>36</v>
      </c>
      <c r="S1812">
        <f>Excel_Advanced_Sales_Dataset_2000__3[[#This Row],[Quantity]]*Excel_Advanced_Sales_Dataset_2000__3[[#This Row],[Unit Price]]*Excel_Advanced_Sales_Dataset_2000__3[[#This Row],[Discount %]]/100</f>
        <v>74627.117717999994</v>
      </c>
      <c r="T1812" s="4">
        <f>Excel_Advanced_Sales_Dataset_2000__3[[#This Row],[Quantity]]*Excel_Advanced_Sales_Dataset_2000__3[[#This Row],[Unit Price]]-Excel_Advanced_Sales_Dataset_2000__3[[#This Row],[Discount Amount]]</f>
        <v>1140798.2522819999</v>
      </c>
    </row>
    <row r="1813" spans="1:20" x14ac:dyDescent="0.25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>
        <v>3</v>
      </c>
      <c r="J1813" s="4">
        <v>17128.43</v>
      </c>
      <c r="K1813" s="6">
        <v>15.86</v>
      </c>
      <c r="L1813" s="4">
        <v>43235.58</v>
      </c>
      <c r="M1813" s="4" t="str" cm="1">
        <f t="array" ref="M1813">IF(Excel_Advanced_Sales_Dataset_2000__3[[#This Row],[Total Sales]]&gt;50000,{"Yes"},{"No"})</f>
        <v>No</v>
      </c>
      <c r="N1813" s="5">
        <v>46095</v>
      </c>
      <c r="O1813" s="1" t="s">
        <v>68</v>
      </c>
      <c r="P1813" t="s">
        <v>25</v>
      </c>
      <c r="Q1813" t="str">
        <f>IF(Excel_Advanced_Sales_Dataset_2000__3[[#This Row],[Delivery Status]]="Pending","Follow Up","Ok")</f>
        <v>Follow Up</v>
      </c>
      <c r="R1813" s="1" t="s">
        <v>36</v>
      </c>
      <c r="S1813">
        <f>Excel_Advanced_Sales_Dataset_2000__3[[#This Row],[Quantity]]*Excel_Advanced_Sales_Dataset_2000__3[[#This Row],[Unit Price]]*Excel_Advanced_Sales_Dataset_2000__3[[#This Row],[Discount %]]/100</f>
        <v>8149.7069940000001</v>
      </c>
      <c r="T1813" s="4">
        <f>Excel_Advanced_Sales_Dataset_2000__3[[#This Row],[Quantity]]*Excel_Advanced_Sales_Dataset_2000__3[[#This Row],[Unit Price]]-Excel_Advanced_Sales_Dataset_2000__3[[#This Row],[Discount Amount]]</f>
        <v>43235.583006000001</v>
      </c>
    </row>
    <row r="1814" spans="1:20" x14ac:dyDescent="0.25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>
        <v>12</v>
      </c>
      <c r="J1814" s="4">
        <v>21100.91</v>
      </c>
      <c r="K1814" s="6">
        <v>6.93</v>
      </c>
      <c r="L1814" s="4">
        <v>235663.4</v>
      </c>
      <c r="M1814" s="4" t="str" cm="1">
        <f t="array" ref="M1814">IF(Excel_Advanced_Sales_Dataset_2000__3[[#This Row],[Total Sales]]&gt;50000,{"Yes"},{"No"})</f>
        <v>Yes</v>
      </c>
      <c r="N1814" s="5">
        <v>46204</v>
      </c>
      <c r="O1814" s="1" t="s">
        <v>45</v>
      </c>
      <c r="P1814" t="s">
        <v>35</v>
      </c>
      <c r="Q1814" t="str">
        <f>IF(Excel_Advanced_Sales_Dataset_2000__3[[#This Row],[Delivery Status]]="Pending","Follow Up","Ok")</f>
        <v>Ok</v>
      </c>
      <c r="R1814" s="1" t="s">
        <v>53</v>
      </c>
      <c r="S1814">
        <f>Excel_Advanced_Sales_Dataset_2000__3[[#This Row],[Quantity]]*Excel_Advanced_Sales_Dataset_2000__3[[#This Row],[Unit Price]]*Excel_Advanced_Sales_Dataset_2000__3[[#This Row],[Discount %]]/100</f>
        <v>17547.516755999997</v>
      </c>
      <c r="T1814" s="4">
        <f>Excel_Advanced_Sales_Dataset_2000__3[[#This Row],[Quantity]]*Excel_Advanced_Sales_Dataset_2000__3[[#This Row],[Unit Price]]-Excel_Advanced_Sales_Dataset_2000__3[[#This Row],[Discount Amount]]</f>
        <v>235663.40324399999</v>
      </c>
    </row>
    <row r="1815" spans="1:20" x14ac:dyDescent="0.25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>
        <v>12</v>
      </c>
      <c r="J1815" s="4">
        <v>20189.28</v>
      </c>
      <c r="K1815" s="6">
        <v>7.73</v>
      </c>
      <c r="L1815" s="4">
        <v>223543.78</v>
      </c>
      <c r="M1815" s="4" t="str" cm="1">
        <f t="array" ref="M1815">IF(Excel_Advanced_Sales_Dataset_2000__3[[#This Row],[Total Sales]]&gt;50000,{"Yes"},{"No"})</f>
        <v>Yes</v>
      </c>
      <c r="N1815" s="5">
        <v>46336</v>
      </c>
      <c r="O1815" s="1" t="s">
        <v>58</v>
      </c>
      <c r="P1815" t="s">
        <v>35</v>
      </c>
      <c r="Q1815" t="str">
        <f>IF(Excel_Advanced_Sales_Dataset_2000__3[[#This Row],[Delivery Status]]="Pending","Follow Up","Ok")</f>
        <v>Ok</v>
      </c>
      <c r="R1815" s="1" t="s">
        <v>26</v>
      </c>
      <c r="S1815">
        <f>Excel_Advanced_Sales_Dataset_2000__3[[#This Row],[Quantity]]*Excel_Advanced_Sales_Dataset_2000__3[[#This Row],[Unit Price]]*Excel_Advanced_Sales_Dataset_2000__3[[#This Row],[Discount %]]/100</f>
        <v>18727.576128000001</v>
      </c>
      <c r="T1815" s="4">
        <f>Excel_Advanced_Sales_Dataset_2000__3[[#This Row],[Quantity]]*Excel_Advanced_Sales_Dataset_2000__3[[#This Row],[Unit Price]]-Excel_Advanced_Sales_Dataset_2000__3[[#This Row],[Discount Amount]]</f>
        <v>223543.783872</v>
      </c>
    </row>
    <row r="1816" spans="1:20" x14ac:dyDescent="0.25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>
        <v>45</v>
      </c>
      <c r="J1816" s="4">
        <v>34631.230000000003</v>
      </c>
      <c r="K1816" s="6">
        <v>4.8499999999999996</v>
      </c>
      <c r="L1816" s="4">
        <v>1482822.69</v>
      </c>
      <c r="M1816" s="4" t="str" cm="1">
        <f t="array" ref="M1816">IF(Excel_Advanced_Sales_Dataset_2000__3[[#This Row],[Total Sales]]&gt;50000,{"Yes"},{"No"})</f>
        <v>Yes</v>
      </c>
      <c r="N1816" s="5">
        <v>46145</v>
      </c>
      <c r="O1816" s="1" t="s">
        <v>68</v>
      </c>
      <c r="P1816" t="s">
        <v>35</v>
      </c>
      <c r="Q1816" t="str">
        <f>IF(Excel_Advanced_Sales_Dataset_2000__3[[#This Row],[Delivery Status]]="Pending","Follow Up","Ok")</f>
        <v>Ok</v>
      </c>
      <c r="R1816" s="1" t="s">
        <v>53</v>
      </c>
      <c r="S1816">
        <f>Excel_Advanced_Sales_Dataset_2000__3[[#This Row],[Quantity]]*Excel_Advanced_Sales_Dataset_2000__3[[#This Row],[Unit Price]]*Excel_Advanced_Sales_Dataset_2000__3[[#This Row],[Discount %]]/100</f>
        <v>75582.659474999993</v>
      </c>
      <c r="T1816" s="4">
        <f>Excel_Advanced_Sales_Dataset_2000__3[[#This Row],[Quantity]]*Excel_Advanced_Sales_Dataset_2000__3[[#This Row],[Unit Price]]-Excel_Advanced_Sales_Dataset_2000__3[[#This Row],[Discount Amount]]</f>
        <v>1482822.690525</v>
      </c>
    </row>
    <row r="1817" spans="1:20" x14ac:dyDescent="0.25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>
        <v>25</v>
      </c>
      <c r="J1817" s="4">
        <v>36684.68</v>
      </c>
      <c r="K1817" s="6">
        <v>11.83</v>
      </c>
      <c r="L1817" s="4">
        <v>808622.06</v>
      </c>
      <c r="M1817" s="4" t="str" cm="1">
        <f t="array" ref="M1817">IF(Excel_Advanced_Sales_Dataset_2000__3[[#This Row],[Total Sales]]&gt;50000,{"Yes"},{"No"})</f>
        <v>Yes</v>
      </c>
      <c r="N1817" s="5">
        <v>46147</v>
      </c>
      <c r="O1817" s="1" t="s">
        <v>58</v>
      </c>
      <c r="P1817" t="s">
        <v>35</v>
      </c>
      <c r="Q1817" t="str">
        <f>IF(Excel_Advanced_Sales_Dataset_2000__3[[#This Row],[Delivery Status]]="Pending","Follow Up","Ok")</f>
        <v>Ok</v>
      </c>
      <c r="R1817" s="1" t="s">
        <v>36</v>
      </c>
      <c r="S1817">
        <f>Excel_Advanced_Sales_Dataset_2000__3[[#This Row],[Quantity]]*Excel_Advanced_Sales_Dataset_2000__3[[#This Row],[Unit Price]]*Excel_Advanced_Sales_Dataset_2000__3[[#This Row],[Discount %]]/100</f>
        <v>108494.9411</v>
      </c>
      <c r="T1817" s="4">
        <f>Excel_Advanced_Sales_Dataset_2000__3[[#This Row],[Quantity]]*Excel_Advanced_Sales_Dataset_2000__3[[#This Row],[Unit Price]]-Excel_Advanced_Sales_Dataset_2000__3[[#This Row],[Discount Amount]]</f>
        <v>808622.05890000006</v>
      </c>
    </row>
    <row r="1818" spans="1:20" x14ac:dyDescent="0.25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>
        <v>5</v>
      </c>
      <c r="J1818" s="4">
        <v>7304.49</v>
      </c>
      <c r="K1818" s="6">
        <v>3.25</v>
      </c>
      <c r="L1818" s="4">
        <v>35335.47</v>
      </c>
      <c r="M1818" s="4" t="str" cm="1">
        <f t="array" ref="M1818">IF(Excel_Advanced_Sales_Dataset_2000__3[[#This Row],[Total Sales]]&gt;50000,{"Yes"},{"No"})</f>
        <v>No</v>
      </c>
      <c r="N1818" s="5">
        <v>46332</v>
      </c>
      <c r="O1818" s="1" t="s">
        <v>58</v>
      </c>
      <c r="P1818" t="s">
        <v>59</v>
      </c>
      <c r="Q1818" t="str">
        <f>IF(Excel_Advanced_Sales_Dataset_2000__3[[#This Row],[Delivery Status]]="Pending","Follow Up","Ok")</f>
        <v>Ok</v>
      </c>
      <c r="R1818" s="1" t="s">
        <v>26</v>
      </c>
      <c r="S1818">
        <f>Excel_Advanced_Sales_Dataset_2000__3[[#This Row],[Quantity]]*Excel_Advanced_Sales_Dataset_2000__3[[#This Row],[Unit Price]]*Excel_Advanced_Sales_Dataset_2000__3[[#This Row],[Discount %]]/100</f>
        <v>1186.9796249999999</v>
      </c>
      <c r="T1818" s="4">
        <f>Excel_Advanced_Sales_Dataset_2000__3[[#This Row],[Quantity]]*Excel_Advanced_Sales_Dataset_2000__3[[#This Row],[Unit Price]]-Excel_Advanced_Sales_Dataset_2000__3[[#This Row],[Discount Amount]]</f>
        <v>35335.470374999997</v>
      </c>
    </row>
    <row r="1819" spans="1:20" x14ac:dyDescent="0.25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>
        <v>47</v>
      </c>
      <c r="J1819" s="4">
        <v>21008.37</v>
      </c>
      <c r="K1819" s="6">
        <v>6.49</v>
      </c>
      <c r="L1819" s="4">
        <v>923311.56</v>
      </c>
      <c r="M1819" s="4" t="str" cm="1">
        <f t="array" ref="M1819">IF(Excel_Advanced_Sales_Dataset_2000__3[[#This Row],[Total Sales]]&gt;50000,{"Yes"},{"No"})</f>
        <v>Yes</v>
      </c>
      <c r="N1819" s="5">
        <v>46227</v>
      </c>
      <c r="O1819" s="1" t="s">
        <v>45</v>
      </c>
      <c r="P1819" t="s">
        <v>35</v>
      </c>
      <c r="Q1819" t="str">
        <f>IF(Excel_Advanced_Sales_Dataset_2000__3[[#This Row],[Delivery Status]]="Pending","Follow Up","Ok")</f>
        <v>Ok</v>
      </c>
      <c r="R1819" s="1" t="s">
        <v>53</v>
      </c>
      <c r="S1819">
        <f>Excel_Advanced_Sales_Dataset_2000__3[[#This Row],[Quantity]]*Excel_Advanced_Sales_Dataset_2000__3[[#This Row],[Unit Price]]*Excel_Advanced_Sales_Dataset_2000__3[[#This Row],[Discount %]]/100</f>
        <v>64081.831010999995</v>
      </c>
      <c r="T1819" s="4">
        <f>Excel_Advanced_Sales_Dataset_2000__3[[#This Row],[Quantity]]*Excel_Advanced_Sales_Dataset_2000__3[[#This Row],[Unit Price]]-Excel_Advanced_Sales_Dataset_2000__3[[#This Row],[Discount Amount]]</f>
        <v>923311.55898899992</v>
      </c>
    </row>
    <row r="1820" spans="1:20" x14ac:dyDescent="0.25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>
        <v>15</v>
      </c>
      <c r="J1820" s="4">
        <v>3602.7</v>
      </c>
      <c r="K1820" s="6">
        <v>3.37</v>
      </c>
      <c r="L1820" s="4">
        <v>52219.34</v>
      </c>
      <c r="M1820" s="4" t="str" cm="1">
        <f t="array" ref="M1820">IF(Excel_Advanced_Sales_Dataset_2000__3[[#This Row],[Total Sales]]&gt;50000,{"Yes"},{"No"})</f>
        <v>Yes</v>
      </c>
      <c r="N1820" s="5">
        <v>46207</v>
      </c>
      <c r="O1820" s="1" t="s">
        <v>58</v>
      </c>
      <c r="P1820" t="s">
        <v>35</v>
      </c>
      <c r="Q1820" t="str">
        <f>IF(Excel_Advanced_Sales_Dataset_2000__3[[#This Row],[Delivery Status]]="Pending","Follow Up","Ok")</f>
        <v>Ok</v>
      </c>
      <c r="R1820" s="1" t="s">
        <v>36</v>
      </c>
      <c r="S1820">
        <f>Excel_Advanced_Sales_Dataset_2000__3[[#This Row],[Quantity]]*Excel_Advanced_Sales_Dataset_2000__3[[#This Row],[Unit Price]]*Excel_Advanced_Sales_Dataset_2000__3[[#This Row],[Discount %]]/100</f>
        <v>1821.1648500000001</v>
      </c>
      <c r="T1820" s="4">
        <f>Excel_Advanced_Sales_Dataset_2000__3[[#This Row],[Quantity]]*Excel_Advanced_Sales_Dataset_2000__3[[#This Row],[Unit Price]]-Excel_Advanced_Sales_Dataset_2000__3[[#This Row],[Discount Amount]]</f>
        <v>52219.335149999999</v>
      </c>
    </row>
    <row r="1821" spans="1:20" x14ac:dyDescent="0.25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>
        <v>19</v>
      </c>
      <c r="J1821" s="4">
        <v>43335.96</v>
      </c>
      <c r="K1821" s="6">
        <v>16.16</v>
      </c>
      <c r="L1821" s="4">
        <v>690324.51</v>
      </c>
      <c r="M1821" s="4" t="str" cm="1">
        <f t="array" ref="M1821">IF(Excel_Advanced_Sales_Dataset_2000__3[[#This Row],[Total Sales]]&gt;50000,{"Yes"},{"No"})</f>
        <v>Yes</v>
      </c>
      <c r="N1821" s="5">
        <v>46345</v>
      </c>
      <c r="O1821" s="1" t="s">
        <v>113</v>
      </c>
      <c r="P1821" t="s">
        <v>35</v>
      </c>
      <c r="Q1821" t="str">
        <f>IF(Excel_Advanced_Sales_Dataset_2000__3[[#This Row],[Delivery Status]]="Pending","Follow Up","Ok")</f>
        <v>Ok</v>
      </c>
      <c r="R1821" s="1" t="s">
        <v>36</v>
      </c>
      <c r="S1821">
        <f>Excel_Advanced_Sales_Dataset_2000__3[[#This Row],[Quantity]]*Excel_Advanced_Sales_Dataset_2000__3[[#This Row],[Unit Price]]*Excel_Advanced_Sales_Dataset_2000__3[[#This Row],[Discount %]]/100</f>
        <v>133058.73158399999</v>
      </c>
      <c r="T1821" s="4">
        <f>Excel_Advanced_Sales_Dataset_2000__3[[#This Row],[Quantity]]*Excel_Advanced_Sales_Dataset_2000__3[[#This Row],[Unit Price]]-Excel_Advanced_Sales_Dataset_2000__3[[#This Row],[Discount Amount]]</f>
        <v>690324.50841600006</v>
      </c>
    </row>
    <row r="1822" spans="1:20" x14ac:dyDescent="0.25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>
        <v>4</v>
      </c>
      <c r="J1822" s="4">
        <v>37790.21</v>
      </c>
      <c r="K1822" s="6">
        <v>5.98</v>
      </c>
      <c r="L1822" s="4">
        <v>142121.42000000001</v>
      </c>
      <c r="M1822" s="4" t="str" cm="1">
        <f t="array" ref="M1822">IF(Excel_Advanced_Sales_Dataset_2000__3[[#This Row],[Total Sales]]&gt;50000,{"Yes"},{"No"})</f>
        <v>Yes</v>
      </c>
      <c r="N1822" s="5">
        <v>46037</v>
      </c>
      <c r="O1822" s="1" t="s">
        <v>68</v>
      </c>
      <c r="P1822" t="s">
        <v>35</v>
      </c>
      <c r="Q1822" t="str">
        <f>IF(Excel_Advanced_Sales_Dataset_2000__3[[#This Row],[Delivery Status]]="Pending","Follow Up","Ok")</f>
        <v>Ok</v>
      </c>
      <c r="R1822" s="1" t="s">
        <v>26</v>
      </c>
      <c r="S1822">
        <f>Excel_Advanced_Sales_Dataset_2000__3[[#This Row],[Quantity]]*Excel_Advanced_Sales_Dataset_2000__3[[#This Row],[Unit Price]]*Excel_Advanced_Sales_Dataset_2000__3[[#This Row],[Discount %]]/100</f>
        <v>9039.4182320000018</v>
      </c>
      <c r="T1822" s="4">
        <f>Excel_Advanced_Sales_Dataset_2000__3[[#This Row],[Quantity]]*Excel_Advanced_Sales_Dataset_2000__3[[#This Row],[Unit Price]]-Excel_Advanced_Sales_Dataset_2000__3[[#This Row],[Discount Amount]]</f>
        <v>142121.421768</v>
      </c>
    </row>
    <row r="1823" spans="1:20" x14ac:dyDescent="0.25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>
        <v>34</v>
      </c>
      <c r="J1823" s="4">
        <v>7632.18</v>
      </c>
      <c r="K1823" s="6">
        <v>8.7899999999999991</v>
      </c>
      <c r="L1823" s="4">
        <v>236684.59</v>
      </c>
      <c r="M1823" s="4" t="str" cm="1">
        <f t="array" ref="M1823">IF(Excel_Advanced_Sales_Dataset_2000__3[[#This Row],[Total Sales]]&gt;50000,{"Yes"},{"No"})</f>
        <v>Yes</v>
      </c>
      <c r="N1823" s="5">
        <v>46192</v>
      </c>
      <c r="O1823" s="1" t="s">
        <v>68</v>
      </c>
      <c r="P1823" t="s">
        <v>59</v>
      </c>
      <c r="Q1823" t="str">
        <f>IF(Excel_Advanced_Sales_Dataset_2000__3[[#This Row],[Delivery Status]]="Pending","Follow Up","Ok")</f>
        <v>Ok</v>
      </c>
      <c r="R1823" s="1" t="s">
        <v>53</v>
      </c>
      <c r="S1823">
        <f>Excel_Advanced_Sales_Dataset_2000__3[[#This Row],[Quantity]]*Excel_Advanced_Sales_Dataset_2000__3[[#This Row],[Unit Price]]*Excel_Advanced_Sales_Dataset_2000__3[[#This Row],[Discount %]]/100</f>
        <v>22809.533147999999</v>
      </c>
      <c r="T1823" s="4">
        <f>Excel_Advanced_Sales_Dataset_2000__3[[#This Row],[Quantity]]*Excel_Advanced_Sales_Dataset_2000__3[[#This Row],[Unit Price]]-Excel_Advanced_Sales_Dataset_2000__3[[#This Row],[Discount Amount]]</f>
        <v>236684.58685200001</v>
      </c>
    </row>
    <row r="1824" spans="1:20" x14ac:dyDescent="0.25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>
        <v>25</v>
      </c>
      <c r="J1824" s="4">
        <v>17025.84</v>
      </c>
      <c r="K1824" s="6">
        <v>13.4</v>
      </c>
      <c r="L1824" s="4">
        <v>368609.44</v>
      </c>
      <c r="M1824" s="4" t="str" cm="1">
        <f t="array" ref="M1824">IF(Excel_Advanced_Sales_Dataset_2000__3[[#This Row],[Total Sales]]&gt;50000,{"Yes"},{"No"})</f>
        <v>Yes</v>
      </c>
      <c r="N1824" s="5">
        <v>46349</v>
      </c>
      <c r="O1824" s="1" t="s">
        <v>58</v>
      </c>
      <c r="P1824" t="s">
        <v>35</v>
      </c>
      <c r="Q1824" t="str">
        <f>IF(Excel_Advanced_Sales_Dataset_2000__3[[#This Row],[Delivery Status]]="Pending","Follow Up","Ok")</f>
        <v>Ok</v>
      </c>
      <c r="R1824" s="1" t="s">
        <v>26</v>
      </c>
      <c r="S1824">
        <f>Excel_Advanced_Sales_Dataset_2000__3[[#This Row],[Quantity]]*Excel_Advanced_Sales_Dataset_2000__3[[#This Row],[Unit Price]]*Excel_Advanced_Sales_Dataset_2000__3[[#This Row],[Discount %]]/100</f>
        <v>57036.564000000006</v>
      </c>
      <c r="T1824" s="4">
        <f>Excel_Advanced_Sales_Dataset_2000__3[[#This Row],[Quantity]]*Excel_Advanced_Sales_Dataset_2000__3[[#This Row],[Unit Price]]-Excel_Advanced_Sales_Dataset_2000__3[[#This Row],[Discount Amount]]</f>
        <v>368609.43599999999</v>
      </c>
    </row>
    <row r="1825" spans="1:20" x14ac:dyDescent="0.25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>
        <v>29</v>
      </c>
      <c r="J1825" s="4">
        <v>13466.61</v>
      </c>
      <c r="K1825" s="6">
        <v>13.54</v>
      </c>
      <c r="L1825" s="4">
        <v>337653.7</v>
      </c>
      <c r="M1825" s="4" t="str" cm="1">
        <f t="array" ref="M1825">IF(Excel_Advanced_Sales_Dataset_2000__3[[#This Row],[Total Sales]]&gt;50000,{"Yes"},{"No"})</f>
        <v>Yes</v>
      </c>
      <c r="N1825" s="5">
        <v>46129</v>
      </c>
      <c r="O1825" s="1" t="s">
        <v>58</v>
      </c>
      <c r="P1825" t="s">
        <v>35</v>
      </c>
      <c r="Q1825" t="str">
        <f>IF(Excel_Advanced_Sales_Dataset_2000__3[[#This Row],[Delivery Status]]="Pending","Follow Up","Ok")</f>
        <v>Ok</v>
      </c>
      <c r="R1825" s="1" t="s">
        <v>36</v>
      </c>
      <c r="S1825">
        <f>Excel_Advanced_Sales_Dataset_2000__3[[#This Row],[Quantity]]*Excel_Advanced_Sales_Dataset_2000__3[[#This Row],[Unit Price]]*Excel_Advanced_Sales_Dataset_2000__3[[#This Row],[Discount %]]/100</f>
        <v>52877.990825999994</v>
      </c>
      <c r="T1825" s="4">
        <f>Excel_Advanced_Sales_Dataset_2000__3[[#This Row],[Quantity]]*Excel_Advanced_Sales_Dataset_2000__3[[#This Row],[Unit Price]]-Excel_Advanced_Sales_Dataset_2000__3[[#This Row],[Discount Amount]]</f>
        <v>337653.69917400001</v>
      </c>
    </row>
    <row r="1826" spans="1:20" x14ac:dyDescent="0.25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>
        <v>2</v>
      </c>
      <c r="J1826" s="4">
        <v>20976.92</v>
      </c>
      <c r="K1826" s="6">
        <v>1.3</v>
      </c>
      <c r="L1826" s="4">
        <v>41408.44</v>
      </c>
      <c r="M1826" s="4" t="str" cm="1">
        <f t="array" ref="M1826">IF(Excel_Advanced_Sales_Dataset_2000__3[[#This Row],[Total Sales]]&gt;50000,{"Yes"},{"No"})</f>
        <v>No</v>
      </c>
      <c r="N1826" s="5">
        <v>46246</v>
      </c>
      <c r="O1826" s="1" t="s">
        <v>58</v>
      </c>
      <c r="P1826" t="s">
        <v>35</v>
      </c>
      <c r="Q1826" t="str">
        <f>IF(Excel_Advanced_Sales_Dataset_2000__3[[#This Row],[Delivery Status]]="Pending","Follow Up","Ok")</f>
        <v>Ok</v>
      </c>
      <c r="R1826" s="1" t="s">
        <v>26</v>
      </c>
      <c r="S1826">
        <f>Excel_Advanced_Sales_Dataset_2000__3[[#This Row],[Quantity]]*Excel_Advanced_Sales_Dataset_2000__3[[#This Row],[Unit Price]]*Excel_Advanced_Sales_Dataset_2000__3[[#This Row],[Discount %]]/100</f>
        <v>545.39991999999995</v>
      </c>
      <c r="T1826" s="4">
        <f>Excel_Advanced_Sales_Dataset_2000__3[[#This Row],[Quantity]]*Excel_Advanced_Sales_Dataset_2000__3[[#This Row],[Unit Price]]-Excel_Advanced_Sales_Dataset_2000__3[[#This Row],[Discount Amount]]</f>
        <v>41408.440079999993</v>
      </c>
    </row>
    <row r="1827" spans="1:20" x14ac:dyDescent="0.25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>
        <v>27</v>
      </c>
      <c r="J1827" s="4">
        <v>39008.68</v>
      </c>
      <c r="K1827" s="6">
        <v>10.64</v>
      </c>
      <c r="L1827" s="4">
        <v>941170.22</v>
      </c>
      <c r="M1827" s="4" t="str" cm="1">
        <f t="array" ref="M1827">IF(Excel_Advanced_Sales_Dataset_2000__3[[#This Row],[Total Sales]]&gt;50000,{"Yes"},{"No"})</f>
        <v>Yes</v>
      </c>
      <c r="N1827" s="5">
        <v>46065</v>
      </c>
      <c r="O1827" s="1" t="s">
        <v>45</v>
      </c>
      <c r="P1827" t="s">
        <v>35</v>
      </c>
      <c r="Q1827" t="str">
        <f>IF(Excel_Advanced_Sales_Dataset_2000__3[[#This Row],[Delivery Status]]="Pending","Follow Up","Ok")</f>
        <v>Ok</v>
      </c>
      <c r="R1827" s="1" t="s">
        <v>26</v>
      </c>
      <c r="S1827">
        <f>Excel_Advanced_Sales_Dataset_2000__3[[#This Row],[Quantity]]*Excel_Advanced_Sales_Dataset_2000__3[[#This Row],[Unit Price]]*Excel_Advanced_Sales_Dataset_2000__3[[#This Row],[Discount %]]/100</f>
        <v>112064.13590400001</v>
      </c>
      <c r="T1827" s="4">
        <f>Excel_Advanced_Sales_Dataset_2000__3[[#This Row],[Quantity]]*Excel_Advanced_Sales_Dataset_2000__3[[#This Row],[Unit Price]]-Excel_Advanced_Sales_Dataset_2000__3[[#This Row],[Discount Amount]]</f>
        <v>941170.22409600008</v>
      </c>
    </row>
    <row r="1828" spans="1:20" x14ac:dyDescent="0.25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>
        <v>38</v>
      </c>
      <c r="J1828" s="4">
        <v>35869.53</v>
      </c>
      <c r="K1828" s="6">
        <v>4.79</v>
      </c>
      <c r="L1828" s="4">
        <v>1297752.42</v>
      </c>
      <c r="M1828" s="4" t="str" cm="1">
        <f t="array" ref="M1828">IF(Excel_Advanced_Sales_Dataset_2000__3[[#This Row],[Total Sales]]&gt;50000,{"Yes"},{"No"})</f>
        <v>Yes</v>
      </c>
      <c r="N1828" s="5">
        <v>46238</v>
      </c>
      <c r="O1828" s="1" t="s">
        <v>24</v>
      </c>
      <c r="P1828" t="s">
        <v>35</v>
      </c>
      <c r="Q1828" t="str">
        <f>IF(Excel_Advanced_Sales_Dataset_2000__3[[#This Row],[Delivery Status]]="Pending","Follow Up","Ok")</f>
        <v>Ok</v>
      </c>
      <c r="R1828" s="1" t="s">
        <v>36</v>
      </c>
      <c r="S1828">
        <f>Excel_Advanced_Sales_Dataset_2000__3[[#This Row],[Quantity]]*Excel_Advanced_Sales_Dataset_2000__3[[#This Row],[Unit Price]]*Excel_Advanced_Sales_Dataset_2000__3[[#This Row],[Discount %]]/100</f>
        <v>65289.718505999997</v>
      </c>
      <c r="T1828" s="4">
        <f>Excel_Advanced_Sales_Dataset_2000__3[[#This Row],[Quantity]]*Excel_Advanced_Sales_Dataset_2000__3[[#This Row],[Unit Price]]-Excel_Advanced_Sales_Dataset_2000__3[[#This Row],[Discount Amount]]</f>
        <v>1297752.4214939999</v>
      </c>
    </row>
    <row r="1829" spans="1:20" x14ac:dyDescent="0.25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>
        <v>44</v>
      </c>
      <c r="J1829" s="4">
        <v>15315.02</v>
      </c>
      <c r="K1829" s="6">
        <v>4.04</v>
      </c>
      <c r="L1829" s="4">
        <v>646636.9</v>
      </c>
      <c r="M1829" s="4" t="str" cm="1">
        <f t="array" ref="M1829">IF(Excel_Advanced_Sales_Dataset_2000__3[[#This Row],[Total Sales]]&gt;50000,{"Yes"},{"No"})</f>
        <v>Yes</v>
      </c>
      <c r="N1829" s="5">
        <v>46304</v>
      </c>
      <c r="O1829" s="1" t="s">
        <v>68</v>
      </c>
      <c r="P1829" t="s">
        <v>35</v>
      </c>
      <c r="Q1829" t="str">
        <f>IF(Excel_Advanced_Sales_Dataset_2000__3[[#This Row],[Delivery Status]]="Pending","Follow Up","Ok")</f>
        <v>Ok</v>
      </c>
      <c r="R1829" s="1" t="s">
        <v>26</v>
      </c>
      <c r="S1829">
        <f>Excel_Advanced_Sales_Dataset_2000__3[[#This Row],[Quantity]]*Excel_Advanced_Sales_Dataset_2000__3[[#This Row],[Unit Price]]*Excel_Advanced_Sales_Dataset_2000__3[[#This Row],[Discount %]]/100</f>
        <v>27223.979552000001</v>
      </c>
      <c r="T1829" s="4">
        <f>Excel_Advanced_Sales_Dataset_2000__3[[#This Row],[Quantity]]*Excel_Advanced_Sales_Dataset_2000__3[[#This Row],[Unit Price]]-Excel_Advanced_Sales_Dataset_2000__3[[#This Row],[Discount Amount]]</f>
        <v>646636.90044800006</v>
      </c>
    </row>
    <row r="1830" spans="1:20" x14ac:dyDescent="0.25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>
        <v>17</v>
      </c>
      <c r="J1830" s="4">
        <v>32513.1</v>
      </c>
      <c r="K1830" s="6">
        <v>2.97</v>
      </c>
      <c r="L1830" s="4">
        <v>536306.84</v>
      </c>
      <c r="M1830" s="4" t="str" cm="1">
        <f t="array" ref="M1830">IF(Excel_Advanced_Sales_Dataset_2000__3[[#This Row],[Total Sales]]&gt;50000,{"Yes"},{"No"})</f>
        <v>Yes</v>
      </c>
      <c r="N1830" s="5">
        <v>46039</v>
      </c>
      <c r="O1830" s="1" t="s">
        <v>45</v>
      </c>
      <c r="P1830" t="s">
        <v>35</v>
      </c>
      <c r="Q1830" t="str">
        <f>IF(Excel_Advanced_Sales_Dataset_2000__3[[#This Row],[Delivery Status]]="Pending","Follow Up","Ok")</f>
        <v>Ok</v>
      </c>
      <c r="R1830" s="1" t="s">
        <v>26</v>
      </c>
      <c r="S1830">
        <f>Excel_Advanced_Sales_Dataset_2000__3[[#This Row],[Quantity]]*Excel_Advanced_Sales_Dataset_2000__3[[#This Row],[Unit Price]]*Excel_Advanced_Sales_Dataset_2000__3[[#This Row],[Discount %]]/100</f>
        <v>16415.86419</v>
      </c>
      <c r="T1830" s="4">
        <f>Excel_Advanced_Sales_Dataset_2000__3[[#This Row],[Quantity]]*Excel_Advanced_Sales_Dataset_2000__3[[#This Row],[Unit Price]]-Excel_Advanced_Sales_Dataset_2000__3[[#This Row],[Discount Amount]]</f>
        <v>536306.83580999996</v>
      </c>
    </row>
    <row r="1831" spans="1:20" x14ac:dyDescent="0.25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>
        <v>45</v>
      </c>
      <c r="J1831" s="4">
        <v>18178.18</v>
      </c>
      <c r="K1831" s="6">
        <v>4.0199999999999996</v>
      </c>
      <c r="L1831" s="4">
        <v>785133.77</v>
      </c>
      <c r="M1831" s="4" t="str" cm="1">
        <f t="array" ref="M1831">IF(Excel_Advanced_Sales_Dataset_2000__3[[#This Row],[Total Sales]]&gt;50000,{"Yes"},{"No"})</f>
        <v>Yes</v>
      </c>
      <c r="N1831" s="5">
        <v>46278</v>
      </c>
      <c r="O1831" s="1" t="s">
        <v>68</v>
      </c>
      <c r="P1831" t="s">
        <v>59</v>
      </c>
      <c r="Q1831" t="str">
        <f>IF(Excel_Advanced_Sales_Dataset_2000__3[[#This Row],[Delivery Status]]="Pending","Follow Up","Ok")</f>
        <v>Ok</v>
      </c>
      <c r="R1831" s="1" t="s">
        <v>53</v>
      </c>
      <c r="S1831">
        <f>Excel_Advanced_Sales_Dataset_2000__3[[#This Row],[Quantity]]*Excel_Advanced_Sales_Dataset_2000__3[[#This Row],[Unit Price]]*Excel_Advanced_Sales_Dataset_2000__3[[#This Row],[Discount %]]/100</f>
        <v>32884.327619999996</v>
      </c>
      <c r="T1831" s="4">
        <f>Excel_Advanced_Sales_Dataset_2000__3[[#This Row],[Quantity]]*Excel_Advanced_Sales_Dataset_2000__3[[#This Row],[Unit Price]]-Excel_Advanced_Sales_Dataset_2000__3[[#This Row],[Discount Amount]]</f>
        <v>785133.77237999998</v>
      </c>
    </row>
    <row r="1832" spans="1:20" x14ac:dyDescent="0.25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>
        <v>4</v>
      </c>
      <c r="J1832" s="4">
        <v>16970.84</v>
      </c>
      <c r="K1832" s="6">
        <v>5.67</v>
      </c>
      <c r="L1832" s="4">
        <v>64034.37</v>
      </c>
      <c r="M1832" s="4" t="str" cm="1">
        <f t="array" ref="M1832">IF(Excel_Advanced_Sales_Dataset_2000__3[[#This Row],[Total Sales]]&gt;50000,{"Yes"},{"No"})</f>
        <v>Yes</v>
      </c>
      <c r="N1832" s="5">
        <v>46309</v>
      </c>
      <c r="O1832" s="1" t="s">
        <v>58</v>
      </c>
      <c r="P1832" t="s">
        <v>35</v>
      </c>
      <c r="Q1832" t="str">
        <f>IF(Excel_Advanced_Sales_Dataset_2000__3[[#This Row],[Delivery Status]]="Pending","Follow Up","Ok")</f>
        <v>Ok</v>
      </c>
      <c r="R1832" s="1" t="s">
        <v>53</v>
      </c>
      <c r="S1832">
        <f>Excel_Advanced_Sales_Dataset_2000__3[[#This Row],[Quantity]]*Excel_Advanced_Sales_Dataset_2000__3[[#This Row],[Unit Price]]*Excel_Advanced_Sales_Dataset_2000__3[[#This Row],[Discount %]]/100</f>
        <v>3848.9865120000004</v>
      </c>
      <c r="T1832" s="4">
        <f>Excel_Advanced_Sales_Dataset_2000__3[[#This Row],[Quantity]]*Excel_Advanced_Sales_Dataset_2000__3[[#This Row],[Unit Price]]-Excel_Advanced_Sales_Dataset_2000__3[[#This Row],[Discount Amount]]</f>
        <v>64034.373487999997</v>
      </c>
    </row>
    <row r="1833" spans="1:20" x14ac:dyDescent="0.25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>
        <v>9</v>
      </c>
      <c r="J1833" s="4">
        <v>750.9</v>
      </c>
      <c r="K1833" s="6">
        <v>13.53</v>
      </c>
      <c r="L1833" s="4">
        <v>5843.73</v>
      </c>
      <c r="M1833" s="4" t="str" cm="1">
        <f t="array" ref="M1833">IF(Excel_Advanced_Sales_Dataset_2000__3[[#This Row],[Total Sales]]&gt;50000,{"Yes"},{"No"})</f>
        <v>No</v>
      </c>
      <c r="N1833" s="5">
        <v>46359</v>
      </c>
      <c r="O1833" s="1" t="s">
        <v>113</v>
      </c>
      <c r="P1833" t="s">
        <v>35</v>
      </c>
      <c r="Q1833" t="str">
        <f>IF(Excel_Advanced_Sales_Dataset_2000__3[[#This Row],[Delivery Status]]="Pending","Follow Up","Ok")</f>
        <v>Ok</v>
      </c>
      <c r="R1833" s="1" t="s">
        <v>26</v>
      </c>
      <c r="S1833">
        <f>Excel_Advanced_Sales_Dataset_2000__3[[#This Row],[Quantity]]*Excel_Advanced_Sales_Dataset_2000__3[[#This Row],[Unit Price]]*Excel_Advanced_Sales_Dataset_2000__3[[#This Row],[Discount %]]/100</f>
        <v>914.37092999999993</v>
      </c>
      <c r="T1833" s="4">
        <f>Excel_Advanced_Sales_Dataset_2000__3[[#This Row],[Quantity]]*Excel_Advanced_Sales_Dataset_2000__3[[#This Row],[Unit Price]]-Excel_Advanced_Sales_Dataset_2000__3[[#This Row],[Discount Amount]]</f>
        <v>5843.7290699999994</v>
      </c>
    </row>
    <row r="1834" spans="1:20" x14ac:dyDescent="0.25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>
        <v>31</v>
      </c>
      <c r="J1834" s="4">
        <v>7407.16</v>
      </c>
      <c r="K1834" s="6">
        <v>9.7200000000000006</v>
      </c>
      <c r="L1834" s="4">
        <v>207302.71</v>
      </c>
      <c r="M1834" s="4" t="str" cm="1">
        <f t="array" ref="M1834">IF(Excel_Advanced_Sales_Dataset_2000__3[[#This Row],[Total Sales]]&gt;50000,{"Yes"},{"No"})</f>
        <v>Yes</v>
      </c>
      <c r="N1834" s="5">
        <v>46369</v>
      </c>
      <c r="O1834" s="1" t="s">
        <v>24</v>
      </c>
      <c r="P1834" t="s">
        <v>35</v>
      </c>
      <c r="Q1834" t="str">
        <f>IF(Excel_Advanced_Sales_Dataset_2000__3[[#This Row],[Delivery Status]]="Pending","Follow Up","Ok")</f>
        <v>Ok</v>
      </c>
      <c r="R1834" s="1" t="s">
        <v>26</v>
      </c>
      <c r="S1834">
        <f>Excel_Advanced_Sales_Dataset_2000__3[[#This Row],[Quantity]]*Excel_Advanced_Sales_Dataset_2000__3[[#This Row],[Unit Price]]*Excel_Advanced_Sales_Dataset_2000__3[[#This Row],[Discount %]]/100</f>
        <v>22319.254512</v>
      </c>
      <c r="T1834" s="4">
        <f>Excel_Advanced_Sales_Dataset_2000__3[[#This Row],[Quantity]]*Excel_Advanced_Sales_Dataset_2000__3[[#This Row],[Unit Price]]-Excel_Advanced_Sales_Dataset_2000__3[[#This Row],[Discount Amount]]</f>
        <v>207302.70548800001</v>
      </c>
    </row>
    <row r="1835" spans="1:20" x14ac:dyDescent="0.25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>
        <v>24</v>
      </c>
      <c r="J1835" s="4">
        <v>19796.3</v>
      </c>
      <c r="K1835" s="6">
        <v>15.67</v>
      </c>
      <c r="L1835" s="4">
        <v>400661.27</v>
      </c>
      <c r="M1835" s="4" t="str" cm="1">
        <f t="array" ref="M1835">IF(Excel_Advanced_Sales_Dataset_2000__3[[#This Row],[Total Sales]]&gt;50000,{"Yes"},{"No"})</f>
        <v>Yes</v>
      </c>
      <c r="N1835" s="5">
        <v>46359</v>
      </c>
      <c r="O1835" s="1" t="s">
        <v>58</v>
      </c>
      <c r="P1835" t="s">
        <v>35</v>
      </c>
      <c r="Q1835" t="str">
        <f>IF(Excel_Advanced_Sales_Dataset_2000__3[[#This Row],[Delivery Status]]="Pending","Follow Up","Ok")</f>
        <v>Ok</v>
      </c>
      <c r="R1835" s="1" t="s">
        <v>36</v>
      </c>
      <c r="S1835">
        <f>Excel_Advanced_Sales_Dataset_2000__3[[#This Row],[Quantity]]*Excel_Advanced_Sales_Dataset_2000__3[[#This Row],[Unit Price]]*Excel_Advanced_Sales_Dataset_2000__3[[#This Row],[Discount %]]/100</f>
        <v>74449.925039999987</v>
      </c>
      <c r="T1835" s="4">
        <f>Excel_Advanced_Sales_Dataset_2000__3[[#This Row],[Quantity]]*Excel_Advanced_Sales_Dataset_2000__3[[#This Row],[Unit Price]]-Excel_Advanced_Sales_Dataset_2000__3[[#This Row],[Discount Amount]]</f>
        <v>400661.27495999995</v>
      </c>
    </row>
    <row r="1836" spans="1:20" x14ac:dyDescent="0.25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>
        <v>16</v>
      </c>
      <c r="J1836" s="4">
        <v>21092.49</v>
      </c>
      <c r="K1836" s="6">
        <v>1.01</v>
      </c>
      <c r="L1836" s="4">
        <v>334071.28999999998</v>
      </c>
      <c r="M1836" s="4" t="str" cm="1">
        <f t="array" ref="M1836">IF(Excel_Advanced_Sales_Dataset_2000__3[[#This Row],[Total Sales]]&gt;50000,{"Yes"},{"No"})</f>
        <v>Yes</v>
      </c>
      <c r="N1836" s="5">
        <v>46188</v>
      </c>
      <c r="O1836" s="1" t="s">
        <v>24</v>
      </c>
      <c r="P1836" t="s">
        <v>35</v>
      </c>
      <c r="Q1836" t="str">
        <f>IF(Excel_Advanced_Sales_Dataset_2000__3[[#This Row],[Delivery Status]]="Pending","Follow Up","Ok")</f>
        <v>Ok</v>
      </c>
      <c r="R1836" s="1" t="s">
        <v>26</v>
      </c>
      <c r="S1836">
        <f>Excel_Advanced_Sales_Dataset_2000__3[[#This Row],[Quantity]]*Excel_Advanced_Sales_Dataset_2000__3[[#This Row],[Unit Price]]*Excel_Advanced_Sales_Dataset_2000__3[[#This Row],[Discount %]]/100</f>
        <v>3408.5463840000007</v>
      </c>
      <c r="T1836" s="4">
        <f>Excel_Advanced_Sales_Dataset_2000__3[[#This Row],[Quantity]]*Excel_Advanced_Sales_Dataset_2000__3[[#This Row],[Unit Price]]-Excel_Advanced_Sales_Dataset_2000__3[[#This Row],[Discount Amount]]</f>
        <v>334071.29361600004</v>
      </c>
    </row>
    <row r="1837" spans="1:20" x14ac:dyDescent="0.25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>
        <v>22</v>
      </c>
      <c r="J1837" s="4">
        <v>11294.11</v>
      </c>
      <c r="K1837" s="6">
        <v>3.78</v>
      </c>
      <c r="L1837" s="4">
        <v>239078.24</v>
      </c>
      <c r="M1837" s="4" t="str" cm="1">
        <f t="array" ref="M1837">IF(Excel_Advanced_Sales_Dataset_2000__3[[#This Row],[Total Sales]]&gt;50000,{"Yes"},{"No"})</f>
        <v>Yes</v>
      </c>
      <c r="N1837" s="5">
        <v>46312</v>
      </c>
      <c r="O1837" s="1" t="s">
        <v>58</v>
      </c>
      <c r="P1837" t="s">
        <v>35</v>
      </c>
      <c r="Q1837" t="str">
        <f>IF(Excel_Advanced_Sales_Dataset_2000__3[[#This Row],[Delivery Status]]="Pending","Follow Up","Ok")</f>
        <v>Ok</v>
      </c>
      <c r="R1837" s="1" t="s">
        <v>36</v>
      </c>
      <c r="S1837">
        <f>Excel_Advanced_Sales_Dataset_2000__3[[#This Row],[Quantity]]*Excel_Advanced_Sales_Dataset_2000__3[[#This Row],[Unit Price]]*Excel_Advanced_Sales_Dataset_2000__3[[#This Row],[Discount %]]/100</f>
        <v>9392.1818759999987</v>
      </c>
      <c r="T1837" s="4">
        <f>Excel_Advanced_Sales_Dataset_2000__3[[#This Row],[Quantity]]*Excel_Advanced_Sales_Dataset_2000__3[[#This Row],[Unit Price]]-Excel_Advanced_Sales_Dataset_2000__3[[#This Row],[Discount Amount]]</f>
        <v>239078.23812400002</v>
      </c>
    </row>
    <row r="1838" spans="1:20" x14ac:dyDescent="0.25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>
        <v>17</v>
      </c>
      <c r="J1838" s="4">
        <v>41387.06</v>
      </c>
      <c r="K1838" s="6">
        <v>14.31</v>
      </c>
      <c r="L1838" s="4">
        <v>602897.72</v>
      </c>
      <c r="M1838" s="4" t="str" cm="1">
        <f t="array" ref="M1838">IF(Excel_Advanced_Sales_Dataset_2000__3[[#This Row],[Total Sales]]&gt;50000,{"Yes"},{"No"})</f>
        <v>Yes</v>
      </c>
      <c r="N1838" s="5">
        <v>46370</v>
      </c>
      <c r="O1838" s="1" t="s">
        <v>68</v>
      </c>
      <c r="P1838" t="s">
        <v>35</v>
      </c>
      <c r="Q1838" t="str">
        <f>IF(Excel_Advanced_Sales_Dataset_2000__3[[#This Row],[Delivery Status]]="Pending","Follow Up","Ok")</f>
        <v>Ok</v>
      </c>
      <c r="R1838" s="1" t="s">
        <v>53</v>
      </c>
      <c r="S1838">
        <f>Excel_Advanced_Sales_Dataset_2000__3[[#This Row],[Quantity]]*Excel_Advanced_Sales_Dataset_2000__3[[#This Row],[Unit Price]]*Excel_Advanced_Sales_Dataset_2000__3[[#This Row],[Discount %]]/100</f>
        <v>100682.300862</v>
      </c>
      <c r="T1838" s="4">
        <f>Excel_Advanced_Sales_Dataset_2000__3[[#This Row],[Quantity]]*Excel_Advanced_Sales_Dataset_2000__3[[#This Row],[Unit Price]]-Excel_Advanced_Sales_Dataset_2000__3[[#This Row],[Discount Amount]]</f>
        <v>602897.71913800004</v>
      </c>
    </row>
    <row r="1839" spans="1:20" x14ac:dyDescent="0.25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>
        <v>44</v>
      </c>
      <c r="J1839" s="4">
        <v>14103.5</v>
      </c>
      <c r="K1839" s="6">
        <v>15.64</v>
      </c>
      <c r="L1839" s="4">
        <v>523499.35</v>
      </c>
      <c r="M1839" s="4" t="str" cm="1">
        <f t="array" ref="M1839">IF(Excel_Advanced_Sales_Dataset_2000__3[[#This Row],[Total Sales]]&gt;50000,{"Yes"},{"No"})</f>
        <v>Yes</v>
      </c>
      <c r="N1839" s="5">
        <v>46142</v>
      </c>
      <c r="O1839" s="1" t="s">
        <v>24</v>
      </c>
      <c r="P1839" t="s">
        <v>35</v>
      </c>
      <c r="Q1839" t="str">
        <f>IF(Excel_Advanced_Sales_Dataset_2000__3[[#This Row],[Delivery Status]]="Pending","Follow Up","Ok")</f>
        <v>Ok</v>
      </c>
      <c r="R1839" s="1" t="s">
        <v>26</v>
      </c>
      <c r="S1839">
        <f>Excel_Advanced_Sales_Dataset_2000__3[[#This Row],[Quantity]]*Excel_Advanced_Sales_Dataset_2000__3[[#This Row],[Unit Price]]*Excel_Advanced_Sales_Dataset_2000__3[[#This Row],[Discount %]]/100</f>
        <v>97054.645600000003</v>
      </c>
      <c r="T1839" s="4">
        <f>Excel_Advanced_Sales_Dataset_2000__3[[#This Row],[Quantity]]*Excel_Advanced_Sales_Dataset_2000__3[[#This Row],[Unit Price]]-Excel_Advanced_Sales_Dataset_2000__3[[#This Row],[Discount Amount]]</f>
        <v>523499.35440000001</v>
      </c>
    </row>
    <row r="1840" spans="1:20" x14ac:dyDescent="0.25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>
        <v>25</v>
      </c>
      <c r="J1840" s="4">
        <v>10955.01</v>
      </c>
      <c r="K1840" s="6">
        <v>19.510000000000002</v>
      </c>
      <c r="L1840" s="4">
        <v>220442.19</v>
      </c>
      <c r="M1840" s="4" t="str" cm="1">
        <f t="array" ref="M1840">IF(Excel_Advanced_Sales_Dataset_2000__3[[#This Row],[Total Sales]]&gt;50000,{"Yes"},{"No"})</f>
        <v>Yes</v>
      </c>
      <c r="N1840" s="5">
        <v>46358</v>
      </c>
      <c r="O1840" s="1" t="s">
        <v>113</v>
      </c>
      <c r="P1840" t="s">
        <v>35</v>
      </c>
      <c r="Q1840" t="str">
        <f>IF(Excel_Advanced_Sales_Dataset_2000__3[[#This Row],[Delivery Status]]="Pending","Follow Up","Ok")</f>
        <v>Ok</v>
      </c>
      <c r="R1840" s="1" t="s">
        <v>53</v>
      </c>
      <c r="S1840">
        <f>Excel_Advanced_Sales_Dataset_2000__3[[#This Row],[Quantity]]*Excel_Advanced_Sales_Dataset_2000__3[[#This Row],[Unit Price]]*Excel_Advanced_Sales_Dataset_2000__3[[#This Row],[Discount %]]/100</f>
        <v>53433.061275000007</v>
      </c>
      <c r="T1840" s="4">
        <f>Excel_Advanced_Sales_Dataset_2000__3[[#This Row],[Quantity]]*Excel_Advanced_Sales_Dataset_2000__3[[#This Row],[Unit Price]]-Excel_Advanced_Sales_Dataset_2000__3[[#This Row],[Discount Amount]]</f>
        <v>220442.18872499999</v>
      </c>
    </row>
    <row r="1841" spans="1:20" x14ac:dyDescent="0.25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>
        <v>37</v>
      </c>
      <c r="J1841" s="4">
        <v>28006.36</v>
      </c>
      <c r="K1841" s="6">
        <v>8.9600000000000009</v>
      </c>
      <c r="L1841" s="4">
        <v>943388.64</v>
      </c>
      <c r="M1841" s="4" t="str" cm="1">
        <f t="array" ref="M1841">IF(Excel_Advanced_Sales_Dataset_2000__3[[#This Row],[Total Sales]]&gt;50000,{"Yes"},{"No"})</f>
        <v>Yes</v>
      </c>
      <c r="N1841" s="5">
        <v>46034</v>
      </c>
      <c r="O1841" s="1" t="s">
        <v>58</v>
      </c>
      <c r="P1841" t="s">
        <v>35</v>
      </c>
      <c r="Q1841" t="str">
        <f>IF(Excel_Advanced_Sales_Dataset_2000__3[[#This Row],[Delivery Status]]="Pending","Follow Up","Ok")</f>
        <v>Ok</v>
      </c>
      <c r="R1841" s="1" t="s">
        <v>36</v>
      </c>
      <c r="S1841">
        <f>Excel_Advanced_Sales_Dataset_2000__3[[#This Row],[Quantity]]*Excel_Advanced_Sales_Dataset_2000__3[[#This Row],[Unit Price]]*Excel_Advanced_Sales_Dataset_2000__3[[#This Row],[Discount %]]/100</f>
        <v>92846.684672000018</v>
      </c>
      <c r="T1841" s="4">
        <f>Excel_Advanced_Sales_Dataset_2000__3[[#This Row],[Quantity]]*Excel_Advanced_Sales_Dataset_2000__3[[#This Row],[Unit Price]]-Excel_Advanced_Sales_Dataset_2000__3[[#This Row],[Discount Amount]]</f>
        <v>943388.63532800006</v>
      </c>
    </row>
    <row r="1842" spans="1:20" x14ac:dyDescent="0.25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>
        <v>18</v>
      </c>
      <c r="J1842" s="4">
        <v>26155.119999999999</v>
      </c>
      <c r="K1842" s="6">
        <v>5.69</v>
      </c>
      <c r="L1842" s="4">
        <v>444004.09</v>
      </c>
      <c r="M1842" s="4" t="str" cm="1">
        <f t="array" ref="M1842">IF(Excel_Advanced_Sales_Dataset_2000__3[[#This Row],[Total Sales]]&gt;50000,{"Yes"},{"No"})</f>
        <v>Yes</v>
      </c>
      <c r="N1842" s="5">
        <v>46376</v>
      </c>
      <c r="O1842" s="1" t="s">
        <v>58</v>
      </c>
      <c r="P1842" t="s">
        <v>35</v>
      </c>
      <c r="Q1842" t="str">
        <f>IF(Excel_Advanced_Sales_Dataset_2000__3[[#This Row],[Delivery Status]]="Pending","Follow Up","Ok")</f>
        <v>Ok</v>
      </c>
      <c r="R1842" s="1" t="s">
        <v>36</v>
      </c>
      <c r="S1842">
        <f>Excel_Advanced_Sales_Dataset_2000__3[[#This Row],[Quantity]]*Excel_Advanced_Sales_Dataset_2000__3[[#This Row],[Unit Price]]*Excel_Advanced_Sales_Dataset_2000__3[[#This Row],[Discount %]]/100</f>
        <v>26788.073904000001</v>
      </c>
      <c r="T1842" s="4">
        <f>Excel_Advanced_Sales_Dataset_2000__3[[#This Row],[Quantity]]*Excel_Advanced_Sales_Dataset_2000__3[[#This Row],[Unit Price]]-Excel_Advanced_Sales_Dataset_2000__3[[#This Row],[Discount Amount]]</f>
        <v>444004.08609599998</v>
      </c>
    </row>
    <row r="1843" spans="1:20" x14ac:dyDescent="0.25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>
        <v>11</v>
      </c>
      <c r="J1843" s="4">
        <v>7959.47</v>
      </c>
      <c r="K1843" s="6">
        <v>15.46</v>
      </c>
      <c r="L1843" s="4">
        <v>74018.3</v>
      </c>
      <c r="M1843" s="4" t="str" cm="1">
        <f t="array" ref="M1843">IF(Excel_Advanced_Sales_Dataset_2000__3[[#This Row],[Total Sales]]&gt;50000,{"Yes"},{"No"})</f>
        <v>Yes</v>
      </c>
      <c r="N1843" s="5">
        <v>46044</v>
      </c>
      <c r="O1843" s="1" t="s">
        <v>68</v>
      </c>
      <c r="P1843" t="s">
        <v>35</v>
      </c>
      <c r="Q1843" t="str">
        <f>IF(Excel_Advanced_Sales_Dataset_2000__3[[#This Row],[Delivery Status]]="Pending","Follow Up","Ok")</f>
        <v>Ok</v>
      </c>
      <c r="R1843" s="1" t="s">
        <v>26</v>
      </c>
      <c r="S1843">
        <f>Excel_Advanced_Sales_Dataset_2000__3[[#This Row],[Quantity]]*Excel_Advanced_Sales_Dataset_2000__3[[#This Row],[Unit Price]]*Excel_Advanced_Sales_Dataset_2000__3[[#This Row],[Discount %]]/100</f>
        <v>13535.874682</v>
      </c>
      <c r="T1843" s="4">
        <f>Excel_Advanced_Sales_Dataset_2000__3[[#This Row],[Quantity]]*Excel_Advanced_Sales_Dataset_2000__3[[#This Row],[Unit Price]]-Excel_Advanced_Sales_Dataset_2000__3[[#This Row],[Discount Amount]]</f>
        <v>74018.295318000004</v>
      </c>
    </row>
    <row r="1844" spans="1:20" x14ac:dyDescent="0.25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>
        <v>19</v>
      </c>
      <c r="J1844" s="4">
        <v>7292.21</v>
      </c>
      <c r="K1844" s="6">
        <v>0.32</v>
      </c>
      <c r="L1844" s="4">
        <v>138108.62</v>
      </c>
      <c r="M1844" s="4" t="str" cm="1">
        <f t="array" ref="M1844">IF(Excel_Advanced_Sales_Dataset_2000__3[[#This Row],[Total Sales]]&gt;50000,{"Yes"},{"No"})</f>
        <v>Yes</v>
      </c>
      <c r="N1844" s="5">
        <v>46090</v>
      </c>
      <c r="O1844" s="1" t="s">
        <v>24</v>
      </c>
      <c r="P1844" t="s">
        <v>59</v>
      </c>
      <c r="Q1844" t="str">
        <f>IF(Excel_Advanced_Sales_Dataset_2000__3[[#This Row],[Delivery Status]]="Pending","Follow Up","Ok")</f>
        <v>Ok</v>
      </c>
      <c r="R1844" s="1" t="s">
        <v>53</v>
      </c>
      <c r="S1844">
        <f>Excel_Advanced_Sales_Dataset_2000__3[[#This Row],[Quantity]]*Excel_Advanced_Sales_Dataset_2000__3[[#This Row],[Unit Price]]*Excel_Advanced_Sales_Dataset_2000__3[[#This Row],[Discount %]]/100</f>
        <v>443.36636800000002</v>
      </c>
      <c r="T1844" s="4">
        <f>Excel_Advanced_Sales_Dataset_2000__3[[#This Row],[Quantity]]*Excel_Advanced_Sales_Dataset_2000__3[[#This Row],[Unit Price]]-Excel_Advanced_Sales_Dataset_2000__3[[#This Row],[Discount Amount]]</f>
        <v>138108.623632</v>
      </c>
    </row>
    <row r="1845" spans="1:20" x14ac:dyDescent="0.25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>
        <v>7</v>
      </c>
      <c r="J1845" s="4">
        <v>9119.91</v>
      </c>
      <c r="K1845" s="6">
        <v>6.4</v>
      </c>
      <c r="L1845" s="4">
        <v>59753.65</v>
      </c>
      <c r="M1845" s="4" t="str" cm="1">
        <f t="array" ref="M1845">IF(Excel_Advanced_Sales_Dataset_2000__3[[#This Row],[Total Sales]]&gt;50000,{"Yes"},{"No"})</f>
        <v>Yes</v>
      </c>
      <c r="N1845" s="5">
        <v>46326</v>
      </c>
      <c r="O1845" s="1" t="s">
        <v>45</v>
      </c>
      <c r="P1845" t="s">
        <v>35</v>
      </c>
      <c r="Q1845" t="str">
        <f>IF(Excel_Advanced_Sales_Dataset_2000__3[[#This Row],[Delivery Status]]="Pending","Follow Up","Ok")</f>
        <v>Ok</v>
      </c>
      <c r="R1845" s="1" t="s">
        <v>53</v>
      </c>
      <c r="S1845">
        <f>Excel_Advanced_Sales_Dataset_2000__3[[#This Row],[Quantity]]*Excel_Advanced_Sales_Dataset_2000__3[[#This Row],[Unit Price]]*Excel_Advanced_Sales_Dataset_2000__3[[#This Row],[Discount %]]/100</f>
        <v>4085.7196800000002</v>
      </c>
      <c r="T1845" s="4">
        <f>Excel_Advanced_Sales_Dataset_2000__3[[#This Row],[Quantity]]*Excel_Advanced_Sales_Dataset_2000__3[[#This Row],[Unit Price]]-Excel_Advanced_Sales_Dataset_2000__3[[#This Row],[Discount Amount]]</f>
        <v>59753.650319999993</v>
      </c>
    </row>
    <row r="1846" spans="1:20" x14ac:dyDescent="0.25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>
        <v>18</v>
      </c>
      <c r="J1846" s="4">
        <v>26868.54</v>
      </c>
      <c r="K1846" s="6">
        <v>11.56</v>
      </c>
      <c r="L1846" s="4">
        <v>427725.66</v>
      </c>
      <c r="M1846" s="4" t="str" cm="1">
        <f t="array" ref="M1846">IF(Excel_Advanced_Sales_Dataset_2000__3[[#This Row],[Total Sales]]&gt;50000,{"Yes"},{"No"})</f>
        <v>Yes</v>
      </c>
      <c r="N1846" s="5">
        <v>46226</v>
      </c>
      <c r="O1846" s="1" t="s">
        <v>58</v>
      </c>
      <c r="P1846" t="s">
        <v>35</v>
      </c>
      <c r="Q1846" t="str">
        <f>IF(Excel_Advanced_Sales_Dataset_2000__3[[#This Row],[Delivery Status]]="Pending","Follow Up","Ok")</f>
        <v>Ok</v>
      </c>
      <c r="R1846" s="1" t="s">
        <v>53</v>
      </c>
      <c r="S1846">
        <f>Excel_Advanced_Sales_Dataset_2000__3[[#This Row],[Quantity]]*Excel_Advanced_Sales_Dataset_2000__3[[#This Row],[Unit Price]]*Excel_Advanced_Sales_Dataset_2000__3[[#This Row],[Discount %]]/100</f>
        <v>55908.058032000008</v>
      </c>
      <c r="T1846" s="4">
        <f>Excel_Advanced_Sales_Dataset_2000__3[[#This Row],[Quantity]]*Excel_Advanced_Sales_Dataset_2000__3[[#This Row],[Unit Price]]-Excel_Advanced_Sales_Dataset_2000__3[[#This Row],[Discount Amount]]</f>
        <v>427725.661968</v>
      </c>
    </row>
    <row r="1847" spans="1:20" x14ac:dyDescent="0.25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>
        <v>37</v>
      </c>
      <c r="J1847" s="4">
        <v>40790.22</v>
      </c>
      <c r="K1847" s="6">
        <v>16.07</v>
      </c>
      <c r="L1847" s="4">
        <v>1266703.57</v>
      </c>
      <c r="M1847" s="4" t="str" cm="1">
        <f t="array" ref="M1847">IF(Excel_Advanced_Sales_Dataset_2000__3[[#This Row],[Total Sales]]&gt;50000,{"Yes"},{"No"})</f>
        <v>Yes</v>
      </c>
      <c r="N1847" s="5">
        <v>46344</v>
      </c>
      <c r="O1847" s="1" t="s">
        <v>113</v>
      </c>
      <c r="P1847" t="s">
        <v>35</v>
      </c>
      <c r="Q1847" t="str">
        <f>IF(Excel_Advanced_Sales_Dataset_2000__3[[#This Row],[Delivery Status]]="Pending","Follow Up","Ok")</f>
        <v>Ok</v>
      </c>
      <c r="R1847" s="1" t="s">
        <v>53</v>
      </c>
      <c r="S1847">
        <f>Excel_Advanced_Sales_Dataset_2000__3[[#This Row],[Quantity]]*Excel_Advanced_Sales_Dataset_2000__3[[#This Row],[Unit Price]]*Excel_Advanced_Sales_Dataset_2000__3[[#This Row],[Discount %]]/100</f>
        <v>242534.56909800004</v>
      </c>
      <c r="T1847" s="4">
        <f>Excel_Advanced_Sales_Dataset_2000__3[[#This Row],[Quantity]]*Excel_Advanced_Sales_Dataset_2000__3[[#This Row],[Unit Price]]-Excel_Advanced_Sales_Dataset_2000__3[[#This Row],[Discount Amount]]</f>
        <v>1266703.5709020002</v>
      </c>
    </row>
    <row r="1848" spans="1:20" x14ac:dyDescent="0.25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>
        <v>42</v>
      </c>
      <c r="J1848" s="4">
        <v>11430.93</v>
      </c>
      <c r="K1848" s="6">
        <v>10.57</v>
      </c>
      <c r="L1848" s="4">
        <v>429352.59</v>
      </c>
      <c r="M1848" s="4" t="str" cm="1">
        <f t="array" ref="M1848">IF(Excel_Advanced_Sales_Dataset_2000__3[[#This Row],[Total Sales]]&gt;50000,{"Yes"},{"No"})</f>
        <v>Yes</v>
      </c>
      <c r="N1848" s="5">
        <v>46171</v>
      </c>
      <c r="O1848" s="1" t="s">
        <v>68</v>
      </c>
      <c r="P1848" t="s">
        <v>35</v>
      </c>
      <c r="Q1848" t="str">
        <f>IF(Excel_Advanced_Sales_Dataset_2000__3[[#This Row],[Delivery Status]]="Pending","Follow Up","Ok")</f>
        <v>Ok</v>
      </c>
      <c r="R1848" s="1" t="s">
        <v>36</v>
      </c>
      <c r="S1848">
        <f>Excel_Advanced_Sales_Dataset_2000__3[[#This Row],[Quantity]]*Excel_Advanced_Sales_Dataset_2000__3[[#This Row],[Unit Price]]*Excel_Advanced_Sales_Dataset_2000__3[[#This Row],[Discount %]]/100</f>
        <v>50746.470642</v>
      </c>
      <c r="T1848" s="4">
        <f>Excel_Advanced_Sales_Dataset_2000__3[[#This Row],[Quantity]]*Excel_Advanced_Sales_Dataset_2000__3[[#This Row],[Unit Price]]-Excel_Advanced_Sales_Dataset_2000__3[[#This Row],[Discount Amount]]</f>
        <v>429352.58935799997</v>
      </c>
    </row>
    <row r="1849" spans="1:20" x14ac:dyDescent="0.25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>
        <v>6</v>
      </c>
      <c r="J1849" s="4">
        <v>3243.62</v>
      </c>
      <c r="K1849" s="6">
        <v>15.89</v>
      </c>
      <c r="L1849" s="4">
        <v>16369.25</v>
      </c>
      <c r="M1849" s="4" t="str" cm="1">
        <f t="array" ref="M1849">IF(Excel_Advanced_Sales_Dataset_2000__3[[#This Row],[Total Sales]]&gt;50000,{"Yes"},{"No"})</f>
        <v>No</v>
      </c>
      <c r="N1849" s="5">
        <v>46147</v>
      </c>
      <c r="O1849" s="1" t="s">
        <v>58</v>
      </c>
      <c r="P1849" t="s">
        <v>35</v>
      </c>
      <c r="Q1849" t="str">
        <f>IF(Excel_Advanced_Sales_Dataset_2000__3[[#This Row],[Delivery Status]]="Pending","Follow Up","Ok")</f>
        <v>Ok</v>
      </c>
      <c r="R1849" s="1" t="s">
        <v>36</v>
      </c>
      <c r="S1849">
        <f>Excel_Advanced_Sales_Dataset_2000__3[[#This Row],[Quantity]]*Excel_Advanced_Sales_Dataset_2000__3[[#This Row],[Unit Price]]*Excel_Advanced_Sales_Dataset_2000__3[[#This Row],[Discount %]]/100</f>
        <v>3092.4673080000002</v>
      </c>
      <c r="T1849" s="4">
        <f>Excel_Advanced_Sales_Dataset_2000__3[[#This Row],[Quantity]]*Excel_Advanced_Sales_Dataset_2000__3[[#This Row],[Unit Price]]-Excel_Advanced_Sales_Dataset_2000__3[[#This Row],[Discount Amount]]</f>
        <v>16369.252692000002</v>
      </c>
    </row>
    <row r="1850" spans="1:20" x14ac:dyDescent="0.25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>
        <v>25</v>
      </c>
      <c r="J1850" s="4">
        <v>23199.47</v>
      </c>
      <c r="K1850" s="6">
        <v>0.75</v>
      </c>
      <c r="L1850" s="4">
        <v>575636.85</v>
      </c>
      <c r="M1850" s="4" t="str" cm="1">
        <f t="array" ref="M1850">IF(Excel_Advanced_Sales_Dataset_2000__3[[#This Row],[Total Sales]]&gt;50000,{"Yes"},{"No"})</f>
        <v>Yes</v>
      </c>
      <c r="N1850" s="5">
        <v>46344</v>
      </c>
      <c r="O1850" s="1" t="s">
        <v>68</v>
      </c>
      <c r="P1850" t="s">
        <v>35</v>
      </c>
      <c r="Q1850" t="str">
        <f>IF(Excel_Advanced_Sales_Dataset_2000__3[[#This Row],[Delivery Status]]="Pending","Follow Up","Ok")</f>
        <v>Ok</v>
      </c>
      <c r="R1850" s="1" t="s">
        <v>36</v>
      </c>
      <c r="S1850">
        <f>Excel_Advanced_Sales_Dataset_2000__3[[#This Row],[Quantity]]*Excel_Advanced_Sales_Dataset_2000__3[[#This Row],[Unit Price]]*Excel_Advanced_Sales_Dataset_2000__3[[#This Row],[Discount %]]/100</f>
        <v>4349.9006250000002</v>
      </c>
      <c r="T1850" s="4">
        <f>Excel_Advanced_Sales_Dataset_2000__3[[#This Row],[Quantity]]*Excel_Advanced_Sales_Dataset_2000__3[[#This Row],[Unit Price]]-Excel_Advanced_Sales_Dataset_2000__3[[#This Row],[Discount Amount]]</f>
        <v>575636.84937499999</v>
      </c>
    </row>
    <row r="1851" spans="1:20" x14ac:dyDescent="0.25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>
        <v>46</v>
      </c>
      <c r="J1851" s="4">
        <v>15421.65</v>
      </c>
      <c r="K1851" s="6">
        <v>5.93</v>
      </c>
      <c r="L1851" s="4">
        <v>667328.72</v>
      </c>
      <c r="M1851" s="4" t="str" cm="1">
        <f t="array" ref="M1851">IF(Excel_Advanced_Sales_Dataset_2000__3[[#This Row],[Total Sales]]&gt;50000,{"Yes"},{"No"})</f>
        <v>Yes</v>
      </c>
      <c r="N1851" s="5">
        <v>46157</v>
      </c>
      <c r="O1851" s="1" t="s">
        <v>24</v>
      </c>
      <c r="P1851" t="s">
        <v>35</v>
      </c>
      <c r="Q1851" t="str">
        <f>IF(Excel_Advanced_Sales_Dataset_2000__3[[#This Row],[Delivery Status]]="Pending","Follow Up","Ok")</f>
        <v>Ok</v>
      </c>
      <c r="R1851" s="1" t="s">
        <v>36</v>
      </c>
      <c r="S1851">
        <f>Excel_Advanced_Sales_Dataset_2000__3[[#This Row],[Quantity]]*Excel_Advanced_Sales_Dataset_2000__3[[#This Row],[Unit Price]]*Excel_Advanced_Sales_Dataset_2000__3[[#This Row],[Discount %]]/100</f>
        <v>42067.176869999996</v>
      </c>
      <c r="T1851" s="4">
        <f>Excel_Advanced_Sales_Dataset_2000__3[[#This Row],[Quantity]]*Excel_Advanced_Sales_Dataset_2000__3[[#This Row],[Unit Price]]-Excel_Advanced_Sales_Dataset_2000__3[[#This Row],[Discount Amount]]</f>
        <v>667328.72313000006</v>
      </c>
    </row>
    <row r="1852" spans="1:20" x14ac:dyDescent="0.25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>
        <v>47</v>
      </c>
      <c r="J1852" s="4">
        <v>38878.36</v>
      </c>
      <c r="K1852" s="6">
        <v>11.45</v>
      </c>
      <c r="L1852" s="4">
        <v>1618059.03</v>
      </c>
      <c r="M1852" s="4" t="str" cm="1">
        <f t="array" ref="M1852">IF(Excel_Advanced_Sales_Dataset_2000__3[[#This Row],[Total Sales]]&gt;50000,{"Yes"},{"No"})</f>
        <v>Yes</v>
      </c>
      <c r="N1852" s="5">
        <v>46281</v>
      </c>
      <c r="O1852" s="1" t="s">
        <v>45</v>
      </c>
      <c r="P1852" t="s">
        <v>35</v>
      </c>
      <c r="Q1852" t="str">
        <f>IF(Excel_Advanced_Sales_Dataset_2000__3[[#This Row],[Delivery Status]]="Pending","Follow Up","Ok")</f>
        <v>Ok</v>
      </c>
      <c r="R1852" s="1" t="s">
        <v>36</v>
      </c>
      <c r="S1852">
        <f>Excel_Advanced_Sales_Dataset_2000__3[[#This Row],[Quantity]]*Excel_Advanced_Sales_Dataset_2000__3[[#This Row],[Unit Price]]*Excel_Advanced_Sales_Dataset_2000__3[[#This Row],[Discount %]]/100</f>
        <v>209223.89433999997</v>
      </c>
      <c r="T1852" s="4">
        <f>Excel_Advanced_Sales_Dataset_2000__3[[#This Row],[Quantity]]*Excel_Advanced_Sales_Dataset_2000__3[[#This Row],[Unit Price]]-Excel_Advanced_Sales_Dataset_2000__3[[#This Row],[Discount Amount]]</f>
        <v>1618059.02566</v>
      </c>
    </row>
    <row r="1853" spans="1:20" x14ac:dyDescent="0.25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>
        <v>18</v>
      </c>
      <c r="J1853" s="4">
        <v>30484.82</v>
      </c>
      <c r="K1853" s="6">
        <v>1.34</v>
      </c>
      <c r="L1853" s="4">
        <v>541373.81999999995</v>
      </c>
      <c r="M1853" s="4" t="str" cm="1">
        <f t="array" ref="M1853">IF(Excel_Advanced_Sales_Dataset_2000__3[[#This Row],[Total Sales]]&gt;50000,{"Yes"},{"No"})</f>
        <v>Yes</v>
      </c>
      <c r="N1853" s="5">
        <v>46291</v>
      </c>
      <c r="O1853" s="1" t="s">
        <v>58</v>
      </c>
      <c r="P1853" t="s">
        <v>35</v>
      </c>
      <c r="Q1853" t="str">
        <f>IF(Excel_Advanced_Sales_Dataset_2000__3[[#This Row],[Delivery Status]]="Pending","Follow Up","Ok")</f>
        <v>Ok</v>
      </c>
      <c r="R1853" s="1" t="s">
        <v>53</v>
      </c>
      <c r="S1853">
        <f>Excel_Advanced_Sales_Dataset_2000__3[[#This Row],[Quantity]]*Excel_Advanced_Sales_Dataset_2000__3[[#This Row],[Unit Price]]*Excel_Advanced_Sales_Dataset_2000__3[[#This Row],[Discount %]]/100</f>
        <v>7352.9385840000004</v>
      </c>
      <c r="T1853" s="4">
        <f>Excel_Advanced_Sales_Dataset_2000__3[[#This Row],[Quantity]]*Excel_Advanced_Sales_Dataset_2000__3[[#This Row],[Unit Price]]-Excel_Advanced_Sales_Dataset_2000__3[[#This Row],[Discount Amount]]</f>
        <v>541373.82141600002</v>
      </c>
    </row>
    <row r="1854" spans="1:20" x14ac:dyDescent="0.25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>
        <v>42</v>
      </c>
      <c r="J1854" s="4">
        <v>5962.15</v>
      </c>
      <c r="K1854" s="6">
        <v>12.57</v>
      </c>
      <c r="L1854" s="4">
        <v>218933.73</v>
      </c>
      <c r="M1854" s="4" t="str" cm="1">
        <f t="array" ref="M1854">IF(Excel_Advanced_Sales_Dataset_2000__3[[#This Row],[Total Sales]]&gt;50000,{"Yes"},{"No"})</f>
        <v>Yes</v>
      </c>
      <c r="N1854" s="5">
        <v>46299</v>
      </c>
      <c r="O1854" s="1" t="s">
        <v>58</v>
      </c>
      <c r="P1854" t="s">
        <v>35</v>
      </c>
      <c r="Q1854" t="str">
        <f>IF(Excel_Advanced_Sales_Dataset_2000__3[[#This Row],[Delivery Status]]="Pending","Follow Up","Ok")</f>
        <v>Ok</v>
      </c>
      <c r="R1854" s="1" t="s">
        <v>36</v>
      </c>
      <c r="S1854">
        <f>Excel_Advanced_Sales_Dataset_2000__3[[#This Row],[Quantity]]*Excel_Advanced_Sales_Dataset_2000__3[[#This Row],[Unit Price]]*Excel_Advanced_Sales_Dataset_2000__3[[#This Row],[Discount %]]/100</f>
        <v>31476.574710000001</v>
      </c>
      <c r="T1854" s="4">
        <f>Excel_Advanced_Sales_Dataset_2000__3[[#This Row],[Quantity]]*Excel_Advanced_Sales_Dataset_2000__3[[#This Row],[Unit Price]]-Excel_Advanced_Sales_Dataset_2000__3[[#This Row],[Discount Amount]]</f>
        <v>218933.72528999997</v>
      </c>
    </row>
    <row r="1855" spans="1:20" x14ac:dyDescent="0.25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>
        <v>31</v>
      </c>
      <c r="J1855" s="4">
        <v>13279.19</v>
      </c>
      <c r="K1855" s="6">
        <v>18.440000000000001</v>
      </c>
      <c r="L1855" s="4">
        <v>335745.73</v>
      </c>
      <c r="M1855" s="4" t="str" cm="1">
        <f t="array" ref="M1855">IF(Excel_Advanced_Sales_Dataset_2000__3[[#This Row],[Total Sales]]&gt;50000,{"Yes"},{"No"})</f>
        <v>Yes</v>
      </c>
      <c r="N1855" s="5">
        <v>46163</v>
      </c>
      <c r="O1855" s="1" t="s">
        <v>45</v>
      </c>
      <c r="P1855" t="s">
        <v>35</v>
      </c>
      <c r="Q1855" t="str">
        <f>IF(Excel_Advanced_Sales_Dataset_2000__3[[#This Row],[Delivery Status]]="Pending","Follow Up","Ok")</f>
        <v>Ok</v>
      </c>
      <c r="R1855" s="1" t="s">
        <v>36</v>
      </c>
      <c r="S1855">
        <f>Excel_Advanced_Sales_Dataset_2000__3[[#This Row],[Quantity]]*Excel_Advanced_Sales_Dataset_2000__3[[#This Row],[Unit Price]]*Excel_Advanced_Sales_Dataset_2000__3[[#This Row],[Discount %]]/100</f>
        <v>75909.161716000002</v>
      </c>
      <c r="T1855" s="4">
        <f>Excel_Advanced_Sales_Dataset_2000__3[[#This Row],[Quantity]]*Excel_Advanced_Sales_Dataset_2000__3[[#This Row],[Unit Price]]-Excel_Advanced_Sales_Dataset_2000__3[[#This Row],[Discount Amount]]</f>
        <v>335745.72828400001</v>
      </c>
    </row>
    <row r="1856" spans="1:20" x14ac:dyDescent="0.25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>
        <v>43</v>
      </c>
      <c r="J1856" s="4">
        <v>37904.769999999997</v>
      </c>
      <c r="K1856" s="6">
        <v>19.39</v>
      </c>
      <c r="L1856" s="4">
        <v>1313866.51</v>
      </c>
      <c r="M1856" s="4" t="str" cm="1">
        <f t="array" ref="M1856">IF(Excel_Advanced_Sales_Dataset_2000__3[[#This Row],[Total Sales]]&gt;50000,{"Yes"},{"No"})</f>
        <v>Yes</v>
      </c>
      <c r="N1856" s="5">
        <v>46181</v>
      </c>
      <c r="O1856" s="1" t="s">
        <v>45</v>
      </c>
      <c r="P1856" t="s">
        <v>59</v>
      </c>
      <c r="Q1856" t="str">
        <f>IF(Excel_Advanced_Sales_Dataset_2000__3[[#This Row],[Delivery Status]]="Pending","Follow Up","Ok")</f>
        <v>Ok</v>
      </c>
      <c r="R1856" s="1" t="s">
        <v>36</v>
      </c>
      <c r="S1856">
        <f>Excel_Advanced_Sales_Dataset_2000__3[[#This Row],[Quantity]]*Excel_Advanced_Sales_Dataset_2000__3[[#This Row],[Unit Price]]*Excel_Advanced_Sales_Dataset_2000__3[[#This Row],[Discount %]]/100</f>
        <v>316038.600829</v>
      </c>
      <c r="T1856" s="4">
        <f>Excel_Advanced_Sales_Dataset_2000__3[[#This Row],[Quantity]]*Excel_Advanced_Sales_Dataset_2000__3[[#This Row],[Unit Price]]-Excel_Advanced_Sales_Dataset_2000__3[[#This Row],[Discount Amount]]</f>
        <v>1313866.5091709998</v>
      </c>
    </row>
    <row r="1857" spans="1:20" x14ac:dyDescent="0.25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>
        <v>15</v>
      </c>
      <c r="J1857" s="4">
        <v>22118.76</v>
      </c>
      <c r="K1857" s="6">
        <v>4.12</v>
      </c>
      <c r="L1857" s="4">
        <v>318112.01</v>
      </c>
      <c r="M1857" s="4" t="str" cm="1">
        <f t="array" ref="M1857">IF(Excel_Advanced_Sales_Dataset_2000__3[[#This Row],[Total Sales]]&gt;50000,{"Yes"},{"No"})</f>
        <v>Yes</v>
      </c>
      <c r="N1857" s="5">
        <v>46349</v>
      </c>
      <c r="O1857" s="1" t="s">
        <v>113</v>
      </c>
      <c r="P1857" t="s">
        <v>35</v>
      </c>
      <c r="Q1857" t="str">
        <f>IF(Excel_Advanced_Sales_Dataset_2000__3[[#This Row],[Delivery Status]]="Pending","Follow Up","Ok")</f>
        <v>Ok</v>
      </c>
      <c r="R1857" s="1" t="s">
        <v>26</v>
      </c>
      <c r="S1857">
        <f>Excel_Advanced_Sales_Dataset_2000__3[[#This Row],[Quantity]]*Excel_Advanced_Sales_Dataset_2000__3[[#This Row],[Unit Price]]*Excel_Advanced_Sales_Dataset_2000__3[[#This Row],[Discount %]]/100</f>
        <v>13669.393679999997</v>
      </c>
      <c r="T1857" s="4">
        <f>Excel_Advanced_Sales_Dataset_2000__3[[#This Row],[Quantity]]*Excel_Advanced_Sales_Dataset_2000__3[[#This Row],[Unit Price]]-Excel_Advanced_Sales_Dataset_2000__3[[#This Row],[Discount Amount]]</f>
        <v>318112.00631999999</v>
      </c>
    </row>
    <row r="1858" spans="1:20" x14ac:dyDescent="0.25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>
        <v>8</v>
      </c>
      <c r="J1858" s="4">
        <v>25192.28</v>
      </c>
      <c r="K1858" s="6">
        <v>9.85</v>
      </c>
      <c r="L1858" s="4">
        <v>181686.72</v>
      </c>
      <c r="M1858" s="4" t="str" cm="1">
        <f t="array" ref="M1858">IF(Excel_Advanced_Sales_Dataset_2000__3[[#This Row],[Total Sales]]&gt;50000,{"Yes"},{"No"})</f>
        <v>Yes</v>
      </c>
      <c r="N1858" s="5">
        <v>46023</v>
      </c>
      <c r="O1858" s="1" t="s">
        <v>113</v>
      </c>
      <c r="P1858" t="s">
        <v>35</v>
      </c>
      <c r="Q1858" t="str">
        <f>IF(Excel_Advanced_Sales_Dataset_2000__3[[#This Row],[Delivery Status]]="Pending","Follow Up","Ok")</f>
        <v>Ok</v>
      </c>
      <c r="R1858" s="1" t="s">
        <v>53</v>
      </c>
      <c r="S1858">
        <f>Excel_Advanced_Sales_Dataset_2000__3[[#This Row],[Quantity]]*Excel_Advanced_Sales_Dataset_2000__3[[#This Row],[Unit Price]]*Excel_Advanced_Sales_Dataset_2000__3[[#This Row],[Discount %]]/100</f>
        <v>19851.516639999998</v>
      </c>
      <c r="T1858" s="4">
        <f>Excel_Advanced_Sales_Dataset_2000__3[[#This Row],[Quantity]]*Excel_Advanced_Sales_Dataset_2000__3[[#This Row],[Unit Price]]-Excel_Advanced_Sales_Dataset_2000__3[[#This Row],[Discount Amount]]</f>
        <v>181686.72336</v>
      </c>
    </row>
    <row r="1859" spans="1:20" x14ac:dyDescent="0.25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>
        <v>6</v>
      </c>
      <c r="J1859" s="4">
        <v>15003.71</v>
      </c>
      <c r="K1859" s="6">
        <v>5.99</v>
      </c>
      <c r="L1859" s="4">
        <v>84629.93</v>
      </c>
      <c r="M1859" s="4" t="str" cm="1">
        <f t="array" ref="M1859">IF(Excel_Advanced_Sales_Dataset_2000__3[[#This Row],[Total Sales]]&gt;50000,{"Yes"},{"No"})</f>
        <v>Yes</v>
      </c>
      <c r="N1859" s="5">
        <v>46211</v>
      </c>
      <c r="O1859" s="1" t="s">
        <v>68</v>
      </c>
      <c r="P1859" t="s">
        <v>35</v>
      </c>
      <c r="Q1859" t="str">
        <f>IF(Excel_Advanced_Sales_Dataset_2000__3[[#This Row],[Delivery Status]]="Pending","Follow Up","Ok")</f>
        <v>Ok</v>
      </c>
      <c r="R1859" s="1" t="s">
        <v>36</v>
      </c>
      <c r="S1859">
        <f>Excel_Advanced_Sales_Dataset_2000__3[[#This Row],[Quantity]]*Excel_Advanced_Sales_Dataset_2000__3[[#This Row],[Unit Price]]*Excel_Advanced_Sales_Dataset_2000__3[[#This Row],[Discount %]]/100</f>
        <v>5392.3333739999998</v>
      </c>
      <c r="T1859" s="4">
        <f>Excel_Advanced_Sales_Dataset_2000__3[[#This Row],[Quantity]]*Excel_Advanced_Sales_Dataset_2000__3[[#This Row],[Unit Price]]-Excel_Advanced_Sales_Dataset_2000__3[[#This Row],[Discount Amount]]</f>
        <v>84629.926626</v>
      </c>
    </row>
    <row r="1860" spans="1:20" x14ac:dyDescent="0.25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>
        <v>3</v>
      </c>
      <c r="J1860" s="4">
        <v>6045.32</v>
      </c>
      <c r="K1860" s="6">
        <v>20</v>
      </c>
      <c r="L1860" s="4">
        <v>14508.77</v>
      </c>
      <c r="M1860" s="4" t="str" cm="1">
        <f t="array" ref="M1860">IF(Excel_Advanced_Sales_Dataset_2000__3[[#This Row],[Total Sales]]&gt;50000,{"Yes"},{"No"})</f>
        <v>No</v>
      </c>
      <c r="N1860" s="5">
        <v>46307</v>
      </c>
      <c r="O1860" s="1" t="s">
        <v>45</v>
      </c>
      <c r="P1860" t="s">
        <v>35</v>
      </c>
      <c r="Q1860" t="str">
        <f>IF(Excel_Advanced_Sales_Dataset_2000__3[[#This Row],[Delivery Status]]="Pending","Follow Up","Ok")</f>
        <v>Ok</v>
      </c>
      <c r="R1860" s="1" t="s">
        <v>26</v>
      </c>
      <c r="S1860">
        <f>Excel_Advanced_Sales_Dataset_2000__3[[#This Row],[Quantity]]*Excel_Advanced_Sales_Dataset_2000__3[[#This Row],[Unit Price]]*Excel_Advanced_Sales_Dataset_2000__3[[#This Row],[Discount %]]/100</f>
        <v>3627.1919999999996</v>
      </c>
      <c r="T1860" s="4">
        <f>Excel_Advanced_Sales_Dataset_2000__3[[#This Row],[Quantity]]*Excel_Advanced_Sales_Dataset_2000__3[[#This Row],[Unit Price]]-Excel_Advanced_Sales_Dataset_2000__3[[#This Row],[Discount Amount]]</f>
        <v>14508.768</v>
      </c>
    </row>
    <row r="1861" spans="1:20" x14ac:dyDescent="0.25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>
        <v>37</v>
      </c>
      <c r="J1861" s="4">
        <v>14399.8</v>
      </c>
      <c r="K1861" s="6">
        <v>2.4</v>
      </c>
      <c r="L1861" s="4">
        <v>520005.58</v>
      </c>
      <c r="M1861" s="4" t="str" cm="1">
        <f t="array" ref="M1861">IF(Excel_Advanced_Sales_Dataset_2000__3[[#This Row],[Total Sales]]&gt;50000,{"Yes"},{"No"})</f>
        <v>Yes</v>
      </c>
      <c r="N1861" s="5">
        <v>46061</v>
      </c>
      <c r="O1861" s="1" t="s">
        <v>68</v>
      </c>
      <c r="P1861" t="s">
        <v>25</v>
      </c>
      <c r="Q1861" t="str">
        <f>IF(Excel_Advanced_Sales_Dataset_2000__3[[#This Row],[Delivery Status]]="Pending","Follow Up","Ok")</f>
        <v>Follow Up</v>
      </c>
      <c r="R1861" s="1" t="s">
        <v>36</v>
      </c>
      <c r="S1861">
        <f>Excel_Advanced_Sales_Dataset_2000__3[[#This Row],[Quantity]]*Excel_Advanced_Sales_Dataset_2000__3[[#This Row],[Unit Price]]*Excel_Advanced_Sales_Dataset_2000__3[[#This Row],[Discount %]]/100</f>
        <v>12787.0224</v>
      </c>
      <c r="T1861" s="4">
        <f>Excel_Advanced_Sales_Dataset_2000__3[[#This Row],[Quantity]]*Excel_Advanced_Sales_Dataset_2000__3[[#This Row],[Unit Price]]-Excel_Advanced_Sales_Dataset_2000__3[[#This Row],[Discount Amount]]</f>
        <v>520005.57759999996</v>
      </c>
    </row>
    <row r="1862" spans="1:20" x14ac:dyDescent="0.25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>
        <v>26</v>
      </c>
      <c r="J1862" s="4">
        <v>12324.12</v>
      </c>
      <c r="K1862" s="6">
        <v>19.63</v>
      </c>
      <c r="L1862" s="4">
        <v>257527.28</v>
      </c>
      <c r="M1862" s="4" t="str" cm="1">
        <f t="array" ref="M1862">IF(Excel_Advanced_Sales_Dataset_2000__3[[#This Row],[Total Sales]]&gt;50000,{"Yes"},{"No"})</f>
        <v>Yes</v>
      </c>
      <c r="N1862" s="5">
        <v>46080</v>
      </c>
      <c r="O1862" s="1" t="s">
        <v>24</v>
      </c>
      <c r="P1862" t="s">
        <v>35</v>
      </c>
      <c r="Q1862" t="str">
        <f>IF(Excel_Advanced_Sales_Dataset_2000__3[[#This Row],[Delivery Status]]="Pending","Follow Up","Ok")</f>
        <v>Ok</v>
      </c>
      <c r="R1862" s="1" t="s">
        <v>36</v>
      </c>
      <c r="S1862">
        <f>Excel_Advanced_Sales_Dataset_2000__3[[#This Row],[Quantity]]*Excel_Advanced_Sales_Dataset_2000__3[[#This Row],[Unit Price]]*Excel_Advanced_Sales_Dataset_2000__3[[#This Row],[Discount %]]/100</f>
        <v>62899.84365599999</v>
      </c>
      <c r="T1862" s="4">
        <f>Excel_Advanced_Sales_Dataset_2000__3[[#This Row],[Quantity]]*Excel_Advanced_Sales_Dataset_2000__3[[#This Row],[Unit Price]]-Excel_Advanced_Sales_Dataset_2000__3[[#This Row],[Discount Amount]]</f>
        <v>257527.27634400001</v>
      </c>
    </row>
    <row r="1863" spans="1:20" x14ac:dyDescent="0.25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>
        <v>32</v>
      </c>
      <c r="J1863" s="4">
        <v>34476.370000000003</v>
      </c>
      <c r="K1863" s="6">
        <v>9.1199999999999992</v>
      </c>
      <c r="L1863" s="4">
        <v>1002628</v>
      </c>
      <c r="M1863" s="4" t="str" cm="1">
        <f t="array" ref="M1863">IF(Excel_Advanced_Sales_Dataset_2000__3[[#This Row],[Total Sales]]&gt;50000,{"Yes"},{"No"})</f>
        <v>Yes</v>
      </c>
      <c r="N1863" s="5">
        <v>46179</v>
      </c>
      <c r="O1863" s="1" t="s">
        <v>68</v>
      </c>
      <c r="P1863" t="s">
        <v>35</v>
      </c>
      <c r="Q1863" t="str">
        <f>IF(Excel_Advanced_Sales_Dataset_2000__3[[#This Row],[Delivery Status]]="Pending","Follow Up","Ok")</f>
        <v>Ok</v>
      </c>
      <c r="R1863" s="1" t="s">
        <v>26</v>
      </c>
      <c r="S1863">
        <f>Excel_Advanced_Sales_Dataset_2000__3[[#This Row],[Quantity]]*Excel_Advanced_Sales_Dataset_2000__3[[#This Row],[Unit Price]]*Excel_Advanced_Sales_Dataset_2000__3[[#This Row],[Discount %]]/100</f>
        <v>100615.838208</v>
      </c>
      <c r="T1863" s="4">
        <f>Excel_Advanced_Sales_Dataset_2000__3[[#This Row],[Quantity]]*Excel_Advanced_Sales_Dataset_2000__3[[#This Row],[Unit Price]]-Excel_Advanced_Sales_Dataset_2000__3[[#This Row],[Discount Amount]]</f>
        <v>1002628.0017920001</v>
      </c>
    </row>
    <row r="1864" spans="1:20" x14ac:dyDescent="0.25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>
        <v>17</v>
      </c>
      <c r="J1864" s="4">
        <v>6988.91</v>
      </c>
      <c r="K1864" s="6">
        <v>8.19</v>
      </c>
      <c r="L1864" s="4">
        <v>109080.81</v>
      </c>
      <c r="M1864" s="4" t="str" cm="1">
        <f t="array" ref="M1864">IF(Excel_Advanced_Sales_Dataset_2000__3[[#This Row],[Total Sales]]&gt;50000,{"Yes"},{"No"})</f>
        <v>Yes</v>
      </c>
      <c r="N1864" s="5">
        <v>46104</v>
      </c>
      <c r="O1864" s="1" t="s">
        <v>68</v>
      </c>
      <c r="P1864" t="s">
        <v>35</v>
      </c>
      <c r="Q1864" t="str">
        <f>IF(Excel_Advanced_Sales_Dataset_2000__3[[#This Row],[Delivery Status]]="Pending","Follow Up","Ok")</f>
        <v>Ok</v>
      </c>
      <c r="R1864" s="1" t="s">
        <v>26</v>
      </c>
      <c r="S1864">
        <f>Excel_Advanced_Sales_Dataset_2000__3[[#This Row],[Quantity]]*Excel_Advanced_Sales_Dataset_2000__3[[#This Row],[Unit Price]]*Excel_Advanced_Sales_Dataset_2000__3[[#This Row],[Discount %]]/100</f>
        <v>9730.6593929999999</v>
      </c>
      <c r="T1864" s="4">
        <f>Excel_Advanced_Sales_Dataset_2000__3[[#This Row],[Quantity]]*Excel_Advanced_Sales_Dataset_2000__3[[#This Row],[Unit Price]]-Excel_Advanced_Sales_Dataset_2000__3[[#This Row],[Discount Amount]]</f>
        <v>109080.81060700001</v>
      </c>
    </row>
    <row r="1865" spans="1:20" x14ac:dyDescent="0.25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>
        <v>2</v>
      </c>
      <c r="J1865" s="4">
        <v>30497.74</v>
      </c>
      <c r="K1865" s="6">
        <v>8.81</v>
      </c>
      <c r="L1865" s="4">
        <v>55621.78</v>
      </c>
      <c r="M1865" s="4" t="str" cm="1">
        <f t="array" ref="M1865">IF(Excel_Advanced_Sales_Dataset_2000__3[[#This Row],[Total Sales]]&gt;50000,{"Yes"},{"No"})</f>
        <v>Yes</v>
      </c>
      <c r="N1865" s="5">
        <v>46224</v>
      </c>
      <c r="O1865" s="1" t="s">
        <v>113</v>
      </c>
      <c r="P1865" t="s">
        <v>59</v>
      </c>
      <c r="Q1865" t="str">
        <f>IF(Excel_Advanced_Sales_Dataset_2000__3[[#This Row],[Delivery Status]]="Pending","Follow Up","Ok")</f>
        <v>Ok</v>
      </c>
      <c r="R1865" s="1" t="s">
        <v>36</v>
      </c>
      <c r="S1865">
        <f>Excel_Advanced_Sales_Dataset_2000__3[[#This Row],[Quantity]]*Excel_Advanced_Sales_Dataset_2000__3[[#This Row],[Unit Price]]*Excel_Advanced_Sales_Dataset_2000__3[[#This Row],[Discount %]]/100</f>
        <v>5373.7017880000012</v>
      </c>
      <c r="T1865" s="4">
        <f>Excel_Advanced_Sales_Dataset_2000__3[[#This Row],[Quantity]]*Excel_Advanced_Sales_Dataset_2000__3[[#This Row],[Unit Price]]-Excel_Advanced_Sales_Dataset_2000__3[[#This Row],[Discount Amount]]</f>
        <v>55621.778212000005</v>
      </c>
    </row>
    <row r="1866" spans="1:20" x14ac:dyDescent="0.25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>
        <v>46</v>
      </c>
      <c r="J1866" s="4">
        <v>26424.02</v>
      </c>
      <c r="K1866" s="6">
        <v>8.09</v>
      </c>
      <c r="L1866" s="4">
        <v>1117170.57</v>
      </c>
      <c r="M1866" s="4" t="str" cm="1">
        <f t="array" ref="M1866">IF(Excel_Advanced_Sales_Dataset_2000__3[[#This Row],[Total Sales]]&gt;50000,{"Yes"},{"No"})</f>
        <v>Yes</v>
      </c>
      <c r="N1866" s="5">
        <v>46162</v>
      </c>
      <c r="O1866" s="1" t="s">
        <v>24</v>
      </c>
      <c r="P1866" t="s">
        <v>35</v>
      </c>
      <c r="Q1866" t="str">
        <f>IF(Excel_Advanced_Sales_Dataset_2000__3[[#This Row],[Delivery Status]]="Pending","Follow Up","Ok")</f>
        <v>Ok</v>
      </c>
      <c r="R1866" s="1" t="s">
        <v>53</v>
      </c>
      <c r="S1866">
        <f>Excel_Advanced_Sales_Dataset_2000__3[[#This Row],[Quantity]]*Excel_Advanced_Sales_Dataset_2000__3[[#This Row],[Unit Price]]*Excel_Advanced_Sales_Dataset_2000__3[[#This Row],[Discount %]]/100</f>
        <v>98334.348027999993</v>
      </c>
      <c r="T1866" s="4">
        <f>Excel_Advanced_Sales_Dataset_2000__3[[#This Row],[Quantity]]*Excel_Advanced_Sales_Dataset_2000__3[[#This Row],[Unit Price]]-Excel_Advanced_Sales_Dataset_2000__3[[#This Row],[Discount Amount]]</f>
        <v>1117170.5719719999</v>
      </c>
    </row>
    <row r="1867" spans="1:20" x14ac:dyDescent="0.25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>
        <v>6</v>
      </c>
      <c r="J1867" s="4">
        <v>48283.82</v>
      </c>
      <c r="K1867" s="6">
        <v>13.73</v>
      </c>
      <c r="L1867" s="4">
        <v>249926.71</v>
      </c>
      <c r="M1867" s="4" t="str" cm="1">
        <f t="array" ref="M1867">IF(Excel_Advanced_Sales_Dataset_2000__3[[#This Row],[Total Sales]]&gt;50000,{"Yes"},{"No"})</f>
        <v>Yes</v>
      </c>
      <c r="N1867" s="5">
        <v>46280</v>
      </c>
      <c r="O1867" s="1" t="s">
        <v>58</v>
      </c>
      <c r="P1867" t="s">
        <v>35</v>
      </c>
      <c r="Q1867" t="str">
        <f>IF(Excel_Advanced_Sales_Dataset_2000__3[[#This Row],[Delivery Status]]="Pending","Follow Up","Ok")</f>
        <v>Ok</v>
      </c>
      <c r="R1867" s="1" t="s">
        <v>53</v>
      </c>
      <c r="S1867">
        <f>Excel_Advanced_Sales_Dataset_2000__3[[#This Row],[Quantity]]*Excel_Advanced_Sales_Dataset_2000__3[[#This Row],[Unit Price]]*Excel_Advanced_Sales_Dataset_2000__3[[#This Row],[Discount %]]/100</f>
        <v>39776.210915999996</v>
      </c>
      <c r="T1867" s="4">
        <f>Excel_Advanced_Sales_Dataset_2000__3[[#This Row],[Quantity]]*Excel_Advanced_Sales_Dataset_2000__3[[#This Row],[Unit Price]]-Excel_Advanced_Sales_Dataset_2000__3[[#This Row],[Discount Amount]]</f>
        <v>249926.70908399997</v>
      </c>
    </row>
    <row r="1868" spans="1:20" x14ac:dyDescent="0.25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>
        <v>38</v>
      </c>
      <c r="J1868" s="4">
        <v>16668.93</v>
      </c>
      <c r="K1868" s="6">
        <v>16.93</v>
      </c>
      <c r="L1868" s="4">
        <v>526181.44999999995</v>
      </c>
      <c r="M1868" s="4" t="str" cm="1">
        <f t="array" ref="M1868">IF(Excel_Advanced_Sales_Dataset_2000__3[[#This Row],[Total Sales]]&gt;50000,{"Yes"},{"No"})</f>
        <v>Yes</v>
      </c>
      <c r="N1868" s="5">
        <v>46090</v>
      </c>
      <c r="O1868" s="1" t="s">
        <v>68</v>
      </c>
      <c r="P1868" t="s">
        <v>35</v>
      </c>
      <c r="Q1868" t="str">
        <f>IF(Excel_Advanced_Sales_Dataset_2000__3[[#This Row],[Delivery Status]]="Pending","Follow Up","Ok")</f>
        <v>Ok</v>
      </c>
      <c r="R1868" s="1" t="s">
        <v>53</v>
      </c>
      <c r="S1868">
        <f>Excel_Advanced_Sales_Dataset_2000__3[[#This Row],[Quantity]]*Excel_Advanced_Sales_Dataset_2000__3[[#This Row],[Unit Price]]*Excel_Advanced_Sales_Dataset_2000__3[[#This Row],[Discount %]]/100</f>
        <v>107237.89426199999</v>
      </c>
      <c r="T1868" s="4">
        <f>Excel_Advanced_Sales_Dataset_2000__3[[#This Row],[Quantity]]*Excel_Advanced_Sales_Dataset_2000__3[[#This Row],[Unit Price]]-Excel_Advanced_Sales_Dataset_2000__3[[#This Row],[Discount Amount]]</f>
        <v>526181.44573799998</v>
      </c>
    </row>
    <row r="1869" spans="1:20" x14ac:dyDescent="0.25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>
        <v>13</v>
      </c>
      <c r="J1869" s="4">
        <v>3806.45</v>
      </c>
      <c r="K1869" s="6">
        <v>1.1100000000000001</v>
      </c>
      <c r="L1869" s="4">
        <v>48934.58</v>
      </c>
      <c r="M1869" s="4" t="str" cm="1">
        <f t="array" ref="M1869">IF(Excel_Advanced_Sales_Dataset_2000__3[[#This Row],[Total Sales]]&gt;50000,{"Yes"},{"No"})</f>
        <v>No</v>
      </c>
      <c r="N1869" s="5">
        <v>46255</v>
      </c>
      <c r="O1869" s="1" t="s">
        <v>58</v>
      </c>
      <c r="P1869" t="s">
        <v>59</v>
      </c>
      <c r="Q1869" t="str">
        <f>IF(Excel_Advanced_Sales_Dataset_2000__3[[#This Row],[Delivery Status]]="Pending","Follow Up","Ok")</f>
        <v>Ok</v>
      </c>
      <c r="R1869" s="1" t="s">
        <v>36</v>
      </c>
      <c r="S1869">
        <f>Excel_Advanced_Sales_Dataset_2000__3[[#This Row],[Quantity]]*Excel_Advanced_Sales_Dataset_2000__3[[#This Row],[Unit Price]]*Excel_Advanced_Sales_Dataset_2000__3[[#This Row],[Discount %]]/100</f>
        <v>549.27073500000006</v>
      </c>
      <c r="T1869" s="4">
        <f>Excel_Advanced_Sales_Dataset_2000__3[[#This Row],[Quantity]]*Excel_Advanced_Sales_Dataset_2000__3[[#This Row],[Unit Price]]-Excel_Advanced_Sales_Dataset_2000__3[[#This Row],[Discount Amount]]</f>
        <v>48934.579265</v>
      </c>
    </row>
    <row r="1870" spans="1:20" x14ac:dyDescent="0.25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>
        <v>42</v>
      </c>
      <c r="J1870" s="4">
        <v>24463.919999999998</v>
      </c>
      <c r="K1870" s="6">
        <v>14.07</v>
      </c>
      <c r="L1870" s="4">
        <v>882917.55</v>
      </c>
      <c r="M1870" s="4" t="str" cm="1">
        <f t="array" ref="M1870">IF(Excel_Advanced_Sales_Dataset_2000__3[[#This Row],[Total Sales]]&gt;50000,{"Yes"},{"No"})</f>
        <v>Yes</v>
      </c>
      <c r="N1870" s="5">
        <v>46261</v>
      </c>
      <c r="O1870" s="1" t="s">
        <v>24</v>
      </c>
      <c r="P1870" t="s">
        <v>35</v>
      </c>
      <c r="Q1870" t="str">
        <f>IF(Excel_Advanced_Sales_Dataset_2000__3[[#This Row],[Delivery Status]]="Pending","Follow Up","Ok")</f>
        <v>Ok</v>
      </c>
      <c r="R1870" s="1" t="s">
        <v>36</v>
      </c>
      <c r="S1870">
        <f>Excel_Advanced_Sales_Dataset_2000__3[[#This Row],[Quantity]]*Excel_Advanced_Sales_Dataset_2000__3[[#This Row],[Unit Price]]*Excel_Advanced_Sales_Dataset_2000__3[[#This Row],[Discount %]]/100</f>
        <v>144567.08884799998</v>
      </c>
      <c r="T1870" s="4">
        <f>Excel_Advanced_Sales_Dataset_2000__3[[#This Row],[Quantity]]*Excel_Advanced_Sales_Dataset_2000__3[[#This Row],[Unit Price]]-Excel_Advanced_Sales_Dataset_2000__3[[#This Row],[Discount Amount]]</f>
        <v>882917.55115199997</v>
      </c>
    </row>
    <row r="1871" spans="1:20" x14ac:dyDescent="0.25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>
        <v>7</v>
      </c>
      <c r="J1871" s="4">
        <v>21352.27</v>
      </c>
      <c r="K1871" s="6">
        <v>8.1300000000000008</v>
      </c>
      <c r="L1871" s="4">
        <v>137314.31</v>
      </c>
      <c r="M1871" s="4" t="str" cm="1">
        <f t="array" ref="M1871">IF(Excel_Advanced_Sales_Dataset_2000__3[[#This Row],[Total Sales]]&gt;50000,{"Yes"},{"No"})</f>
        <v>Yes</v>
      </c>
      <c r="N1871" s="5">
        <v>46129</v>
      </c>
      <c r="O1871" s="1" t="s">
        <v>45</v>
      </c>
      <c r="P1871" t="s">
        <v>25</v>
      </c>
      <c r="Q1871" t="str">
        <f>IF(Excel_Advanced_Sales_Dataset_2000__3[[#This Row],[Delivery Status]]="Pending","Follow Up","Ok")</f>
        <v>Follow Up</v>
      </c>
      <c r="R1871" s="1" t="s">
        <v>36</v>
      </c>
      <c r="S1871">
        <f>Excel_Advanced_Sales_Dataset_2000__3[[#This Row],[Quantity]]*Excel_Advanced_Sales_Dataset_2000__3[[#This Row],[Unit Price]]*Excel_Advanced_Sales_Dataset_2000__3[[#This Row],[Discount %]]/100</f>
        <v>12151.576857000002</v>
      </c>
      <c r="T1871" s="4">
        <f>Excel_Advanced_Sales_Dataset_2000__3[[#This Row],[Quantity]]*Excel_Advanced_Sales_Dataset_2000__3[[#This Row],[Unit Price]]-Excel_Advanced_Sales_Dataset_2000__3[[#This Row],[Discount Amount]]</f>
        <v>137314.31314300001</v>
      </c>
    </row>
    <row r="1872" spans="1:20" x14ac:dyDescent="0.25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>
        <v>8</v>
      </c>
      <c r="J1872" s="4">
        <v>38198.26</v>
      </c>
      <c r="K1872" s="6">
        <v>16.91</v>
      </c>
      <c r="L1872" s="4">
        <v>253911.47</v>
      </c>
      <c r="M1872" s="4" t="str" cm="1">
        <f t="array" ref="M1872">IF(Excel_Advanced_Sales_Dataset_2000__3[[#This Row],[Total Sales]]&gt;50000,{"Yes"},{"No"})</f>
        <v>Yes</v>
      </c>
      <c r="N1872" s="5">
        <v>46338</v>
      </c>
      <c r="O1872" s="1" t="s">
        <v>68</v>
      </c>
      <c r="P1872" t="s">
        <v>35</v>
      </c>
      <c r="Q1872" t="str">
        <f>IF(Excel_Advanced_Sales_Dataset_2000__3[[#This Row],[Delivery Status]]="Pending","Follow Up","Ok")</f>
        <v>Ok</v>
      </c>
      <c r="R1872" s="1" t="s">
        <v>53</v>
      </c>
      <c r="S1872">
        <f>Excel_Advanced_Sales_Dataset_2000__3[[#This Row],[Quantity]]*Excel_Advanced_Sales_Dataset_2000__3[[#This Row],[Unit Price]]*Excel_Advanced_Sales_Dataset_2000__3[[#This Row],[Discount %]]/100</f>
        <v>51674.606127999999</v>
      </c>
      <c r="T1872" s="4">
        <f>Excel_Advanced_Sales_Dataset_2000__3[[#This Row],[Quantity]]*Excel_Advanced_Sales_Dataset_2000__3[[#This Row],[Unit Price]]-Excel_Advanced_Sales_Dataset_2000__3[[#This Row],[Discount Amount]]</f>
        <v>253911.473872</v>
      </c>
    </row>
    <row r="1873" spans="1:20" x14ac:dyDescent="0.25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>
        <v>28</v>
      </c>
      <c r="J1873" s="4">
        <v>45349.47</v>
      </c>
      <c r="K1873" s="6">
        <v>1.56</v>
      </c>
      <c r="L1873" s="4">
        <v>1249976.51</v>
      </c>
      <c r="M1873" s="4" t="str" cm="1">
        <f t="array" ref="M1873">IF(Excel_Advanced_Sales_Dataset_2000__3[[#This Row],[Total Sales]]&gt;50000,{"Yes"},{"No"})</f>
        <v>Yes</v>
      </c>
      <c r="N1873" s="5">
        <v>46374</v>
      </c>
      <c r="O1873" s="1" t="s">
        <v>68</v>
      </c>
      <c r="P1873" t="s">
        <v>35</v>
      </c>
      <c r="Q1873" t="str">
        <f>IF(Excel_Advanced_Sales_Dataset_2000__3[[#This Row],[Delivery Status]]="Pending","Follow Up","Ok")</f>
        <v>Ok</v>
      </c>
      <c r="R1873" s="1" t="s">
        <v>26</v>
      </c>
      <c r="S1873">
        <f>Excel_Advanced_Sales_Dataset_2000__3[[#This Row],[Quantity]]*Excel_Advanced_Sales_Dataset_2000__3[[#This Row],[Unit Price]]*Excel_Advanced_Sales_Dataset_2000__3[[#This Row],[Discount %]]/100</f>
        <v>19808.648496000002</v>
      </c>
      <c r="T1873" s="4">
        <f>Excel_Advanced_Sales_Dataset_2000__3[[#This Row],[Quantity]]*Excel_Advanced_Sales_Dataset_2000__3[[#This Row],[Unit Price]]-Excel_Advanced_Sales_Dataset_2000__3[[#This Row],[Discount Amount]]</f>
        <v>1249976.5115040001</v>
      </c>
    </row>
    <row r="1874" spans="1:20" x14ac:dyDescent="0.25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>
        <v>1</v>
      </c>
      <c r="J1874" s="4">
        <v>49943.46</v>
      </c>
      <c r="K1874" s="6">
        <v>4.03</v>
      </c>
      <c r="L1874" s="4">
        <v>47930.74</v>
      </c>
      <c r="M1874" s="4" t="str" cm="1">
        <f t="array" ref="M1874">IF(Excel_Advanced_Sales_Dataset_2000__3[[#This Row],[Total Sales]]&gt;50000,{"Yes"},{"No"})</f>
        <v>No</v>
      </c>
      <c r="N1874" s="5">
        <v>46332</v>
      </c>
      <c r="O1874" s="1" t="s">
        <v>68</v>
      </c>
      <c r="P1874" t="s">
        <v>35</v>
      </c>
      <c r="Q1874" t="str">
        <f>IF(Excel_Advanced_Sales_Dataset_2000__3[[#This Row],[Delivery Status]]="Pending","Follow Up","Ok")</f>
        <v>Ok</v>
      </c>
      <c r="R1874" s="1" t="s">
        <v>53</v>
      </c>
      <c r="S1874">
        <f>Excel_Advanced_Sales_Dataset_2000__3[[#This Row],[Quantity]]*Excel_Advanced_Sales_Dataset_2000__3[[#This Row],[Unit Price]]*Excel_Advanced_Sales_Dataset_2000__3[[#This Row],[Discount %]]/100</f>
        <v>2012.7214380000003</v>
      </c>
      <c r="T1874" s="4">
        <f>Excel_Advanced_Sales_Dataset_2000__3[[#This Row],[Quantity]]*Excel_Advanced_Sales_Dataset_2000__3[[#This Row],[Unit Price]]-Excel_Advanced_Sales_Dataset_2000__3[[#This Row],[Discount Amount]]</f>
        <v>47930.738561999999</v>
      </c>
    </row>
    <row r="1875" spans="1:20" x14ac:dyDescent="0.25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>
        <v>47</v>
      </c>
      <c r="J1875" s="4">
        <v>42228.57</v>
      </c>
      <c r="K1875" s="6">
        <v>6.71</v>
      </c>
      <c r="L1875" s="4">
        <v>1851566.55</v>
      </c>
      <c r="M1875" s="4" t="str" cm="1">
        <f t="array" ref="M1875">IF(Excel_Advanced_Sales_Dataset_2000__3[[#This Row],[Total Sales]]&gt;50000,{"Yes"},{"No"})</f>
        <v>Yes</v>
      </c>
      <c r="N1875" s="5">
        <v>46259</v>
      </c>
      <c r="O1875" s="1" t="s">
        <v>45</v>
      </c>
      <c r="P1875" t="s">
        <v>35</v>
      </c>
      <c r="Q1875" t="str">
        <f>IF(Excel_Advanced_Sales_Dataset_2000__3[[#This Row],[Delivery Status]]="Pending","Follow Up","Ok")</f>
        <v>Ok</v>
      </c>
      <c r="R1875" s="1" t="s">
        <v>53</v>
      </c>
      <c r="S1875">
        <f>Excel_Advanced_Sales_Dataset_2000__3[[#This Row],[Quantity]]*Excel_Advanced_Sales_Dataset_2000__3[[#This Row],[Unit Price]]*Excel_Advanced_Sales_Dataset_2000__3[[#This Row],[Discount %]]/100</f>
        <v>133176.241209</v>
      </c>
      <c r="T1875" s="4">
        <f>Excel_Advanced_Sales_Dataset_2000__3[[#This Row],[Quantity]]*Excel_Advanced_Sales_Dataset_2000__3[[#This Row],[Unit Price]]-Excel_Advanced_Sales_Dataset_2000__3[[#This Row],[Discount Amount]]</f>
        <v>1851566.5487910002</v>
      </c>
    </row>
    <row r="1876" spans="1:20" x14ac:dyDescent="0.25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>
        <v>41</v>
      </c>
      <c r="J1876" s="4">
        <v>24587.99</v>
      </c>
      <c r="K1876" s="6">
        <v>4.47</v>
      </c>
      <c r="L1876" s="4">
        <v>963045.18</v>
      </c>
      <c r="M1876" s="4" t="str" cm="1">
        <f t="array" ref="M1876">IF(Excel_Advanced_Sales_Dataset_2000__3[[#This Row],[Total Sales]]&gt;50000,{"Yes"},{"No"})</f>
        <v>Yes</v>
      </c>
      <c r="N1876" s="5">
        <v>46261</v>
      </c>
      <c r="O1876" s="1" t="s">
        <v>113</v>
      </c>
      <c r="P1876" t="s">
        <v>35</v>
      </c>
      <c r="Q1876" t="str">
        <f>IF(Excel_Advanced_Sales_Dataset_2000__3[[#This Row],[Delivery Status]]="Pending","Follow Up","Ok")</f>
        <v>Ok</v>
      </c>
      <c r="R1876" s="1" t="s">
        <v>36</v>
      </c>
      <c r="S1876">
        <f>Excel_Advanced_Sales_Dataset_2000__3[[#This Row],[Quantity]]*Excel_Advanced_Sales_Dataset_2000__3[[#This Row],[Unit Price]]*Excel_Advanced_Sales_Dataset_2000__3[[#This Row],[Discount %]]/100</f>
        <v>45062.409273000005</v>
      </c>
      <c r="T1876" s="4">
        <f>Excel_Advanced_Sales_Dataset_2000__3[[#This Row],[Quantity]]*Excel_Advanced_Sales_Dataset_2000__3[[#This Row],[Unit Price]]-Excel_Advanced_Sales_Dataset_2000__3[[#This Row],[Discount Amount]]</f>
        <v>963045.18072700012</v>
      </c>
    </row>
    <row r="1877" spans="1:20" x14ac:dyDescent="0.25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>
        <v>44</v>
      </c>
      <c r="J1877" s="4">
        <v>14265.61</v>
      </c>
      <c r="K1877" s="6">
        <v>2.5099999999999998</v>
      </c>
      <c r="L1877" s="4">
        <v>611931.9</v>
      </c>
      <c r="M1877" s="4" t="str" cm="1">
        <f t="array" ref="M1877">IF(Excel_Advanced_Sales_Dataset_2000__3[[#This Row],[Total Sales]]&gt;50000,{"Yes"},{"No"})</f>
        <v>Yes</v>
      </c>
      <c r="N1877" s="5">
        <v>46294</v>
      </c>
      <c r="O1877" s="1" t="s">
        <v>24</v>
      </c>
      <c r="P1877" t="s">
        <v>35</v>
      </c>
      <c r="Q1877" t="str">
        <f>IF(Excel_Advanced_Sales_Dataset_2000__3[[#This Row],[Delivery Status]]="Pending","Follow Up","Ok")</f>
        <v>Ok</v>
      </c>
      <c r="R1877" s="1" t="s">
        <v>53</v>
      </c>
      <c r="S1877">
        <f>Excel_Advanced_Sales_Dataset_2000__3[[#This Row],[Quantity]]*Excel_Advanced_Sales_Dataset_2000__3[[#This Row],[Unit Price]]*Excel_Advanced_Sales_Dataset_2000__3[[#This Row],[Discount %]]/100</f>
        <v>15754.939684000001</v>
      </c>
      <c r="T1877" s="4">
        <f>Excel_Advanced_Sales_Dataset_2000__3[[#This Row],[Quantity]]*Excel_Advanced_Sales_Dataset_2000__3[[#This Row],[Unit Price]]-Excel_Advanced_Sales_Dataset_2000__3[[#This Row],[Discount Amount]]</f>
        <v>611931.9003160001</v>
      </c>
    </row>
    <row r="1878" spans="1:20" x14ac:dyDescent="0.25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>
        <v>43</v>
      </c>
      <c r="J1878" s="4">
        <v>49726.38</v>
      </c>
      <c r="K1878" s="6">
        <v>19.21</v>
      </c>
      <c r="L1878" s="4">
        <v>1727479.52</v>
      </c>
      <c r="M1878" s="4" t="str" cm="1">
        <f t="array" ref="M1878">IF(Excel_Advanced_Sales_Dataset_2000__3[[#This Row],[Total Sales]]&gt;50000,{"Yes"},{"No"})</f>
        <v>Yes</v>
      </c>
      <c r="N1878" s="5">
        <v>46329</v>
      </c>
      <c r="O1878" s="1" t="s">
        <v>113</v>
      </c>
      <c r="P1878" t="s">
        <v>35</v>
      </c>
      <c r="Q1878" t="str">
        <f>IF(Excel_Advanced_Sales_Dataset_2000__3[[#This Row],[Delivery Status]]="Pending","Follow Up","Ok")</f>
        <v>Ok</v>
      </c>
      <c r="R1878" s="1" t="s">
        <v>26</v>
      </c>
      <c r="S1878">
        <f>Excel_Advanced_Sales_Dataset_2000__3[[#This Row],[Quantity]]*Excel_Advanced_Sales_Dataset_2000__3[[#This Row],[Unit Price]]*Excel_Advanced_Sales_Dataset_2000__3[[#This Row],[Discount %]]/100</f>
        <v>410754.81671399996</v>
      </c>
      <c r="T1878" s="4">
        <f>Excel_Advanced_Sales_Dataset_2000__3[[#This Row],[Quantity]]*Excel_Advanced_Sales_Dataset_2000__3[[#This Row],[Unit Price]]-Excel_Advanced_Sales_Dataset_2000__3[[#This Row],[Discount Amount]]</f>
        <v>1727479.5232859999</v>
      </c>
    </row>
    <row r="1879" spans="1:20" x14ac:dyDescent="0.25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>
        <v>32</v>
      </c>
      <c r="J1879" s="4">
        <v>28963.88</v>
      </c>
      <c r="K1879" s="6">
        <v>4.1900000000000004</v>
      </c>
      <c r="L1879" s="4">
        <v>888009.39</v>
      </c>
      <c r="M1879" s="4" t="str" cm="1">
        <f t="array" ref="M1879">IF(Excel_Advanced_Sales_Dataset_2000__3[[#This Row],[Total Sales]]&gt;50000,{"Yes"},{"No"})</f>
        <v>Yes</v>
      </c>
      <c r="N1879" s="5">
        <v>46088</v>
      </c>
      <c r="O1879" s="1" t="s">
        <v>45</v>
      </c>
      <c r="P1879" t="s">
        <v>25</v>
      </c>
      <c r="Q1879" t="str">
        <f>IF(Excel_Advanced_Sales_Dataset_2000__3[[#This Row],[Delivery Status]]="Pending","Follow Up","Ok")</f>
        <v>Follow Up</v>
      </c>
      <c r="R1879" s="1" t="s">
        <v>26</v>
      </c>
      <c r="S1879">
        <f>Excel_Advanced_Sales_Dataset_2000__3[[#This Row],[Quantity]]*Excel_Advanced_Sales_Dataset_2000__3[[#This Row],[Unit Price]]*Excel_Advanced_Sales_Dataset_2000__3[[#This Row],[Discount %]]/100</f>
        <v>38834.770304000005</v>
      </c>
      <c r="T1879" s="4">
        <f>Excel_Advanced_Sales_Dataset_2000__3[[#This Row],[Quantity]]*Excel_Advanced_Sales_Dataset_2000__3[[#This Row],[Unit Price]]-Excel_Advanced_Sales_Dataset_2000__3[[#This Row],[Discount Amount]]</f>
        <v>888009.38969600003</v>
      </c>
    </row>
    <row r="1880" spans="1:20" x14ac:dyDescent="0.25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>
        <v>6</v>
      </c>
      <c r="J1880" s="4">
        <v>49835.17</v>
      </c>
      <c r="K1880" s="6">
        <v>13.71</v>
      </c>
      <c r="L1880" s="4">
        <v>258016.61</v>
      </c>
      <c r="M1880" s="4" t="str" cm="1">
        <f t="array" ref="M1880">IF(Excel_Advanced_Sales_Dataset_2000__3[[#This Row],[Total Sales]]&gt;50000,{"Yes"},{"No"})</f>
        <v>Yes</v>
      </c>
      <c r="N1880" s="5">
        <v>46348</v>
      </c>
      <c r="O1880" s="1" t="s">
        <v>45</v>
      </c>
      <c r="P1880" t="s">
        <v>25</v>
      </c>
      <c r="Q1880" t="str">
        <f>IF(Excel_Advanced_Sales_Dataset_2000__3[[#This Row],[Delivery Status]]="Pending","Follow Up","Ok")</f>
        <v>Follow Up</v>
      </c>
      <c r="R1880" s="1" t="s">
        <v>53</v>
      </c>
      <c r="S1880">
        <f>Excel_Advanced_Sales_Dataset_2000__3[[#This Row],[Quantity]]*Excel_Advanced_Sales_Dataset_2000__3[[#This Row],[Unit Price]]*Excel_Advanced_Sales_Dataset_2000__3[[#This Row],[Discount %]]/100</f>
        <v>40994.410842000005</v>
      </c>
      <c r="T1880" s="4">
        <f>Excel_Advanced_Sales_Dataset_2000__3[[#This Row],[Quantity]]*Excel_Advanced_Sales_Dataset_2000__3[[#This Row],[Unit Price]]-Excel_Advanced_Sales_Dataset_2000__3[[#This Row],[Discount Amount]]</f>
        <v>258016.60915800001</v>
      </c>
    </row>
    <row r="1881" spans="1:20" x14ac:dyDescent="0.25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>
        <v>26</v>
      </c>
      <c r="J1881" s="4">
        <v>3204.99</v>
      </c>
      <c r="K1881" s="6">
        <v>15.2</v>
      </c>
      <c r="L1881" s="4">
        <v>70663.62</v>
      </c>
      <c r="M1881" s="4" t="str" cm="1">
        <f t="array" ref="M1881">IF(Excel_Advanced_Sales_Dataset_2000__3[[#This Row],[Total Sales]]&gt;50000,{"Yes"},{"No"})</f>
        <v>Yes</v>
      </c>
      <c r="N1881" s="5">
        <v>46108</v>
      </c>
      <c r="O1881" s="1" t="s">
        <v>68</v>
      </c>
      <c r="P1881" t="s">
        <v>35</v>
      </c>
      <c r="Q1881" t="str">
        <f>IF(Excel_Advanced_Sales_Dataset_2000__3[[#This Row],[Delivery Status]]="Pending","Follow Up","Ok")</f>
        <v>Ok</v>
      </c>
      <c r="R1881" s="1" t="s">
        <v>36</v>
      </c>
      <c r="S1881">
        <f>Excel_Advanced_Sales_Dataset_2000__3[[#This Row],[Quantity]]*Excel_Advanced_Sales_Dataset_2000__3[[#This Row],[Unit Price]]*Excel_Advanced_Sales_Dataset_2000__3[[#This Row],[Discount %]]/100</f>
        <v>12666.120479999998</v>
      </c>
      <c r="T1881" s="4">
        <f>Excel_Advanced_Sales_Dataset_2000__3[[#This Row],[Quantity]]*Excel_Advanced_Sales_Dataset_2000__3[[#This Row],[Unit Price]]-Excel_Advanced_Sales_Dataset_2000__3[[#This Row],[Discount Amount]]</f>
        <v>70663.619519999993</v>
      </c>
    </row>
    <row r="1882" spans="1:20" x14ac:dyDescent="0.25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>
        <v>7</v>
      </c>
      <c r="J1882" s="4">
        <v>28963.85</v>
      </c>
      <c r="K1882" s="6">
        <v>8.11</v>
      </c>
      <c r="L1882" s="4">
        <v>186304.17</v>
      </c>
      <c r="M1882" s="4" t="str" cm="1">
        <f t="array" ref="M1882">IF(Excel_Advanced_Sales_Dataset_2000__3[[#This Row],[Total Sales]]&gt;50000,{"Yes"},{"No"})</f>
        <v>Yes</v>
      </c>
      <c r="N1882" s="5">
        <v>46218</v>
      </c>
      <c r="O1882" s="1" t="s">
        <v>68</v>
      </c>
      <c r="P1882" t="s">
        <v>35</v>
      </c>
      <c r="Q1882" t="str">
        <f>IF(Excel_Advanced_Sales_Dataset_2000__3[[#This Row],[Delivery Status]]="Pending","Follow Up","Ok")</f>
        <v>Ok</v>
      </c>
      <c r="R1882" s="1" t="s">
        <v>36</v>
      </c>
      <c r="S1882">
        <f>Excel_Advanced_Sales_Dataset_2000__3[[#This Row],[Quantity]]*Excel_Advanced_Sales_Dataset_2000__3[[#This Row],[Unit Price]]*Excel_Advanced_Sales_Dataset_2000__3[[#This Row],[Discount %]]/100</f>
        <v>16442.777644999998</v>
      </c>
      <c r="T1882" s="4">
        <f>Excel_Advanced_Sales_Dataset_2000__3[[#This Row],[Quantity]]*Excel_Advanced_Sales_Dataset_2000__3[[#This Row],[Unit Price]]-Excel_Advanced_Sales_Dataset_2000__3[[#This Row],[Discount Amount]]</f>
        <v>186304.17235499999</v>
      </c>
    </row>
    <row r="1883" spans="1:20" x14ac:dyDescent="0.25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>
        <v>15</v>
      </c>
      <c r="J1883" s="4">
        <v>43992.95</v>
      </c>
      <c r="K1883" s="6">
        <v>2.57</v>
      </c>
      <c r="L1883" s="4">
        <v>642934.97</v>
      </c>
      <c r="M1883" s="4" t="str" cm="1">
        <f t="array" ref="M1883">IF(Excel_Advanced_Sales_Dataset_2000__3[[#This Row],[Total Sales]]&gt;50000,{"Yes"},{"No"})</f>
        <v>Yes</v>
      </c>
      <c r="N1883" s="5">
        <v>46280</v>
      </c>
      <c r="O1883" s="1" t="s">
        <v>58</v>
      </c>
      <c r="P1883" t="s">
        <v>59</v>
      </c>
      <c r="Q1883" t="str">
        <f>IF(Excel_Advanced_Sales_Dataset_2000__3[[#This Row],[Delivery Status]]="Pending","Follow Up","Ok")</f>
        <v>Ok</v>
      </c>
      <c r="R1883" s="1" t="s">
        <v>36</v>
      </c>
      <c r="S1883">
        <f>Excel_Advanced_Sales_Dataset_2000__3[[#This Row],[Quantity]]*Excel_Advanced_Sales_Dataset_2000__3[[#This Row],[Unit Price]]*Excel_Advanced_Sales_Dataset_2000__3[[#This Row],[Discount %]]/100</f>
        <v>16959.282224999999</v>
      </c>
      <c r="T1883" s="4">
        <f>Excel_Advanced_Sales_Dataset_2000__3[[#This Row],[Quantity]]*Excel_Advanced_Sales_Dataset_2000__3[[#This Row],[Unit Price]]-Excel_Advanced_Sales_Dataset_2000__3[[#This Row],[Discount Amount]]</f>
        <v>642934.96777500003</v>
      </c>
    </row>
    <row r="1884" spans="1:20" x14ac:dyDescent="0.25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>
        <v>41</v>
      </c>
      <c r="J1884" s="4">
        <v>10703.91</v>
      </c>
      <c r="K1884" s="6">
        <v>4.08</v>
      </c>
      <c r="L1884" s="4">
        <v>420954.81</v>
      </c>
      <c r="M1884" s="4" t="str" cm="1">
        <f t="array" ref="M1884">IF(Excel_Advanced_Sales_Dataset_2000__3[[#This Row],[Total Sales]]&gt;50000,{"Yes"},{"No"})</f>
        <v>Yes</v>
      </c>
      <c r="N1884" s="5">
        <v>46213</v>
      </c>
      <c r="O1884" s="1" t="s">
        <v>113</v>
      </c>
      <c r="P1884" t="s">
        <v>35</v>
      </c>
      <c r="Q1884" t="str">
        <f>IF(Excel_Advanced_Sales_Dataset_2000__3[[#This Row],[Delivery Status]]="Pending","Follow Up","Ok")</f>
        <v>Ok</v>
      </c>
      <c r="R1884" s="1" t="s">
        <v>53</v>
      </c>
      <c r="S1884">
        <f>Excel_Advanced_Sales_Dataset_2000__3[[#This Row],[Quantity]]*Excel_Advanced_Sales_Dataset_2000__3[[#This Row],[Unit Price]]*Excel_Advanced_Sales_Dataset_2000__3[[#This Row],[Discount %]]/100</f>
        <v>17905.500648000001</v>
      </c>
      <c r="T1884" s="4">
        <f>Excel_Advanced_Sales_Dataset_2000__3[[#This Row],[Quantity]]*Excel_Advanced_Sales_Dataset_2000__3[[#This Row],[Unit Price]]-Excel_Advanced_Sales_Dataset_2000__3[[#This Row],[Discount Amount]]</f>
        <v>420954.80935200001</v>
      </c>
    </row>
    <row r="1885" spans="1:20" x14ac:dyDescent="0.25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>
        <v>27</v>
      </c>
      <c r="J1885" s="4">
        <v>33001.660000000003</v>
      </c>
      <c r="K1885" s="6">
        <v>13.75</v>
      </c>
      <c r="L1885" s="4">
        <v>768526.16</v>
      </c>
      <c r="M1885" s="4" t="str" cm="1">
        <f t="array" ref="M1885">IF(Excel_Advanced_Sales_Dataset_2000__3[[#This Row],[Total Sales]]&gt;50000,{"Yes"},{"No"})</f>
        <v>Yes</v>
      </c>
      <c r="N1885" s="5">
        <v>46071</v>
      </c>
      <c r="O1885" s="1" t="s">
        <v>58</v>
      </c>
      <c r="P1885" t="s">
        <v>35</v>
      </c>
      <c r="Q1885" t="str">
        <f>IF(Excel_Advanced_Sales_Dataset_2000__3[[#This Row],[Delivery Status]]="Pending","Follow Up","Ok")</f>
        <v>Ok</v>
      </c>
      <c r="R1885" s="1" t="s">
        <v>26</v>
      </c>
      <c r="S1885">
        <f>Excel_Advanced_Sales_Dataset_2000__3[[#This Row],[Quantity]]*Excel_Advanced_Sales_Dataset_2000__3[[#This Row],[Unit Price]]*Excel_Advanced_Sales_Dataset_2000__3[[#This Row],[Discount %]]/100</f>
        <v>122518.66275</v>
      </c>
      <c r="T1885" s="4">
        <f>Excel_Advanced_Sales_Dataset_2000__3[[#This Row],[Quantity]]*Excel_Advanced_Sales_Dataset_2000__3[[#This Row],[Unit Price]]-Excel_Advanced_Sales_Dataset_2000__3[[#This Row],[Discount Amount]]</f>
        <v>768526.15725000005</v>
      </c>
    </row>
    <row r="1886" spans="1:20" x14ac:dyDescent="0.25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>
        <v>19</v>
      </c>
      <c r="J1886" s="4">
        <v>30659.79</v>
      </c>
      <c r="K1886" s="6">
        <v>19.09</v>
      </c>
      <c r="L1886" s="4">
        <v>471329.89</v>
      </c>
      <c r="M1886" s="4" t="str" cm="1">
        <f t="array" ref="M1886">IF(Excel_Advanced_Sales_Dataset_2000__3[[#This Row],[Total Sales]]&gt;50000,{"Yes"},{"No"})</f>
        <v>Yes</v>
      </c>
      <c r="N1886" s="5">
        <v>46322</v>
      </c>
      <c r="O1886" s="1" t="s">
        <v>68</v>
      </c>
      <c r="P1886" t="s">
        <v>35</v>
      </c>
      <c r="Q1886" t="str">
        <f>IF(Excel_Advanced_Sales_Dataset_2000__3[[#This Row],[Delivery Status]]="Pending","Follow Up","Ok")</f>
        <v>Ok</v>
      </c>
      <c r="R1886" s="1" t="s">
        <v>36</v>
      </c>
      <c r="S1886">
        <f>Excel_Advanced_Sales_Dataset_2000__3[[#This Row],[Quantity]]*Excel_Advanced_Sales_Dataset_2000__3[[#This Row],[Unit Price]]*Excel_Advanced_Sales_Dataset_2000__3[[#This Row],[Discount %]]/100</f>
        <v>111206.12430900001</v>
      </c>
      <c r="T1886" s="4">
        <f>Excel_Advanced_Sales_Dataset_2000__3[[#This Row],[Quantity]]*Excel_Advanced_Sales_Dataset_2000__3[[#This Row],[Unit Price]]-Excel_Advanced_Sales_Dataset_2000__3[[#This Row],[Discount Amount]]</f>
        <v>471329.88569100003</v>
      </c>
    </row>
    <row r="1887" spans="1:20" x14ac:dyDescent="0.25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>
        <v>48</v>
      </c>
      <c r="J1887" s="4">
        <v>16455.919999999998</v>
      </c>
      <c r="K1887" s="6">
        <v>5.82</v>
      </c>
      <c r="L1887" s="4">
        <v>743912.9</v>
      </c>
      <c r="M1887" s="4" t="str" cm="1">
        <f t="array" ref="M1887">IF(Excel_Advanced_Sales_Dataset_2000__3[[#This Row],[Total Sales]]&gt;50000,{"Yes"},{"No"})</f>
        <v>Yes</v>
      </c>
      <c r="N1887" s="5">
        <v>46376</v>
      </c>
      <c r="O1887" s="1" t="s">
        <v>113</v>
      </c>
      <c r="P1887" t="s">
        <v>35</v>
      </c>
      <c r="Q1887" t="str">
        <f>IF(Excel_Advanced_Sales_Dataset_2000__3[[#This Row],[Delivery Status]]="Pending","Follow Up","Ok")</f>
        <v>Ok</v>
      </c>
      <c r="R1887" s="1" t="s">
        <v>26</v>
      </c>
      <c r="S1887">
        <f>Excel_Advanced_Sales_Dataset_2000__3[[#This Row],[Quantity]]*Excel_Advanced_Sales_Dataset_2000__3[[#This Row],[Unit Price]]*Excel_Advanced_Sales_Dataset_2000__3[[#This Row],[Discount %]]/100</f>
        <v>45971.258111999996</v>
      </c>
      <c r="T1887" s="4">
        <f>Excel_Advanced_Sales_Dataset_2000__3[[#This Row],[Quantity]]*Excel_Advanced_Sales_Dataset_2000__3[[#This Row],[Unit Price]]-Excel_Advanced_Sales_Dataset_2000__3[[#This Row],[Discount Amount]]</f>
        <v>743912.90188799996</v>
      </c>
    </row>
    <row r="1888" spans="1:20" x14ac:dyDescent="0.25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>
        <v>47</v>
      </c>
      <c r="J1888" s="4">
        <v>26744.560000000001</v>
      </c>
      <c r="K1888" s="6">
        <v>1.06</v>
      </c>
      <c r="L1888" s="4">
        <v>1243670.18</v>
      </c>
      <c r="M1888" s="4" t="str" cm="1">
        <f t="array" ref="M1888">IF(Excel_Advanced_Sales_Dataset_2000__3[[#This Row],[Total Sales]]&gt;50000,{"Yes"},{"No"})</f>
        <v>Yes</v>
      </c>
      <c r="N1888" s="5">
        <v>46215</v>
      </c>
      <c r="O1888" s="1" t="s">
        <v>58</v>
      </c>
      <c r="P1888" t="s">
        <v>35</v>
      </c>
      <c r="Q1888" t="str">
        <f>IF(Excel_Advanced_Sales_Dataset_2000__3[[#This Row],[Delivery Status]]="Pending","Follow Up","Ok")</f>
        <v>Ok</v>
      </c>
      <c r="R1888" s="1" t="s">
        <v>26</v>
      </c>
      <c r="S1888">
        <f>Excel_Advanced_Sales_Dataset_2000__3[[#This Row],[Quantity]]*Excel_Advanced_Sales_Dataset_2000__3[[#This Row],[Unit Price]]*Excel_Advanced_Sales_Dataset_2000__3[[#This Row],[Discount %]]/100</f>
        <v>13324.139792000002</v>
      </c>
      <c r="T1888" s="4">
        <f>Excel_Advanced_Sales_Dataset_2000__3[[#This Row],[Quantity]]*Excel_Advanced_Sales_Dataset_2000__3[[#This Row],[Unit Price]]-Excel_Advanced_Sales_Dataset_2000__3[[#This Row],[Discount Amount]]</f>
        <v>1243670.1802080001</v>
      </c>
    </row>
    <row r="1889" spans="1:20" x14ac:dyDescent="0.25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>
        <v>35</v>
      </c>
      <c r="J1889" s="4">
        <v>22233.68</v>
      </c>
      <c r="K1889" s="6">
        <v>4.21</v>
      </c>
      <c r="L1889" s="4">
        <v>745417.47</v>
      </c>
      <c r="M1889" s="4" t="str" cm="1">
        <f t="array" ref="M1889">IF(Excel_Advanced_Sales_Dataset_2000__3[[#This Row],[Total Sales]]&gt;50000,{"Yes"},{"No"})</f>
        <v>Yes</v>
      </c>
      <c r="N1889" s="5">
        <v>46277</v>
      </c>
      <c r="O1889" s="1" t="s">
        <v>45</v>
      </c>
      <c r="P1889" t="s">
        <v>35</v>
      </c>
      <c r="Q1889" t="str">
        <f>IF(Excel_Advanced_Sales_Dataset_2000__3[[#This Row],[Delivery Status]]="Pending","Follow Up","Ok")</f>
        <v>Ok</v>
      </c>
      <c r="R1889" s="1" t="s">
        <v>36</v>
      </c>
      <c r="S1889">
        <f>Excel_Advanced_Sales_Dataset_2000__3[[#This Row],[Quantity]]*Excel_Advanced_Sales_Dataset_2000__3[[#This Row],[Unit Price]]*Excel_Advanced_Sales_Dataset_2000__3[[#This Row],[Discount %]]/100</f>
        <v>32761.32748</v>
      </c>
      <c r="T1889" s="4">
        <f>Excel_Advanced_Sales_Dataset_2000__3[[#This Row],[Quantity]]*Excel_Advanced_Sales_Dataset_2000__3[[#This Row],[Unit Price]]-Excel_Advanced_Sales_Dataset_2000__3[[#This Row],[Discount Amount]]</f>
        <v>745417.47252000007</v>
      </c>
    </row>
    <row r="1890" spans="1:20" x14ac:dyDescent="0.25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>
        <v>39</v>
      </c>
      <c r="J1890" s="4">
        <v>1745.31</v>
      </c>
      <c r="K1890" s="6">
        <v>17.22</v>
      </c>
      <c r="L1890" s="4">
        <v>56345.94</v>
      </c>
      <c r="M1890" s="4" t="str" cm="1">
        <f t="array" ref="M1890">IF(Excel_Advanced_Sales_Dataset_2000__3[[#This Row],[Total Sales]]&gt;50000,{"Yes"},{"No"})</f>
        <v>Yes</v>
      </c>
      <c r="N1890" s="5">
        <v>46349</v>
      </c>
      <c r="O1890" s="1" t="s">
        <v>24</v>
      </c>
      <c r="P1890" t="s">
        <v>35</v>
      </c>
      <c r="Q1890" t="str">
        <f>IF(Excel_Advanced_Sales_Dataset_2000__3[[#This Row],[Delivery Status]]="Pending","Follow Up","Ok")</f>
        <v>Ok</v>
      </c>
      <c r="R1890" s="1" t="s">
        <v>26</v>
      </c>
      <c r="S1890">
        <f>Excel_Advanced_Sales_Dataset_2000__3[[#This Row],[Quantity]]*Excel_Advanced_Sales_Dataset_2000__3[[#This Row],[Unit Price]]*Excel_Advanced_Sales_Dataset_2000__3[[#This Row],[Discount %]]/100</f>
        <v>11721.152897999998</v>
      </c>
      <c r="T1890" s="4">
        <f>Excel_Advanced_Sales_Dataset_2000__3[[#This Row],[Quantity]]*Excel_Advanced_Sales_Dataset_2000__3[[#This Row],[Unit Price]]-Excel_Advanced_Sales_Dataset_2000__3[[#This Row],[Discount Amount]]</f>
        <v>56345.937101999996</v>
      </c>
    </row>
    <row r="1891" spans="1:20" x14ac:dyDescent="0.25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>
        <v>1</v>
      </c>
      <c r="J1891" s="4">
        <v>40948</v>
      </c>
      <c r="K1891" s="6">
        <v>13.24</v>
      </c>
      <c r="L1891" s="4">
        <v>35526.480000000003</v>
      </c>
      <c r="M1891" s="4" t="str" cm="1">
        <f t="array" ref="M1891">IF(Excel_Advanced_Sales_Dataset_2000__3[[#This Row],[Total Sales]]&gt;50000,{"Yes"},{"No"})</f>
        <v>No</v>
      </c>
      <c r="N1891" s="5">
        <v>46095</v>
      </c>
      <c r="O1891" s="1" t="s">
        <v>113</v>
      </c>
      <c r="P1891" t="s">
        <v>35</v>
      </c>
      <c r="Q1891" t="str">
        <f>IF(Excel_Advanced_Sales_Dataset_2000__3[[#This Row],[Delivery Status]]="Pending","Follow Up","Ok")</f>
        <v>Ok</v>
      </c>
      <c r="R1891" s="1" t="s">
        <v>53</v>
      </c>
      <c r="S1891">
        <f>Excel_Advanced_Sales_Dataset_2000__3[[#This Row],[Quantity]]*Excel_Advanced_Sales_Dataset_2000__3[[#This Row],[Unit Price]]*Excel_Advanced_Sales_Dataset_2000__3[[#This Row],[Discount %]]/100</f>
        <v>5421.5151999999998</v>
      </c>
      <c r="T1891" s="4">
        <f>Excel_Advanced_Sales_Dataset_2000__3[[#This Row],[Quantity]]*Excel_Advanced_Sales_Dataset_2000__3[[#This Row],[Unit Price]]-Excel_Advanced_Sales_Dataset_2000__3[[#This Row],[Discount Amount]]</f>
        <v>35526.484799999998</v>
      </c>
    </row>
    <row r="1892" spans="1:20" x14ac:dyDescent="0.25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>
        <v>8</v>
      </c>
      <c r="J1892" s="4">
        <v>17265.509999999998</v>
      </c>
      <c r="K1892" s="6">
        <v>0.88</v>
      </c>
      <c r="L1892" s="4">
        <v>136908.59</v>
      </c>
      <c r="M1892" s="4" t="str" cm="1">
        <f t="array" ref="M1892">IF(Excel_Advanced_Sales_Dataset_2000__3[[#This Row],[Total Sales]]&gt;50000,{"Yes"},{"No"})</f>
        <v>Yes</v>
      </c>
      <c r="N1892" s="5">
        <v>46237</v>
      </c>
      <c r="O1892" s="1" t="s">
        <v>68</v>
      </c>
      <c r="P1892" t="s">
        <v>35</v>
      </c>
      <c r="Q1892" t="str">
        <f>IF(Excel_Advanced_Sales_Dataset_2000__3[[#This Row],[Delivery Status]]="Pending","Follow Up","Ok")</f>
        <v>Ok</v>
      </c>
      <c r="R1892" s="1" t="s">
        <v>26</v>
      </c>
      <c r="S1892">
        <f>Excel_Advanced_Sales_Dataset_2000__3[[#This Row],[Quantity]]*Excel_Advanced_Sales_Dataset_2000__3[[#This Row],[Unit Price]]*Excel_Advanced_Sales_Dataset_2000__3[[#This Row],[Discount %]]/100</f>
        <v>1215.491904</v>
      </c>
      <c r="T1892" s="4">
        <f>Excel_Advanced_Sales_Dataset_2000__3[[#This Row],[Quantity]]*Excel_Advanced_Sales_Dataset_2000__3[[#This Row],[Unit Price]]-Excel_Advanced_Sales_Dataset_2000__3[[#This Row],[Discount Amount]]</f>
        <v>136908.58809599999</v>
      </c>
    </row>
    <row r="1893" spans="1:20" x14ac:dyDescent="0.25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>
        <v>31</v>
      </c>
      <c r="J1893" s="4">
        <v>29127.45</v>
      </c>
      <c r="K1893" s="6">
        <v>17.57</v>
      </c>
      <c r="L1893" s="4">
        <v>744302.47</v>
      </c>
      <c r="M1893" s="4" t="str" cm="1">
        <f t="array" ref="M1893">IF(Excel_Advanced_Sales_Dataset_2000__3[[#This Row],[Total Sales]]&gt;50000,{"Yes"},{"No"})</f>
        <v>Yes</v>
      </c>
      <c r="N1893" s="5">
        <v>46027</v>
      </c>
      <c r="O1893" s="1" t="s">
        <v>58</v>
      </c>
      <c r="P1893" t="s">
        <v>35</v>
      </c>
      <c r="Q1893" t="str">
        <f>IF(Excel_Advanced_Sales_Dataset_2000__3[[#This Row],[Delivery Status]]="Pending","Follow Up","Ok")</f>
        <v>Ok</v>
      </c>
      <c r="R1893" s="1" t="s">
        <v>26</v>
      </c>
      <c r="S1893">
        <f>Excel_Advanced_Sales_Dataset_2000__3[[#This Row],[Quantity]]*Excel_Advanced_Sales_Dataset_2000__3[[#This Row],[Unit Price]]*Excel_Advanced_Sales_Dataset_2000__3[[#This Row],[Discount %]]/100</f>
        <v>158648.48191500001</v>
      </c>
      <c r="T1893" s="4">
        <f>Excel_Advanced_Sales_Dataset_2000__3[[#This Row],[Quantity]]*Excel_Advanced_Sales_Dataset_2000__3[[#This Row],[Unit Price]]-Excel_Advanced_Sales_Dataset_2000__3[[#This Row],[Discount Amount]]</f>
        <v>744302.46808500006</v>
      </c>
    </row>
    <row r="1894" spans="1:20" x14ac:dyDescent="0.25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>
        <v>34</v>
      </c>
      <c r="J1894" s="4">
        <v>10804.64</v>
      </c>
      <c r="K1894" s="6">
        <v>1.1299999999999999</v>
      </c>
      <c r="L1894" s="4">
        <v>363206.62</v>
      </c>
      <c r="M1894" s="4" t="str" cm="1">
        <f t="array" ref="M1894">IF(Excel_Advanced_Sales_Dataset_2000__3[[#This Row],[Total Sales]]&gt;50000,{"Yes"},{"No"})</f>
        <v>Yes</v>
      </c>
      <c r="N1894" s="5">
        <v>46146</v>
      </c>
      <c r="O1894" s="1" t="s">
        <v>58</v>
      </c>
      <c r="P1894" t="s">
        <v>35</v>
      </c>
      <c r="Q1894" t="str">
        <f>IF(Excel_Advanced_Sales_Dataset_2000__3[[#This Row],[Delivery Status]]="Pending","Follow Up","Ok")</f>
        <v>Ok</v>
      </c>
      <c r="R1894" s="1" t="s">
        <v>26</v>
      </c>
      <c r="S1894">
        <f>Excel_Advanced_Sales_Dataset_2000__3[[#This Row],[Quantity]]*Excel_Advanced_Sales_Dataset_2000__3[[#This Row],[Unit Price]]*Excel_Advanced_Sales_Dataset_2000__3[[#This Row],[Discount %]]/100</f>
        <v>4151.1426879999999</v>
      </c>
      <c r="T1894" s="4">
        <f>Excel_Advanced_Sales_Dataset_2000__3[[#This Row],[Quantity]]*Excel_Advanced_Sales_Dataset_2000__3[[#This Row],[Unit Price]]-Excel_Advanced_Sales_Dataset_2000__3[[#This Row],[Discount Amount]]</f>
        <v>363206.61731200002</v>
      </c>
    </row>
    <row r="1895" spans="1:20" x14ac:dyDescent="0.25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>
        <v>13</v>
      </c>
      <c r="J1895" s="4">
        <v>2939.66</v>
      </c>
      <c r="K1895" s="6">
        <v>17.559999999999999</v>
      </c>
      <c r="L1895" s="4">
        <v>31504.92</v>
      </c>
      <c r="M1895" s="4" t="str" cm="1">
        <f t="array" ref="M1895">IF(Excel_Advanced_Sales_Dataset_2000__3[[#This Row],[Total Sales]]&gt;50000,{"Yes"},{"No"})</f>
        <v>No</v>
      </c>
      <c r="N1895" s="5">
        <v>46275</v>
      </c>
      <c r="O1895" s="1" t="s">
        <v>58</v>
      </c>
      <c r="P1895" t="s">
        <v>35</v>
      </c>
      <c r="Q1895" t="str">
        <f>IF(Excel_Advanced_Sales_Dataset_2000__3[[#This Row],[Delivery Status]]="Pending","Follow Up","Ok")</f>
        <v>Ok</v>
      </c>
      <c r="R1895" s="1" t="s">
        <v>36</v>
      </c>
      <c r="S1895">
        <f>Excel_Advanced_Sales_Dataset_2000__3[[#This Row],[Quantity]]*Excel_Advanced_Sales_Dataset_2000__3[[#This Row],[Unit Price]]*Excel_Advanced_Sales_Dataset_2000__3[[#This Row],[Discount %]]/100</f>
        <v>6710.6558479999994</v>
      </c>
      <c r="T1895" s="4">
        <f>Excel_Advanced_Sales_Dataset_2000__3[[#This Row],[Quantity]]*Excel_Advanced_Sales_Dataset_2000__3[[#This Row],[Unit Price]]-Excel_Advanced_Sales_Dataset_2000__3[[#This Row],[Discount Amount]]</f>
        <v>31504.924152000003</v>
      </c>
    </row>
    <row r="1896" spans="1:20" x14ac:dyDescent="0.25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>
        <v>14</v>
      </c>
      <c r="J1896" s="4">
        <v>48711.12</v>
      </c>
      <c r="K1896" s="6">
        <v>4.38</v>
      </c>
      <c r="L1896" s="4">
        <v>652086.02</v>
      </c>
      <c r="M1896" s="4" t="str" cm="1">
        <f t="array" ref="M1896">IF(Excel_Advanced_Sales_Dataset_2000__3[[#This Row],[Total Sales]]&gt;50000,{"Yes"},{"No"})</f>
        <v>Yes</v>
      </c>
      <c r="N1896" s="5">
        <v>46103</v>
      </c>
      <c r="O1896" s="1" t="s">
        <v>113</v>
      </c>
      <c r="P1896" t="s">
        <v>35</v>
      </c>
      <c r="Q1896" t="str">
        <f>IF(Excel_Advanced_Sales_Dataset_2000__3[[#This Row],[Delivery Status]]="Pending","Follow Up","Ok")</f>
        <v>Ok</v>
      </c>
      <c r="R1896" s="1" t="s">
        <v>26</v>
      </c>
      <c r="S1896">
        <f>Excel_Advanced_Sales_Dataset_2000__3[[#This Row],[Quantity]]*Excel_Advanced_Sales_Dataset_2000__3[[#This Row],[Unit Price]]*Excel_Advanced_Sales_Dataset_2000__3[[#This Row],[Discount %]]/100</f>
        <v>29869.658784000003</v>
      </c>
      <c r="T1896" s="4">
        <f>Excel_Advanced_Sales_Dataset_2000__3[[#This Row],[Quantity]]*Excel_Advanced_Sales_Dataset_2000__3[[#This Row],[Unit Price]]-Excel_Advanced_Sales_Dataset_2000__3[[#This Row],[Discount Amount]]</f>
        <v>652086.02121600008</v>
      </c>
    </row>
    <row r="1897" spans="1:20" x14ac:dyDescent="0.25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>
        <v>41</v>
      </c>
      <c r="J1897" s="4">
        <v>7658.88</v>
      </c>
      <c r="K1897" s="6">
        <v>19.45</v>
      </c>
      <c r="L1897" s="4">
        <v>252938.34</v>
      </c>
      <c r="M1897" s="4" t="str" cm="1">
        <f t="array" ref="M1897">IF(Excel_Advanced_Sales_Dataset_2000__3[[#This Row],[Total Sales]]&gt;50000,{"Yes"},{"No"})</f>
        <v>Yes</v>
      </c>
      <c r="N1897" s="5">
        <v>46385</v>
      </c>
      <c r="O1897" s="1" t="s">
        <v>68</v>
      </c>
      <c r="P1897" t="s">
        <v>35</v>
      </c>
      <c r="Q1897" t="str">
        <f>IF(Excel_Advanced_Sales_Dataset_2000__3[[#This Row],[Delivery Status]]="Pending","Follow Up","Ok")</f>
        <v>Ok</v>
      </c>
      <c r="R1897" s="1" t="s">
        <v>36</v>
      </c>
      <c r="S1897">
        <f>Excel_Advanced_Sales_Dataset_2000__3[[#This Row],[Quantity]]*Excel_Advanced_Sales_Dataset_2000__3[[#This Row],[Unit Price]]*Excel_Advanced_Sales_Dataset_2000__3[[#This Row],[Discount %]]/100</f>
        <v>61075.738559999998</v>
      </c>
      <c r="T1897" s="4">
        <f>Excel_Advanced_Sales_Dataset_2000__3[[#This Row],[Quantity]]*Excel_Advanced_Sales_Dataset_2000__3[[#This Row],[Unit Price]]-Excel_Advanced_Sales_Dataset_2000__3[[#This Row],[Discount Amount]]</f>
        <v>252938.34144000002</v>
      </c>
    </row>
    <row r="1898" spans="1:20" x14ac:dyDescent="0.25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>
        <v>9</v>
      </c>
      <c r="J1898" s="4">
        <v>35900.949999999997</v>
      </c>
      <c r="K1898" s="6">
        <v>17.38</v>
      </c>
      <c r="L1898" s="4">
        <v>266952.28000000003</v>
      </c>
      <c r="M1898" s="4" t="str" cm="1">
        <f t="array" ref="M1898">IF(Excel_Advanced_Sales_Dataset_2000__3[[#This Row],[Total Sales]]&gt;50000,{"Yes"},{"No"})</f>
        <v>Yes</v>
      </c>
      <c r="N1898" s="5">
        <v>46277</v>
      </c>
      <c r="O1898" s="1" t="s">
        <v>68</v>
      </c>
      <c r="P1898" t="s">
        <v>35</v>
      </c>
      <c r="Q1898" t="str">
        <f>IF(Excel_Advanced_Sales_Dataset_2000__3[[#This Row],[Delivery Status]]="Pending","Follow Up","Ok")</f>
        <v>Ok</v>
      </c>
      <c r="R1898" s="1" t="s">
        <v>53</v>
      </c>
      <c r="S1898">
        <f>Excel_Advanced_Sales_Dataset_2000__3[[#This Row],[Quantity]]*Excel_Advanced_Sales_Dataset_2000__3[[#This Row],[Unit Price]]*Excel_Advanced_Sales_Dataset_2000__3[[#This Row],[Discount %]]/100</f>
        <v>56156.265989999993</v>
      </c>
      <c r="T1898" s="4">
        <f>Excel_Advanced_Sales_Dataset_2000__3[[#This Row],[Quantity]]*Excel_Advanced_Sales_Dataset_2000__3[[#This Row],[Unit Price]]-Excel_Advanced_Sales_Dataset_2000__3[[#This Row],[Discount Amount]]</f>
        <v>266952.28401</v>
      </c>
    </row>
    <row r="1899" spans="1:20" x14ac:dyDescent="0.25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>
        <v>49</v>
      </c>
      <c r="J1899" s="4">
        <v>10857.06</v>
      </c>
      <c r="K1899" s="6">
        <v>14.16</v>
      </c>
      <c r="L1899" s="4">
        <v>456665.31</v>
      </c>
      <c r="M1899" s="4" t="str" cm="1">
        <f t="array" ref="M1899">IF(Excel_Advanced_Sales_Dataset_2000__3[[#This Row],[Total Sales]]&gt;50000,{"Yes"},{"No"})</f>
        <v>Yes</v>
      </c>
      <c r="N1899" s="5">
        <v>46225</v>
      </c>
      <c r="O1899" s="1" t="s">
        <v>24</v>
      </c>
      <c r="P1899" t="s">
        <v>35</v>
      </c>
      <c r="Q1899" t="str">
        <f>IF(Excel_Advanced_Sales_Dataset_2000__3[[#This Row],[Delivery Status]]="Pending","Follow Up","Ok")</f>
        <v>Ok</v>
      </c>
      <c r="R1899" s="1" t="s">
        <v>36</v>
      </c>
      <c r="S1899">
        <f>Excel_Advanced_Sales_Dataset_2000__3[[#This Row],[Quantity]]*Excel_Advanced_Sales_Dataset_2000__3[[#This Row],[Unit Price]]*Excel_Advanced_Sales_Dataset_2000__3[[#This Row],[Discount %]]/100</f>
        <v>75330.625103999992</v>
      </c>
      <c r="T1899" s="4">
        <f>Excel_Advanced_Sales_Dataset_2000__3[[#This Row],[Quantity]]*Excel_Advanced_Sales_Dataset_2000__3[[#This Row],[Unit Price]]-Excel_Advanced_Sales_Dataset_2000__3[[#This Row],[Discount Amount]]</f>
        <v>456665.31489599997</v>
      </c>
    </row>
    <row r="1900" spans="1:20" x14ac:dyDescent="0.25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>
        <v>11</v>
      </c>
      <c r="J1900" s="4">
        <v>43144.88</v>
      </c>
      <c r="K1900" s="6">
        <v>9.3000000000000007</v>
      </c>
      <c r="L1900" s="4">
        <v>430456.47</v>
      </c>
      <c r="M1900" s="4" t="str" cm="1">
        <f t="array" ref="M1900">IF(Excel_Advanced_Sales_Dataset_2000__3[[#This Row],[Total Sales]]&gt;50000,{"Yes"},{"No"})</f>
        <v>Yes</v>
      </c>
      <c r="N1900" s="5">
        <v>46073</v>
      </c>
      <c r="O1900" s="1" t="s">
        <v>45</v>
      </c>
      <c r="P1900" t="s">
        <v>59</v>
      </c>
      <c r="Q1900" t="str">
        <f>IF(Excel_Advanced_Sales_Dataset_2000__3[[#This Row],[Delivery Status]]="Pending","Follow Up","Ok")</f>
        <v>Ok</v>
      </c>
      <c r="R1900" s="1" t="s">
        <v>36</v>
      </c>
      <c r="S1900">
        <f>Excel_Advanced_Sales_Dataset_2000__3[[#This Row],[Quantity]]*Excel_Advanced_Sales_Dataset_2000__3[[#This Row],[Unit Price]]*Excel_Advanced_Sales_Dataset_2000__3[[#This Row],[Discount %]]/100</f>
        <v>44137.212240000001</v>
      </c>
      <c r="T1900" s="4">
        <f>Excel_Advanced_Sales_Dataset_2000__3[[#This Row],[Quantity]]*Excel_Advanced_Sales_Dataset_2000__3[[#This Row],[Unit Price]]-Excel_Advanced_Sales_Dataset_2000__3[[#This Row],[Discount Amount]]</f>
        <v>430456.46775999997</v>
      </c>
    </row>
    <row r="1901" spans="1:20" x14ac:dyDescent="0.25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>
        <v>45</v>
      </c>
      <c r="J1901" s="4">
        <v>21683.05</v>
      </c>
      <c r="K1901" s="6">
        <v>10.82</v>
      </c>
      <c r="L1901" s="4">
        <v>870162.48</v>
      </c>
      <c r="M1901" s="4" t="str" cm="1">
        <f t="array" ref="M1901">IF(Excel_Advanced_Sales_Dataset_2000__3[[#This Row],[Total Sales]]&gt;50000,{"Yes"},{"No"})</f>
        <v>Yes</v>
      </c>
      <c r="N1901" s="5">
        <v>46133</v>
      </c>
      <c r="O1901" s="1" t="s">
        <v>24</v>
      </c>
      <c r="P1901" t="s">
        <v>25</v>
      </c>
      <c r="Q1901" t="str">
        <f>IF(Excel_Advanced_Sales_Dataset_2000__3[[#This Row],[Delivery Status]]="Pending","Follow Up","Ok")</f>
        <v>Follow Up</v>
      </c>
      <c r="R1901" s="1" t="s">
        <v>26</v>
      </c>
      <c r="S1901">
        <f>Excel_Advanced_Sales_Dataset_2000__3[[#This Row],[Quantity]]*Excel_Advanced_Sales_Dataset_2000__3[[#This Row],[Unit Price]]*Excel_Advanced_Sales_Dataset_2000__3[[#This Row],[Discount %]]/100</f>
        <v>105574.77045</v>
      </c>
      <c r="T1901" s="4">
        <f>Excel_Advanced_Sales_Dataset_2000__3[[#This Row],[Quantity]]*Excel_Advanced_Sales_Dataset_2000__3[[#This Row],[Unit Price]]-Excel_Advanced_Sales_Dataset_2000__3[[#This Row],[Discount Amount]]</f>
        <v>870162.47955000005</v>
      </c>
    </row>
    <row r="1902" spans="1:20" x14ac:dyDescent="0.25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>
        <v>47</v>
      </c>
      <c r="J1902" s="4">
        <v>34661.08</v>
      </c>
      <c r="K1902" s="6">
        <v>5.0199999999999996</v>
      </c>
      <c r="L1902" s="4">
        <v>1547291.41</v>
      </c>
      <c r="M1902" s="4" t="str" cm="1">
        <f t="array" ref="M1902">IF(Excel_Advanced_Sales_Dataset_2000__3[[#This Row],[Total Sales]]&gt;50000,{"Yes"},{"No"})</f>
        <v>Yes</v>
      </c>
      <c r="N1902" s="5">
        <v>46352</v>
      </c>
      <c r="O1902" s="1" t="s">
        <v>68</v>
      </c>
      <c r="P1902" t="s">
        <v>35</v>
      </c>
      <c r="Q1902" t="str">
        <f>IF(Excel_Advanced_Sales_Dataset_2000__3[[#This Row],[Delivery Status]]="Pending","Follow Up","Ok")</f>
        <v>Ok</v>
      </c>
      <c r="R1902" s="1" t="s">
        <v>26</v>
      </c>
      <c r="S1902">
        <f>Excel_Advanced_Sales_Dataset_2000__3[[#This Row],[Quantity]]*Excel_Advanced_Sales_Dataset_2000__3[[#This Row],[Unit Price]]*Excel_Advanced_Sales_Dataset_2000__3[[#This Row],[Discount %]]/100</f>
        <v>81779.352151999992</v>
      </c>
      <c r="T1902" s="4">
        <f>Excel_Advanced_Sales_Dataset_2000__3[[#This Row],[Quantity]]*Excel_Advanced_Sales_Dataset_2000__3[[#This Row],[Unit Price]]-Excel_Advanced_Sales_Dataset_2000__3[[#This Row],[Discount Amount]]</f>
        <v>1547291.4078480001</v>
      </c>
    </row>
    <row r="1903" spans="1:20" x14ac:dyDescent="0.25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>
        <v>35</v>
      </c>
      <c r="J1903" s="4">
        <v>45339.1</v>
      </c>
      <c r="K1903" s="6">
        <v>6.1</v>
      </c>
      <c r="L1903" s="4">
        <v>1490069.52</v>
      </c>
      <c r="M1903" s="4" t="str" cm="1">
        <f t="array" ref="M1903">IF(Excel_Advanced_Sales_Dataset_2000__3[[#This Row],[Total Sales]]&gt;50000,{"Yes"},{"No"})</f>
        <v>Yes</v>
      </c>
      <c r="N1903" s="5">
        <v>46228</v>
      </c>
      <c r="O1903" s="1" t="s">
        <v>113</v>
      </c>
      <c r="P1903" t="s">
        <v>35</v>
      </c>
      <c r="Q1903" t="str">
        <f>IF(Excel_Advanced_Sales_Dataset_2000__3[[#This Row],[Delivery Status]]="Pending","Follow Up","Ok")</f>
        <v>Ok</v>
      </c>
      <c r="R1903" s="1" t="s">
        <v>26</v>
      </c>
      <c r="S1903">
        <f>Excel_Advanced_Sales_Dataset_2000__3[[#This Row],[Quantity]]*Excel_Advanced_Sales_Dataset_2000__3[[#This Row],[Unit Price]]*Excel_Advanced_Sales_Dataset_2000__3[[#This Row],[Discount %]]/100</f>
        <v>96798.978499999997</v>
      </c>
      <c r="T1903" s="4">
        <f>Excel_Advanced_Sales_Dataset_2000__3[[#This Row],[Quantity]]*Excel_Advanced_Sales_Dataset_2000__3[[#This Row],[Unit Price]]-Excel_Advanced_Sales_Dataset_2000__3[[#This Row],[Discount Amount]]</f>
        <v>1490069.5215</v>
      </c>
    </row>
    <row r="1904" spans="1:20" x14ac:dyDescent="0.25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>
        <v>19</v>
      </c>
      <c r="J1904" s="4">
        <v>33190.480000000003</v>
      </c>
      <c r="K1904" s="6">
        <v>10.55</v>
      </c>
      <c r="L1904" s="4">
        <v>564088.80000000005</v>
      </c>
      <c r="M1904" s="4" t="str" cm="1">
        <f t="array" ref="M1904">IF(Excel_Advanced_Sales_Dataset_2000__3[[#This Row],[Total Sales]]&gt;50000,{"Yes"},{"No"})</f>
        <v>Yes</v>
      </c>
      <c r="N1904" s="5">
        <v>46050</v>
      </c>
      <c r="O1904" s="1" t="s">
        <v>58</v>
      </c>
      <c r="P1904" t="s">
        <v>35</v>
      </c>
      <c r="Q1904" t="str">
        <f>IF(Excel_Advanced_Sales_Dataset_2000__3[[#This Row],[Delivery Status]]="Pending","Follow Up","Ok")</f>
        <v>Ok</v>
      </c>
      <c r="R1904" s="1" t="s">
        <v>53</v>
      </c>
      <c r="S1904">
        <f>Excel_Advanced_Sales_Dataset_2000__3[[#This Row],[Quantity]]*Excel_Advanced_Sales_Dataset_2000__3[[#This Row],[Unit Price]]*Excel_Advanced_Sales_Dataset_2000__3[[#This Row],[Discount %]]/100</f>
        <v>66530.317160000021</v>
      </c>
      <c r="T1904" s="4">
        <f>Excel_Advanced_Sales_Dataset_2000__3[[#This Row],[Quantity]]*Excel_Advanced_Sales_Dataset_2000__3[[#This Row],[Unit Price]]-Excel_Advanced_Sales_Dataset_2000__3[[#This Row],[Discount Amount]]</f>
        <v>564088.80284000013</v>
      </c>
    </row>
    <row r="1905" spans="1:20" x14ac:dyDescent="0.25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>
        <v>43</v>
      </c>
      <c r="J1905" s="4">
        <v>20143.62</v>
      </c>
      <c r="K1905" s="6">
        <v>19.73</v>
      </c>
      <c r="L1905" s="4">
        <v>695279.2</v>
      </c>
      <c r="M1905" s="4" t="str" cm="1">
        <f t="array" ref="M1905">IF(Excel_Advanced_Sales_Dataset_2000__3[[#This Row],[Total Sales]]&gt;50000,{"Yes"},{"No"})</f>
        <v>Yes</v>
      </c>
      <c r="N1905" s="5">
        <v>46341</v>
      </c>
      <c r="O1905" s="1" t="s">
        <v>24</v>
      </c>
      <c r="P1905" t="s">
        <v>35</v>
      </c>
      <c r="Q1905" t="str">
        <f>IF(Excel_Advanced_Sales_Dataset_2000__3[[#This Row],[Delivery Status]]="Pending","Follow Up","Ok")</f>
        <v>Ok</v>
      </c>
      <c r="R1905" s="1" t="s">
        <v>36</v>
      </c>
      <c r="S1905">
        <f>Excel_Advanced_Sales_Dataset_2000__3[[#This Row],[Quantity]]*Excel_Advanced_Sales_Dataset_2000__3[[#This Row],[Unit Price]]*Excel_Advanced_Sales_Dataset_2000__3[[#This Row],[Discount %]]/100</f>
        <v>170896.45771799999</v>
      </c>
      <c r="T1905" s="4">
        <f>Excel_Advanced_Sales_Dataset_2000__3[[#This Row],[Quantity]]*Excel_Advanced_Sales_Dataset_2000__3[[#This Row],[Unit Price]]-Excel_Advanced_Sales_Dataset_2000__3[[#This Row],[Discount Amount]]</f>
        <v>695279.20228199987</v>
      </c>
    </row>
    <row r="1906" spans="1:20" x14ac:dyDescent="0.25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>
        <v>2</v>
      </c>
      <c r="J1906" s="4">
        <v>33393.760000000002</v>
      </c>
      <c r="K1906" s="6">
        <v>7.23</v>
      </c>
      <c r="L1906" s="4">
        <v>61958.78</v>
      </c>
      <c r="M1906" s="4" t="str" cm="1">
        <f t="array" ref="M1906">IF(Excel_Advanced_Sales_Dataset_2000__3[[#This Row],[Total Sales]]&gt;50000,{"Yes"},{"No"})</f>
        <v>Yes</v>
      </c>
      <c r="N1906" s="5">
        <v>46277</v>
      </c>
      <c r="O1906" s="1" t="s">
        <v>45</v>
      </c>
      <c r="P1906" t="s">
        <v>59</v>
      </c>
      <c r="Q1906" t="str">
        <f>IF(Excel_Advanced_Sales_Dataset_2000__3[[#This Row],[Delivery Status]]="Pending","Follow Up","Ok")</f>
        <v>Ok</v>
      </c>
      <c r="R1906" s="1" t="s">
        <v>53</v>
      </c>
      <c r="S1906">
        <f>Excel_Advanced_Sales_Dataset_2000__3[[#This Row],[Quantity]]*Excel_Advanced_Sales_Dataset_2000__3[[#This Row],[Unit Price]]*Excel_Advanced_Sales_Dataset_2000__3[[#This Row],[Discount %]]/100</f>
        <v>4828.7376960000001</v>
      </c>
      <c r="T1906" s="4">
        <f>Excel_Advanced_Sales_Dataset_2000__3[[#This Row],[Quantity]]*Excel_Advanced_Sales_Dataset_2000__3[[#This Row],[Unit Price]]-Excel_Advanced_Sales_Dataset_2000__3[[#This Row],[Discount Amount]]</f>
        <v>61958.782304000008</v>
      </c>
    </row>
    <row r="1907" spans="1:20" x14ac:dyDescent="0.25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>
        <v>48</v>
      </c>
      <c r="J1907" s="4">
        <v>25671.279999999999</v>
      </c>
      <c r="K1907" s="6">
        <v>8.82</v>
      </c>
      <c r="L1907" s="4">
        <v>1123539.51</v>
      </c>
      <c r="M1907" s="4" t="str" cm="1">
        <f t="array" ref="M1907">IF(Excel_Advanced_Sales_Dataset_2000__3[[#This Row],[Total Sales]]&gt;50000,{"Yes"},{"No"})</f>
        <v>Yes</v>
      </c>
      <c r="N1907" s="5">
        <v>46308</v>
      </c>
      <c r="O1907" s="1" t="s">
        <v>68</v>
      </c>
      <c r="P1907" t="s">
        <v>35</v>
      </c>
      <c r="Q1907" t="str">
        <f>IF(Excel_Advanced_Sales_Dataset_2000__3[[#This Row],[Delivery Status]]="Pending","Follow Up","Ok")</f>
        <v>Ok</v>
      </c>
      <c r="R1907" s="1" t="s">
        <v>36</v>
      </c>
      <c r="S1907">
        <f>Excel_Advanced_Sales_Dataset_2000__3[[#This Row],[Quantity]]*Excel_Advanced_Sales_Dataset_2000__3[[#This Row],[Unit Price]]*Excel_Advanced_Sales_Dataset_2000__3[[#This Row],[Discount %]]/100</f>
        <v>108681.931008</v>
      </c>
      <c r="T1907" s="4">
        <f>Excel_Advanced_Sales_Dataset_2000__3[[#This Row],[Quantity]]*Excel_Advanced_Sales_Dataset_2000__3[[#This Row],[Unit Price]]-Excel_Advanced_Sales_Dataset_2000__3[[#This Row],[Discount Amount]]</f>
        <v>1123539.508992</v>
      </c>
    </row>
    <row r="1908" spans="1:20" x14ac:dyDescent="0.25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>
        <v>41</v>
      </c>
      <c r="J1908" s="4">
        <v>49049.5</v>
      </c>
      <c r="K1908" s="6">
        <v>5.95</v>
      </c>
      <c r="L1908" s="4">
        <v>1891373.24</v>
      </c>
      <c r="M1908" s="4" t="str" cm="1">
        <f t="array" ref="M1908">IF(Excel_Advanced_Sales_Dataset_2000__3[[#This Row],[Total Sales]]&gt;50000,{"Yes"},{"No"})</f>
        <v>Yes</v>
      </c>
      <c r="N1908" s="5">
        <v>46182</v>
      </c>
      <c r="O1908" s="1" t="s">
        <v>24</v>
      </c>
      <c r="P1908" t="s">
        <v>35</v>
      </c>
      <c r="Q1908" t="str">
        <f>IF(Excel_Advanced_Sales_Dataset_2000__3[[#This Row],[Delivery Status]]="Pending","Follow Up","Ok")</f>
        <v>Ok</v>
      </c>
      <c r="R1908" s="1" t="s">
        <v>36</v>
      </c>
      <c r="S1908">
        <f>Excel_Advanced_Sales_Dataset_2000__3[[#This Row],[Quantity]]*Excel_Advanced_Sales_Dataset_2000__3[[#This Row],[Unit Price]]*Excel_Advanced_Sales_Dataset_2000__3[[#This Row],[Discount %]]/100</f>
        <v>119656.25525</v>
      </c>
      <c r="T1908" s="4">
        <f>Excel_Advanced_Sales_Dataset_2000__3[[#This Row],[Quantity]]*Excel_Advanced_Sales_Dataset_2000__3[[#This Row],[Unit Price]]-Excel_Advanced_Sales_Dataset_2000__3[[#This Row],[Discount Amount]]</f>
        <v>1891373.2447500001</v>
      </c>
    </row>
    <row r="1909" spans="1:20" x14ac:dyDescent="0.25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>
        <v>36</v>
      </c>
      <c r="J1909" s="4">
        <v>20558.91</v>
      </c>
      <c r="K1909" s="6">
        <v>16.170000000000002</v>
      </c>
      <c r="L1909" s="4">
        <v>620443.23</v>
      </c>
      <c r="M1909" s="4" t="str" cm="1">
        <f t="array" ref="M1909">IF(Excel_Advanced_Sales_Dataset_2000__3[[#This Row],[Total Sales]]&gt;50000,{"Yes"},{"No"})</f>
        <v>Yes</v>
      </c>
      <c r="N1909" s="5">
        <v>46233</v>
      </c>
      <c r="O1909" s="1" t="s">
        <v>113</v>
      </c>
      <c r="P1909" t="s">
        <v>35</v>
      </c>
      <c r="Q1909" t="str">
        <f>IF(Excel_Advanced_Sales_Dataset_2000__3[[#This Row],[Delivery Status]]="Pending","Follow Up","Ok")</f>
        <v>Ok</v>
      </c>
      <c r="R1909" s="1" t="s">
        <v>26</v>
      </c>
      <c r="S1909">
        <f>Excel_Advanced_Sales_Dataset_2000__3[[#This Row],[Quantity]]*Excel_Advanced_Sales_Dataset_2000__3[[#This Row],[Unit Price]]*Excel_Advanced_Sales_Dataset_2000__3[[#This Row],[Discount %]]/100</f>
        <v>119677.52689200001</v>
      </c>
      <c r="T1909" s="4">
        <f>Excel_Advanced_Sales_Dataset_2000__3[[#This Row],[Quantity]]*Excel_Advanced_Sales_Dataset_2000__3[[#This Row],[Unit Price]]-Excel_Advanced_Sales_Dataset_2000__3[[#This Row],[Discount Amount]]</f>
        <v>620443.23310800001</v>
      </c>
    </row>
    <row r="1910" spans="1:20" x14ac:dyDescent="0.25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>
        <v>50</v>
      </c>
      <c r="J1910" s="4">
        <v>47493.81</v>
      </c>
      <c r="K1910" s="6">
        <v>8.39</v>
      </c>
      <c r="L1910" s="4">
        <v>2175453.9700000002</v>
      </c>
      <c r="M1910" s="4" t="str" cm="1">
        <f t="array" ref="M1910">IF(Excel_Advanced_Sales_Dataset_2000__3[[#This Row],[Total Sales]]&gt;50000,{"Yes"},{"No"})</f>
        <v>Yes</v>
      </c>
      <c r="N1910" s="5">
        <v>46261</v>
      </c>
      <c r="O1910" s="1" t="s">
        <v>24</v>
      </c>
      <c r="P1910" t="s">
        <v>59</v>
      </c>
      <c r="Q1910" t="str">
        <f>IF(Excel_Advanced_Sales_Dataset_2000__3[[#This Row],[Delivery Status]]="Pending","Follow Up","Ok")</f>
        <v>Ok</v>
      </c>
      <c r="R1910" s="1" t="s">
        <v>26</v>
      </c>
      <c r="S1910">
        <f>Excel_Advanced_Sales_Dataset_2000__3[[#This Row],[Quantity]]*Excel_Advanced_Sales_Dataset_2000__3[[#This Row],[Unit Price]]*Excel_Advanced_Sales_Dataset_2000__3[[#This Row],[Discount %]]/100</f>
        <v>199236.53295000002</v>
      </c>
      <c r="T1910" s="4">
        <f>Excel_Advanced_Sales_Dataset_2000__3[[#This Row],[Quantity]]*Excel_Advanced_Sales_Dataset_2000__3[[#This Row],[Unit Price]]-Excel_Advanced_Sales_Dataset_2000__3[[#This Row],[Discount Amount]]</f>
        <v>2175453.9670500001</v>
      </c>
    </row>
    <row r="1911" spans="1:20" x14ac:dyDescent="0.25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>
        <v>38</v>
      </c>
      <c r="J1911" s="4">
        <v>42394.46</v>
      </c>
      <c r="K1911" s="6">
        <v>16.100000000000001</v>
      </c>
      <c r="L1911" s="4">
        <v>1351620.17</v>
      </c>
      <c r="M1911" s="4" t="str" cm="1">
        <f t="array" ref="M1911">IF(Excel_Advanced_Sales_Dataset_2000__3[[#This Row],[Total Sales]]&gt;50000,{"Yes"},{"No"})</f>
        <v>Yes</v>
      </c>
      <c r="N1911" s="5">
        <v>46382</v>
      </c>
      <c r="O1911" s="1" t="s">
        <v>45</v>
      </c>
      <c r="P1911" t="s">
        <v>25</v>
      </c>
      <c r="Q1911" t="str">
        <f>IF(Excel_Advanced_Sales_Dataset_2000__3[[#This Row],[Delivery Status]]="Pending","Follow Up","Ok")</f>
        <v>Follow Up</v>
      </c>
      <c r="R1911" s="1" t="s">
        <v>26</v>
      </c>
      <c r="S1911">
        <f>Excel_Advanced_Sales_Dataset_2000__3[[#This Row],[Quantity]]*Excel_Advanced_Sales_Dataset_2000__3[[#This Row],[Unit Price]]*Excel_Advanced_Sales_Dataset_2000__3[[#This Row],[Discount %]]/100</f>
        <v>259369.30628000002</v>
      </c>
      <c r="T1911" s="4">
        <f>Excel_Advanced_Sales_Dataset_2000__3[[#This Row],[Quantity]]*Excel_Advanced_Sales_Dataset_2000__3[[#This Row],[Unit Price]]-Excel_Advanced_Sales_Dataset_2000__3[[#This Row],[Discount Amount]]</f>
        <v>1351620.1737199998</v>
      </c>
    </row>
    <row r="1912" spans="1:20" x14ac:dyDescent="0.25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>
        <v>6</v>
      </c>
      <c r="J1912" s="4">
        <v>29148</v>
      </c>
      <c r="K1912" s="6">
        <v>6.98</v>
      </c>
      <c r="L1912" s="4">
        <v>162680.82</v>
      </c>
      <c r="M1912" s="4" t="str" cm="1">
        <f t="array" ref="M1912">IF(Excel_Advanced_Sales_Dataset_2000__3[[#This Row],[Total Sales]]&gt;50000,{"Yes"},{"No"})</f>
        <v>Yes</v>
      </c>
      <c r="N1912" s="5">
        <v>46148</v>
      </c>
      <c r="O1912" s="1" t="s">
        <v>58</v>
      </c>
      <c r="P1912" t="s">
        <v>35</v>
      </c>
      <c r="Q1912" t="str">
        <f>IF(Excel_Advanced_Sales_Dataset_2000__3[[#This Row],[Delivery Status]]="Pending","Follow Up","Ok")</f>
        <v>Ok</v>
      </c>
      <c r="R1912" s="1" t="s">
        <v>53</v>
      </c>
      <c r="S1912">
        <f>Excel_Advanced_Sales_Dataset_2000__3[[#This Row],[Quantity]]*Excel_Advanced_Sales_Dataset_2000__3[[#This Row],[Unit Price]]*Excel_Advanced_Sales_Dataset_2000__3[[#This Row],[Discount %]]/100</f>
        <v>12207.1824</v>
      </c>
      <c r="T1912" s="4">
        <f>Excel_Advanced_Sales_Dataset_2000__3[[#This Row],[Quantity]]*Excel_Advanced_Sales_Dataset_2000__3[[#This Row],[Unit Price]]-Excel_Advanced_Sales_Dataset_2000__3[[#This Row],[Discount Amount]]</f>
        <v>162680.81760000001</v>
      </c>
    </row>
    <row r="1913" spans="1:20" x14ac:dyDescent="0.25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>
        <v>8</v>
      </c>
      <c r="J1913" s="4">
        <v>46004.57</v>
      </c>
      <c r="K1913" s="6">
        <v>19.05</v>
      </c>
      <c r="L1913" s="4">
        <v>297925.59999999998</v>
      </c>
      <c r="M1913" s="4" t="str" cm="1">
        <f t="array" ref="M1913">IF(Excel_Advanced_Sales_Dataset_2000__3[[#This Row],[Total Sales]]&gt;50000,{"Yes"},{"No"})</f>
        <v>Yes</v>
      </c>
      <c r="N1913" s="5">
        <v>46075</v>
      </c>
      <c r="O1913" s="1" t="s">
        <v>45</v>
      </c>
      <c r="P1913" t="s">
        <v>35</v>
      </c>
      <c r="Q1913" t="str">
        <f>IF(Excel_Advanced_Sales_Dataset_2000__3[[#This Row],[Delivery Status]]="Pending","Follow Up","Ok")</f>
        <v>Ok</v>
      </c>
      <c r="R1913" s="1" t="s">
        <v>36</v>
      </c>
      <c r="S1913">
        <f>Excel_Advanced_Sales_Dataset_2000__3[[#This Row],[Quantity]]*Excel_Advanced_Sales_Dataset_2000__3[[#This Row],[Unit Price]]*Excel_Advanced_Sales_Dataset_2000__3[[#This Row],[Discount %]]/100</f>
        <v>70110.964680000005</v>
      </c>
      <c r="T1913" s="4">
        <f>Excel_Advanced_Sales_Dataset_2000__3[[#This Row],[Quantity]]*Excel_Advanced_Sales_Dataset_2000__3[[#This Row],[Unit Price]]-Excel_Advanced_Sales_Dataset_2000__3[[#This Row],[Discount Amount]]</f>
        <v>297925.59531999996</v>
      </c>
    </row>
    <row r="1914" spans="1:20" x14ac:dyDescent="0.25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>
        <v>26</v>
      </c>
      <c r="J1914" s="4">
        <v>4783.57</v>
      </c>
      <c r="K1914" s="6">
        <v>17.48</v>
      </c>
      <c r="L1914" s="4">
        <v>102632.45</v>
      </c>
      <c r="M1914" s="4" t="str" cm="1">
        <f t="array" ref="M1914">IF(Excel_Advanced_Sales_Dataset_2000__3[[#This Row],[Total Sales]]&gt;50000,{"Yes"},{"No"})</f>
        <v>Yes</v>
      </c>
      <c r="N1914" s="5">
        <v>46259</v>
      </c>
      <c r="O1914" s="1" t="s">
        <v>68</v>
      </c>
      <c r="P1914" t="s">
        <v>35</v>
      </c>
      <c r="Q1914" t="str">
        <f>IF(Excel_Advanced_Sales_Dataset_2000__3[[#This Row],[Delivery Status]]="Pending","Follow Up","Ok")</f>
        <v>Ok</v>
      </c>
      <c r="R1914" s="1" t="s">
        <v>26</v>
      </c>
      <c r="S1914">
        <f>Excel_Advanced_Sales_Dataset_2000__3[[#This Row],[Quantity]]*Excel_Advanced_Sales_Dataset_2000__3[[#This Row],[Unit Price]]*Excel_Advanced_Sales_Dataset_2000__3[[#This Row],[Discount %]]/100</f>
        <v>21740.368935999999</v>
      </c>
      <c r="T1914" s="4">
        <f>Excel_Advanced_Sales_Dataset_2000__3[[#This Row],[Quantity]]*Excel_Advanced_Sales_Dataset_2000__3[[#This Row],[Unit Price]]-Excel_Advanced_Sales_Dataset_2000__3[[#This Row],[Discount Amount]]</f>
        <v>102632.45106399999</v>
      </c>
    </row>
    <row r="1915" spans="1:20" x14ac:dyDescent="0.25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>
        <v>50</v>
      </c>
      <c r="J1915" s="4">
        <v>31298.42</v>
      </c>
      <c r="K1915" s="6">
        <v>14.76</v>
      </c>
      <c r="L1915" s="4">
        <v>1333938.6599999999</v>
      </c>
      <c r="M1915" s="4" t="str" cm="1">
        <f t="array" ref="M1915">IF(Excel_Advanced_Sales_Dataset_2000__3[[#This Row],[Total Sales]]&gt;50000,{"Yes"},{"No"})</f>
        <v>Yes</v>
      </c>
      <c r="N1915" s="5">
        <v>46073</v>
      </c>
      <c r="O1915" s="1" t="s">
        <v>113</v>
      </c>
      <c r="P1915" t="s">
        <v>35</v>
      </c>
      <c r="Q1915" t="str">
        <f>IF(Excel_Advanced_Sales_Dataset_2000__3[[#This Row],[Delivery Status]]="Pending","Follow Up","Ok")</f>
        <v>Ok</v>
      </c>
      <c r="R1915" s="1" t="s">
        <v>36</v>
      </c>
      <c r="S1915">
        <f>Excel_Advanced_Sales_Dataset_2000__3[[#This Row],[Quantity]]*Excel_Advanced_Sales_Dataset_2000__3[[#This Row],[Unit Price]]*Excel_Advanced_Sales_Dataset_2000__3[[#This Row],[Discount %]]/100</f>
        <v>230982.33960000001</v>
      </c>
      <c r="T1915" s="4">
        <f>Excel_Advanced_Sales_Dataset_2000__3[[#This Row],[Quantity]]*Excel_Advanced_Sales_Dataset_2000__3[[#This Row],[Unit Price]]-Excel_Advanced_Sales_Dataset_2000__3[[#This Row],[Discount Amount]]</f>
        <v>1333938.6603999999</v>
      </c>
    </row>
    <row r="1916" spans="1:20" x14ac:dyDescent="0.25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>
        <v>28</v>
      </c>
      <c r="J1916" s="4">
        <v>35690.29</v>
      </c>
      <c r="K1916" s="6">
        <v>18.100000000000001</v>
      </c>
      <c r="L1916" s="4">
        <v>818449.73</v>
      </c>
      <c r="M1916" s="4" t="str" cm="1">
        <f t="array" ref="M1916">IF(Excel_Advanced_Sales_Dataset_2000__3[[#This Row],[Total Sales]]&gt;50000,{"Yes"},{"No"})</f>
        <v>Yes</v>
      </c>
      <c r="N1916" s="5">
        <v>46333</v>
      </c>
      <c r="O1916" s="1" t="s">
        <v>68</v>
      </c>
      <c r="P1916" t="s">
        <v>35</v>
      </c>
      <c r="Q1916" t="str">
        <f>IF(Excel_Advanced_Sales_Dataset_2000__3[[#This Row],[Delivery Status]]="Pending","Follow Up","Ok")</f>
        <v>Ok</v>
      </c>
      <c r="R1916" s="1" t="s">
        <v>36</v>
      </c>
      <c r="S1916">
        <f>Excel_Advanced_Sales_Dataset_2000__3[[#This Row],[Quantity]]*Excel_Advanced_Sales_Dataset_2000__3[[#This Row],[Unit Price]]*Excel_Advanced_Sales_Dataset_2000__3[[#This Row],[Discount %]]/100</f>
        <v>180878.38972000004</v>
      </c>
      <c r="T1916" s="4">
        <f>Excel_Advanced_Sales_Dataset_2000__3[[#This Row],[Quantity]]*Excel_Advanced_Sales_Dataset_2000__3[[#This Row],[Unit Price]]-Excel_Advanced_Sales_Dataset_2000__3[[#This Row],[Discount Amount]]</f>
        <v>818449.73028000002</v>
      </c>
    </row>
    <row r="1917" spans="1:20" x14ac:dyDescent="0.25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>
        <v>16</v>
      </c>
      <c r="J1917" s="4">
        <v>15135.44</v>
      </c>
      <c r="K1917" s="6">
        <v>6.64</v>
      </c>
      <c r="L1917" s="4">
        <v>226087.15</v>
      </c>
      <c r="M1917" s="4" t="str" cm="1">
        <f t="array" ref="M1917">IF(Excel_Advanced_Sales_Dataset_2000__3[[#This Row],[Total Sales]]&gt;50000,{"Yes"},{"No"})</f>
        <v>Yes</v>
      </c>
      <c r="N1917" s="5">
        <v>46377</v>
      </c>
      <c r="O1917" s="1" t="s">
        <v>24</v>
      </c>
      <c r="P1917" t="s">
        <v>35</v>
      </c>
      <c r="Q1917" t="str">
        <f>IF(Excel_Advanced_Sales_Dataset_2000__3[[#This Row],[Delivery Status]]="Pending","Follow Up","Ok")</f>
        <v>Ok</v>
      </c>
      <c r="R1917" s="1" t="s">
        <v>36</v>
      </c>
      <c r="S1917">
        <f>Excel_Advanced_Sales_Dataset_2000__3[[#This Row],[Quantity]]*Excel_Advanced_Sales_Dataset_2000__3[[#This Row],[Unit Price]]*Excel_Advanced_Sales_Dataset_2000__3[[#This Row],[Discount %]]/100</f>
        <v>16079.891455999999</v>
      </c>
      <c r="T1917" s="4">
        <f>Excel_Advanced_Sales_Dataset_2000__3[[#This Row],[Quantity]]*Excel_Advanced_Sales_Dataset_2000__3[[#This Row],[Unit Price]]-Excel_Advanced_Sales_Dataset_2000__3[[#This Row],[Discount Amount]]</f>
        <v>226087.148544</v>
      </c>
    </row>
    <row r="1918" spans="1:20" x14ac:dyDescent="0.25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>
        <v>16</v>
      </c>
      <c r="J1918" s="4">
        <v>6407.3</v>
      </c>
      <c r="K1918" s="6">
        <v>11.2</v>
      </c>
      <c r="L1918" s="4">
        <v>91034.92</v>
      </c>
      <c r="M1918" s="4" t="str" cm="1">
        <f t="array" ref="M1918">IF(Excel_Advanced_Sales_Dataset_2000__3[[#This Row],[Total Sales]]&gt;50000,{"Yes"},{"No"})</f>
        <v>Yes</v>
      </c>
      <c r="N1918" s="5">
        <v>46275</v>
      </c>
      <c r="O1918" s="1" t="s">
        <v>24</v>
      </c>
      <c r="P1918" t="s">
        <v>35</v>
      </c>
      <c r="Q1918" t="str">
        <f>IF(Excel_Advanced_Sales_Dataset_2000__3[[#This Row],[Delivery Status]]="Pending","Follow Up","Ok")</f>
        <v>Ok</v>
      </c>
      <c r="R1918" s="1" t="s">
        <v>53</v>
      </c>
      <c r="S1918">
        <f>Excel_Advanced_Sales_Dataset_2000__3[[#This Row],[Quantity]]*Excel_Advanced_Sales_Dataset_2000__3[[#This Row],[Unit Price]]*Excel_Advanced_Sales_Dataset_2000__3[[#This Row],[Discount %]]/100</f>
        <v>11481.881599999999</v>
      </c>
      <c r="T1918" s="4">
        <f>Excel_Advanced_Sales_Dataset_2000__3[[#This Row],[Quantity]]*Excel_Advanced_Sales_Dataset_2000__3[[#This Row],[Unit Price]]-Excel_Advanced_Sales_Dataset_2000__3[[#This Row],[Discount Amount]]</f>
        <v>91034.91840000001</v>
      </c>
    </row>
    <row r="1919" spans="1:20" x14ac:dyDescent="0.25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>
        <v>48</v>
      </c>
      <c r="J1919" s="4">
        <v>48514.71</v>
      </c>
      <c r="K1919" s="6">
        <v>5.93</v>
      </c>
      <c r="L1919" s="4">
        <v>2190613.81</v>
      </c>
      <c r="M1919" s="4" t="str" cm="1">
        <f t="array" ref="M1919">IF(Excel_Advanced_Sales_Dataset_2000__3[[#This Row],[Total Sales]]&gt;50000,{"Yes"},{"No"})</f>
        <v>Yes</v>
      </c>
      <c r="N1919" s="5">
        <v>46311</v>
      </c>
      <c r="O1919" s="1" t="s">
        <v>113</v>
      </c>
      <c r="P1919" t="s">
        <v>35</v>
      </c>
      <c r="Q1919" t="str">
        <f>IF(Excel_Advanced_Sales_Dataset_2000__3[[#This Row],[Delivery Status]]="Pending","Follow Up","Ok")</f>
        <v>Ok</v>
      </c>
      <c r="R1919" s="1" t="s">
        <v>26</v>
      </c>
      <c r="S1919">
        <f>Excel_Advanced_Sales_Dataset_2000__3[[#This Row],[Quantity]]*Excel_Advanced_Sales_Dataset_2000__3[[#This Row],[Unit Price]]*Excel_Advanced_Sales_Dataset_2000__3[[#This Row],[Discount %]]/100</f>
        <v>138092.270544</v>
      </c>
      <c r="T1919" s="4">
        <f>Excel_Advanced_Sales_Dataset_2000__3[[#This Row],[Quantity]]*Excel_Advanced_Sales_Dataset_2000__3[[#This Row],[Unit Price]]-Excel_Advanced_Sales_Dataset_2000__3[[#This Row],[Discount Amount]]</f>
        <v>2190613.8094560001</v>
      </c>
    </row>
    <row r="1920" spans="1:20" x14ac:dyDescent="0.25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>
        <v>20</v>
      </c>
      <c r="J1920" s="4">
        <v>11757.43</v>
      </c>
      <c r="K1920" s="6">
        <v>6.42</v>
      </c>
      <c r="L1920" s="4">
        <v>220052.06</v>
      </c>
      <c r="M1920" s="4" t="str" cm="1">
        <f t="array" ref="M1920">IF(Excel_Advanced_Sales_Dataset_2000__3[[#This Row],[Total Sales]]&gt;50000,{"Yes"},{"No"})</f>
        <v>Yes</v>
      </c>
      <c r="N1920" s="5">
        <v>46097</v>
      </c>
      <c r="O1920" s="1" t="s">
        <v>58</v>
      </c>
      <c r="P1920" t="s">
        <v>35</v>
      </c>
      <c r="Q1920" t="str">
        <f>IF(Excel_Advanced_Sales_Dataset_2000__3[[#This Row],[Delivery Status]]="Pending","Follow Up","Ok")</f>
        <v>Ok</v>
      </c>
      <c r="R1920" s="1" t="s">
        <v>53</v>
      </c>
      <c r="S1920">
        <f>Excel_Advanced_Sales_Dataset_2000__3[[#This Row],[Quantity]]*Excel_Advanced_Sales_Dataset_2000__3[[#This Row],[Unit Price]]*Excel_Advanced_Sales_Dataset_2000__3[[#This Row],[Discount %]]/100</f>
        <v>15096.540120000001</v>
      </c>
      <c r="T1920" s="4">
        <f>Excel_Advanced_Sales_Dataset_2000__3[[#This Row],[Quantity]]*Excel_Advanced_Sales_Dataset_2000__3[[#This Row],[Unit Price]]-Excel_Advanced_Sales_Dataset_2000__3[[#This Row],[Discount Amount]]</f>
        <v>220052.05988000002</v>
      </c>
    </row>
    <row r="1921" spans="1:20" x14ac:dyDescent="0.25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>
        <v>12</v>
      </c>
      <c r="J1921" s="4">
        <v>20826.349999999999</v>
      </c>
      <c r="K1921" s="6">
        <v>7.54</v>
      </c>
      <c r="L1921" s="4">
        <v>231072.52</v>
      </c>
      <c r="M1921" s="4" t="str" cm="1">
        <f t="array" ref="M1921">IF(Excel_Advanced_Sales_Dataset_2000__3[[#This Row],[Total Sales]]&gt;50000,{"Yes"},{"No"})</f>
        <v>Yes</v>
      </c>
      <c r="N1921" s="5">
        <v>46285</v>
      </c>
      <c r="O1921" s="1" t="s">
        <v>24</v>
      </c>
      <c r="P1921" t="s">
        <v>35</v>
      </c>
      <c r="Q1921" t="str">
        <f>IF(Excel_Advanced_Sales_Dataset_2000__3[[#This Row],[Delivery Status]]="Pending","Follow Up","Ok")</f>
        <v>Ok</v>
      </c>
      <c r="R1921" s="1" t="s">
        <v>36</v>
      </c>
      <c r="S1921">
        <f>Excel_Advanced_Sales_Dataset_2000__3[[#This Row],[Quantity]]*Excel_Advanced_Sales_Dataset_2000__3[[#This Row],[Unit Price]]*Excel_Advanced_Sales_Dataset_2000__3[[#This Row],[Discount %]]/100</f>
        <v>18843.681479999999</v>
      </c>
      <c r="T1921" s="4">
        <f>Excel_Advanced_Sales_Dataset_2000__3[[#This Row],[Quantity]]*Excel_Advanced_Sales_Dataset_2000__3[[#This Row],[Unit Price]]-Excel_Advanced_Sales_Dataset_2000__3[[#This Row],[Discount Amount]]</f>
        <v>231072.51851999998</v>
      </c>
    </row>
    <row r="1922" spans="1:20" x14ac:dyDescent="0.25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>
        <v>48</v>
      </c>
      <c r="J1922" s="4">
        <v>5415.17</v>
      </c>
      <c r="K1922" s="6">
        <v>14.92</v>
      </c>
      <c r="L1922" s="4">
        <v>221146.88</v>
      </c>
      <c r="M1922" s="4" t="str" cm="1">
        <f t="array" ref="M1922">IF(Excel_Advanced_Sales_Dataset_2000__3[[#This Row],[Total Sales]]&gt;50000,{"Yes"},{"No"})</f>
        <v>Yes</v>
      </c>
      <c r="N1922" s="5">
        <v>46134</v>
      </c>
      <c r="O1922" s="1" t="s">
        <v>45</v>
      </c>
      <c r="P1922" t="s">
        <v>35</v>
      </c>
      <c r="Q1922" t="str">
        <f>IF(Excel_Advanced_Sales_Dataset_2000__3[[#This Row],[Delivery Status]]="Pending","Follow Up","Ok")</f>
        <v>Ok</v>
      </c>
      <c r="R1922" s="1" t="s">
        <v>53</v>
      </c>
      <c r="S1922">
        <f>Excel_Advanced_Sales_Dataset_2000__3[[#This Row],[Quantity]]*Excel_Advanced_Sales_Dataset_2000__3[[#This Row],[Unit Price]]*Excel_Advanced_Sales_Dataset_2000__3[[#This Row],[Discount %]]/100</f>
        <v>38781.281472000002</v>
      </c>
      <c r="T1922" s="4">
        <f>Excel_Advanced_Sales_Dataset_2000__3[[#This Row],[Quantity]]*Excel_Advanced_Sales_Dataset_2000__3[[#This Row],[Unit Price]]-Excel_Advanced_Sales_Dataset_2000__3[[#This Row],[Discount Amount]]</f>
        <v>221146.878528</v>
      </c>
    </row>
    <row r="1923" spans="1:20" x14ac:dyDescent="0.25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>
        <v>33</v>
      </c>
      <c r="J1923" s="4">
        <v>4190.7299999999996</v>
      </c>
      <c r="K1923" s="6">
        <v>19.57</v>
      </c>
      <c r="L1923" s="4">
        <v>111229.94</v>
      </c>
      <c r="M1923" s="4" t="str" cm="1">
        <f t="array" ref="M1923">IF(Excel_Advanced_Sales_Dataset_2000__3[[#This Row],[Total Sales]]&gt;50000,{"Yes"},{"No"})</f>
        <v>Yes</v>
      </c>
      <c r="N1923" s="5">
        <v>46062</v>
      </c>
      <c r="O1923" s="1" t="s">
        <v>113</v>
      </c>
      <c r="P1923" t="s">
        <v>35</v>
      </c>
      <c r="Q1923" t="str">
        <f>IF(Excel_Advanced_Sales_Dataset_2000__3[[#This Row],[Delivery Status]]="Pending","Follow Up","Ok")</f>
        <v>Ok</v>
      </c>
      <c r="R1923" s="1" t="s">
        <v>36</v>
      </c>
      <c r="S1923">
        <f>Excel_Advanced_Sales_Dataset_2000__3[[#This Row],[Quantity]]*Excel_Advanced_Sales_Dataset_2000__3[[#This Row],[Unit Price]]*Excel_Advanced_Sales_Dataset_2000__3[[#This Row],[Discount %]]/100</f>
        <v>27064.153413</v>
      </c>
      <c r="T1923" s="4">
        <f>Excel_Advanced_Sales_Dataset_2000__3[[#This Row],[Quantity]]*Excel_Advanced_Sales_Dataset_2000__3[[#This Row],[Unit Price]]-Excel_Advanced_Sales_Dataset_2000__3[[#This Row],[Discount Amount]]</f>
        <v>111229.936587</v>
      </c>
    </row>
    <row r="1924" spans="1:20" x14ac:dyDescent="0.25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>
        <v>11</v>
      </c>
      <c r="J1924" s="4">
        <v>47362.59</v>
      </c>
      <c r="K1924" s="6">
        <v>3.31</v>
      </c>
      <c r="L1924" s="4">
        <v>503743.77</v>
      </c>
      <c r="M1924" s="4" t="str" cm="1">
        <f t="array" ref="M1924">IF(Excel_Advanced_Sales_Dataset_2000__3[[#This Row],[Total Sales]]&gt;50000,{"Yes"},{"No"})</f>
        <v>Yes</v>
      </c>
      <c r="N1924" s="5">
        <v>46237</v>
      </c>
      <c r="O1924" s="1" t="s">
        <v>24</v>
      </c>
      <c r="P1924" t="s">
        <v>35</v>
      </c>
      <c r="Q1924" t="str">
        <f>IF(Excel_Advanced_Sales_Dataset_2000__3[[#This Row],[Delivery Status]]="Pending","Follow Up","Ok")</f>
        <v>Ok</v>
      </c>
      <c r="R1924" s="1" t="s">
        <v>53</v>
      </c>
      <c r="S1924">
        <f>Excel_Advanced_Sales_Dataset_2000__3[[#This Row],[Quantity]]*Excel_Advanced_Sales_Dataset_2000__3[[#This Row],[Unit Price]]*Excel_Advanced_Sales_Dataset_2000__3[[#This Row],[Discount %]]/100</f>
        <v>17244.719019</v>
      </c>
      <c r="T1924" s="4">
        <f>Excel_Advanced_Sales_Dataset_2000__3[[#This Row],[Quantity]]*Excel_Advanced_Sales_Dataset_2000__3[[#This Row],[Unit Price]]-Excel_Advanced_Sales_Dataset_2000__3[[#This Row],[Discount Amount]]</f>
        <v>503743.77098099998</v>
      </c>
    </row>
    <row r="1925" spans="1:20" x14ac:dyDescent="0.25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>
        <v>49</v>
      </c>
      <c r="J1925" s="4">
        <v>27818.01</v>
      </c>
      <c r="K1925" s="6">
        <v>10.44</v>
      </c>
      <c r="L1925" s="4">
        <v>1220776.68</v>
      </c>
      <c r="M1925" s="4" t="str" cm="1">
        <f t="array" ref="M1925">IF(Excel_Advanced_Sales_Dataset_2000__3[[#This Row],[Total Sales]]&gt;50000,{"Yes"},{"No"})</f>
        <v>Yes</v>
      </c>
      <c r="N1925" s="5">
        <v>46376</v>
      </c>
      <c r="O1925" s="1" t="s">
        <v>58</v>
      </c>
      <c r="P1925" t="s">
        <v>35</v>
      </c>
      <c r="Q1925" t="str">
        <f>IF(Excel_Advanced_Sales_Dataset_2000__3[[#This Row],[Delivery Status]]="Pending","Follow Up","Ok")</f>
        <v>Ok</v>
      </c>
      <c r="R1925" s="1" t="s">
        <v>36</v>
      </c>
      <c r="S1925">
        <f>Excel_Advanced_Sales_Dataset_2000__3[[#This Row],[Quantity]]*Excel_Advanced_Sales_Dataset_2000__3[[#This Row],[Unit Price]]*Excel_Advanced_Sales_Dataset_2000__3[[#This Row],[Discount %]]/100</f>
        <v>142305.81195599999</v>
      </c>
      <c r="T1925" s="4">
        <f>Excel_Advanced_Sales_Dataset_2000__3[[#This Row],[Quantity]]*Excel_Advanced_Sales_Dataset_2000__3[[#This Row],[Unit Price]]-Excel_Advanced_Sales_Dataset_2000__3[[#This Row],[Discount Amount]]</f>
        <v>1220776.6780439999</v>
      </c>
    </row>
    <row r="1926" spans="1:20" x14ac:dyDescent="0.25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>
        <v>25</v>
      </c>
      <c r="J1926" s="4">
        <v>25421.43</v>
      </c>
      <c r="K1926" s="6">
        <v>13.32</v>
      </c>
      <c r="L1926" s="4">
        <v>550882.39</v>
      </c>
      <c r="M1926" s="4" t="str" cm="1">
        <f t="array" ref="M1926">IF(Excel_Advanced_Sales_Dataset_2000__3[[#This Row],[Total Sales]]&gt;50000,{"Yes"},{"No"})</f>
        <v>Yes</v>
      </c>
      <c r="N1926" s="5">
        <v>46199</v>
      </c>
      <c r="O1926" s="1" t="s">
        <v>58</v>
      </c>
      <c r="P1926" t="s">
        <v>35</v>
      </c>
      <c r="Q1926" t="str">
        <f>IF(Excel_Advanced_Sales_Dataset_2000__3[[#This Row],[Delivery Status]]="Pending","Follow Up","Ok")</f>
        <v>Ok</v>
      </c>
      <c r="R1926" s="1" t="s">
        <v>36</v>
      </c>
      <c r="S1926">
        <f>Excel_Advanced_Sales_Dataset_2000__3[[#This Row],[Quantity]]*Excel_Advanced_Sales_Dataset_2000__3[[#This Row],[Unit Price]]*Excel_Advanced_Sales_Dataset_2000__3[[#This Row],[Discount %]]/100</f>
        <v>84653.361899999989</v>
      </c>
      <c r="T1926" s="4">
        <f>Excel_Advanced_Sales_Dataset_2000__3[[#This Row],[Quantity]]*Excel_Advanced_Sales_Dataset_2000__3[[#This Row],[Unit Price]]-Excel_Advanced_Sales_Dataset_2000__3[[#This Row],[Discount Amount]]</f>
        <v>550882.38809999998</v>
      </c>
    </row>
    <row r="1927" spans="1:20" x14ac:dyDescent="0.25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>
        <v>11</v>
      </c>
      <c r="J1927" s="4">
        <v>19069.91</v>
      </c>
      <c r="K1927" s="6">
        <v>17.079999999999998</v>
      </c>
      <c r="L1927" s="4">
        <v>173940.46</v>
      </c>
      <c r="M1927" s="4" t="str" cm="1">
        <f t="array" ref="M1927">IF(Excel_Advanced_Sales_Dataset_2000__3[[#This Row],[Total Sales]]&gt;50000,{"Yes"},{"No"})</f>
        <v>Yes</v>
      </c>
      <c r="N1927" s="5">
        <v>46215</v>
      </c>
      <c r="O1927" s="1" t="s">
        <v>24</v>
      </c>
      <c r="P1927" t="s">
        <v>35</v>
      </c>
      <c r="Q1927" t="str">
        <f>IF(Excel_Advanced_Sales_Dataset_2000__3[[#This Row],[Delivery Status]]="Pending","Follow Up","Ok")</f>
        <v>Ok</v>
      </c>
      <c r="R1927" s="1" t="s">
        <v>53</v>
      </c>
      <c r="S1927">
        <f>Excel_Advanced_Sales_Dataset_2000__3[[#This Row],[Quantity]]*Excel_Advanced_Sales_Dataset_2000__3[[#This Row],[Unit Price]]*Excel_Advanced_Sales_Dataset_2000__3[[#This Row],[Discount %]]/100</f>
        <v>35828.546907999997</v>
      </c>
      <c r="T1927" s="4">
        <f>Excel_Advanced_Sales_Dataset_2000__3[[#This Row],[Quantity]]*Excel_Advanced_Sales_Dataset_2000__3[[#This Row],[Unit Price]]-Excel_Advanced_Sales_Dataset_2000__3[[#This Row],[Discount Amount]]</f>
        <v>173940.46309200002</v>
      </c>
    </row>
    <row r="1928" spans="1:20" x14ac:dyDescent="0.25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>
        <v>8</v>
      </c>
      <c r="J1928" s="4">
        <v>8930.07</v>
      </c>
      <c r="K1928" s="6">
        <v>15.81</v>
      </c>
      <c r="L1928" s="4">
        <v>60145.81</v>
      </c>
      <c r="M1928" s="4" t="str" cm="1">
        <f t="array" ref="M1928">IF(Excel_Advanced_Sales_Dataset_2000__3[[#This Row],[Total Sales]]&gt;50000,{"Yes"},{"No"})</f>
        <v>Yes</v>
      </c>
      <c r="N1928" s="5">
        <v>46336</v>
      </c>
      <c r="O1928" s="1" t="s">
        <v>45</v>
      </c>
      <c r="P1928" t="s">
        <v>35</v>
      </c>
      <c r="Q1928" t="str">
        <f>IF(Excel_Advanced_Sales_Dataset_2000__3[[#This Row],[Delivery Status]]="Pending","Follow Up","Ok")</f>
        <v>Ok</v>
      </c>
      <c r="R1928" s="1" t="s">
        <v>26</v>
      </c>
      <c r="S1928">
        <f>Excel_Advanced_Sales_Dataset_2000__3[[#This Row],[Quantity]]*Excel_Advanced_Sales_Dataset_2000__3[[#This Row],[Unit Price]]*Excel_Advanced_Sales_Dataset_2000__3[[#This Row],[Discount %]]/100</f>
        <v>11294.752536</v>
      </c>
      <c r="T1928" s="4">
        <f>Excel_Advanced_Sales_Dataset_2000__3[[#This Row],[Quantity]]*Excel_Advanced_Sales_Dataset_2000__3[[#This Row],[Unit Price]]-Excel_Advanced_Sales_Dataset_2000__3[[#This Row],[Discount Amount]]</f>
        <v>60145.807463999998</v>
      </c>
    </row>
    <row r="1929" spans="1:20" x14ac:dyDescent="0.25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>
        <v>36</v>
      </c>
      <c r="J1929" s="4">
        <v>32035.66</v>
      </c>
      <c r="K1929" s="6">
        <v>14.91</v>
      </c>
      <c r="L1929" s="4">
        <v>981329.15</v>
      </c>
      <c r="M1929" s="4" t="str" cm="1">
        <f t="array" ref="M1929">IF(Excel_Advanced_Sales_Dataset_2000__3[[#This Row],[Total Sales]]&gt;50000,{"Yes"},{"No"})</f>
        <v>Yes</v>
      </c>
      <c r="N1929" s="5">
        <v>46285</v>
      </c>
      <c r="O1929" s="1" t="s">
        <v>68</v>
      </c>
      <c r="P1929" t="s">
        <v>35</v>
      </c>
      <c r="Q1929" t="str">
        <f>IF(Excel_Advanced_Sales_Dataset_2000__3[[#This Row],[Delivery Status]]="Pending","Follow Up","Ok")</f>
        <v>Ok</v>
      </c>
      <c r="R1929" s="1" t="s">
        <v>36</v>
      </c>
      <c r="S1929">
        <f>Excel_Advanced_Sales_Dataset_2000__3[[#This Row],[Quantity]]*Excel_Advanced_Sales_Dataset_2000__3[[#This Row],[Unit Price]]*Excel_Advanced_Sales_Dataset_2000__3[[#This Row],[Discount %]]/100</f>
        <v>171954.60861600001</v>
      </c>
      <c r="T1929" s="4">
        <f>Excel_Advanced_Sales_Dataset_2000__3[[#This Row],[Quantity]]*Excel_Advanced_Sales_Dataset_2000__3[[#This Row],[Unit Price]]-Excel_Advanced_Sales_Dataset_2000__3[[#This Row],[Discount Amount]]</f>
        <v>981329.15138399997</v>
      </c>
    </row>
    <row r="1930" spans="1:20" x14ac:dyDescent="0.25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>
        <v>37</v>
      </c>
      <c r="J1930" s="4">
        <v>9632.9500000000007</v>
      </c>
      <c r="K1930" s="6">
        <v>3.65</v>
      </c>
      <c r="L1930" s="4">
        <v>343409.85</v>
      </c>
      <c r="M1930" s="4" t="str" cm="1">
        <f t="array" ref="M1930">IF(Excel_Advanced_Sales_Dataset_2000__3[[#This Row],[Total Sales]]&gt;50000,{"Yes"},{"No"})</f>
        <v>Yes</v>
      </c>
      <c r="N1930" s="5">
        <v>46169</v>
      </c>
      <c r="O1930" s="1" t="s">
        <v>58</v>
      </c>
      <c r="P1930" t="s">
        <v>35</v>
      </c>
      <c r="Q1930" t="str">
        <f>IF(Excel_Advanced_Sales_Dataset_2000__3[[#This Row],[Delivery Status]]="Pending","Follow Up","Ok")</f>
        <v>Ok</v>
      </c>
      <c r="R1930" s="1" t="s">
        <v>53</v>
      </c>
      <c r="S1930">
        <f>Excel_Advanced_Sales_Dataset_2000__3[[#This Row],[Quantity]]*Excel_Advanced_Sales_Dataset_2000__3[[#This Row],[Unit Price]]*Excel_Advanced_Sales_Dataset_2000__3[[#This Row],[Discount %]]/100</f>
        <v>13009.298975</v>
      </c>
      <c r="T1930" s="4">
        <f>Excel_Advanced_Sales_Dataset_2000__3[[#This Row],[Quantity]]*Excel_Advanced_Sales_Dataset_2000__3[[#This Row],[Unit Price]]-Excel_Advanced_Sales_Dataset_2000__3[[#This Row],[Discount Amount]]</f>
        <v>343409.85102500004</v>
      </c>
    </row>
    <row r="1931" spans="1:20" x14ac:dyDescent="0.25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>
        <v>38</v>
      </c>
      <c r="J1931" s="4">
        <v>21455.31</v>
      </c>
      <c r="K1931" s="6">
        <v>12.84</v>
      </c>
      <c r="L1931" s="4">
        <v>710617.03</v>
      </c>
      <c r="M1931" s="4" t="str" cm="1">
        <f t="array" ref="M1931">IF(Excel_Advanced_Sales_Dataset_2000__3[[#This Row],[Total Sales]]&gt;50000,{"Yes"},{"No"})</f>
        <v>Yes</v>
      </c>
      <c r="N1931" s="5">
        <v>46133</v>
      </c>
      <c r="O1931" s="1" t="s">
        <v>113</v>
      </c>
      <c r="P1931" t="s">
        <v>35</v>
      </c>
      <c r="Q1931" t="str">
        <f>IF(Excel_Advanced_Sales_Dataset_2000__3[[#This Row],[Delivery Status]]="Pending","Follow Up","Ok")</f>
        <v>Ok</v>
      </c>
      <c r="R1931" s="1" t="s">
        <v>36</v>
      </c>
      <c r="S1931">
        <f>Excel_Advanced_Sales_Dataset_2000__3[[#This Row],[Quantity]]*Excel_Advanced_Sales_Dataset_2000__3[[#This Row],[Unit Price]]*Excel_Advanced_Sales_Dataset_2000__3[[#This Row],[Discount %]]/100</f>
        <v>104684.748552</v>
      </c>
      <c r="T1931" s="4">
        <f>Excel_Advanced_Sales_Dataset_2000__3[[#This Row],[Quantity]]*Excel_Advanced_Sales_Dataset_2000__3[[#This Row],[Unit Price]]-Excel_Advanced_Sales_Dataset_2000__3[[#This Row],[Discount Amount]]</f>
        <v>710617.03144799999</v>
      </c>
    </row>
    <row r="1932" spans="1:20" x14ac:dyDescent="0.25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>
        <v>23</v>
      </c>
      <c r="J1932" s="4">
        <v>47057.05</v>
      </c>
      <c r="K1932" s="6">
        <v>9.5500000000000007</v>
      </c>
      <c r="L1932" s="4">
        <v>978951.34</v>
      </c>
      <c r="M1932" s="4" t="str" cm="1">
        <f t="array" ref="M1932">IF(Excel_Advanced_Sales_Dataset_2000__3[[#This Row],[Total Sales]]&gt;50000,{"Yes"},{"No"})</f>
        <v>Yes</v>
      </c>
      <c r="N1932" s="5">
        <v>46267</v>
      </c>
      <c r="O1932" s="1" t="s">
        <v>113</v>
      </c>
      <c r="P1932" t="s">
        <v>35</v>
      </c>
      <c r="Q1932" t="str">
        <f>IF(Excel_Advanced_Sales_Dataset_2000__3[[#This Row],[Delivery Status]]="Pending","Follow Up","Ok")</f>
        <v>Ok</v>
      </c>
      <c r="R1932" s="1" t="s">
        <v>36</v>
      </c>
      <c r="S1932">
        <f>Excel_Advanced_Sales_Dataset_2000__3[[#This Row],[Quantity]]*Excel_Advanced_Sales_Dataset_2000__3[[#This Row],[Unit Price]]*Excel_Advanced_Sales_Dataset_2000__3[[#This Row],[Discount %]]/100</f>
        <v>103360.81032500003</v>
      </c>
      <c r="T1932" s="4">
        <f>Excel_Advanced_Sales_Dataset_2000__3[[#This Row],[Quantity]]*Excel_Advanced_Sales_Dataset_2000__3[[#This Row],[Unit Price]]-Excel_Advanced_Sales_Dataset_2000__3[[#This Row],[Discount Amount]]</f>
        <v>978951.33967500017</v>
      </c>
    </row>
    <row r="1933" spans="1:20" x14ac:dyDescent="0.25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>
        <v>36</v>
      </c>
      <c r="J1933" s="4">
        <v>16595.89</v>
      </c>
      <c r="K1933" s="6">
        <v>2.68</v>
      </c>
      <c r="L1933" s="4">
        <v>581440.32999999996</v>
      </c>
      <c r="M1933" s="4" t="str" cm="1">
        <f t="array" ref="M1933">IF(Excel_Advanced_Sales_Dataset_2000__3[[#This Row],[Total Sales]]&gt;50000,{"Yes"},{"No"})</f>
        <v>Yes</v>
      </c>
      <c r="N1933" s="5">
        <v>46367</v>
      </c>
      <c r="O1933" s="1" t="s">
        <v>24</v>
      </c>
      <c r="P1933" t="s">
        <v>35</v>
      </c>
      <c r="Q1933" t="str">
        <f>IF(Excel_Advanced_Sales_Dataset_2000__3[[#This Row],[Delivery Status]]="Pending","Follow Up","Ok")</f>
        <v>Ok</v>
      </c>
      <c r="R1933" s="1" t="s">
        <v>26</v>
      </c>
      <c r="S1933">
        <f>Excel_Advanced_Sales_Dataset_2000__3[[#This Row],[Quantity]]*Excel_Advanced_Sales_Dataset_2000__3[[#This Row],[Unit Price]]*Excel_Advanced_Sales_Dataset_2000__3[[#This Row],[Discount %]]/100</f>
        <v>16011.714672000004</v>
      </c>
      <c r="T1933" s="4">
        <f>Excel_Advanced_Sales_Dataset_2000__3[[#This Row],[Quantity]]*Excel_Advanced_Sales_Dataset_2000__3[[#This Row],[Unit Price]]-Excel_Advanced_Sales_Dataset_2000__3[[#This Row],[Discount Amount]]</f>
        <v>581440.32532800001</v>
      </c>
    </row>
    <row r="1934" spans="1:20" x14ac:dyDescent="0.25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>
        <v>46</v>
      </c>
      <c r="J1934" s="4">
        <v>41679.25</v>
      </c>
      <c r="K1934" s="6">
        <v>2.02</v>
      </c>
      <c r="L1934" s="4">
        <v>1878517.14</v>
      </c>
      <c r="M1934" s="4" t="str" cm="1">
        <f t="array" ref="M1934">IF(Excel_Advanced_Sales_Dataset_2000__3[[#This Row],[Total Sales]]&gt;50000,{"Yes"},{"No"})</f>
        <v>Yes</v>
      </c>
      <c r="N1934" s="5">
        <v>46336</v>
      </c>
      <c r="O1934" s="1" t="s">
        <v>113</v>
      </c>
      <c r="P1934" t="s">
        <v>35</v>
      </c>
      <c r="Q1934" t="str">
        <f>IF(Excel_Advanced_Sales_Dataset_2000__3[[#This Row],[Delivery Status]]="Pending","Follow Up","Ok")</f>
        <v>Ok</v>
      </c>
      <c r="R1934" s="1" t="s">
        <v>26</v>
      </c>
      <c r="S1934">
        <f>Excel_Advanced_Sales_Dataset_2000__3[[#This Row],[Quantity]]*Excel_Advanced_Sales_Dataset_2000__3[[#This Row],[Unit Price]]*Excel_Advanced_Sales_Dataset_2000__3[[#This Row],[Discount %]]/100</f>
        <v>38728.359100000001</v>
      </c>
      <c r="T1934" s="4">
        <f>Excel_Advanced_Sales_Dataset_2000__3[[#This Row],[Quantity]]*Excel_Advanced_Sales_Dataset_2000__3[[#This Row],[Unit Price]]-Excel_Advanced_Sales_Dataset_2000__3[[#This Row],[Discount Amount]]</f>
        <v>1878517.1409</v>
      </c>
    </row>
    <row r="1935" spans="1:20" x14ac:dyDescent="0.25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>
        <v>47</v>
      </c>
      <c r="J1935" s="4">
        <v>25216.75</v>
      </c>
      <c r="K1935" s="6">
        <v>10.17</v>
      </c>
      <c r="L1935" s="4">
        <v>1064653.71</v>
      </c>
      <c r="M1935" s="4" t="str" cm="1">
        <f t="array" ref="M1935">IF(Excel_Advanced_Sales_Dataset_2000__3[[#This Row],[Total Sales]]&gt;50000,{"Yes"},{"No"})</f>
        <v>Yes</v>
      </c>
      <c r="N1935" s="5">
        <v>46317</v>
      </c>
      <c r="O1935" s="1" t="s">
        <v>113</v>
      </c>
      <c r="P1935" t="s">
        <v>35</v>
      </c>
      <c r="Q1935" t="str">
        <f>IF(Excel_Advanced_Sales_Dataset_2000__3[[#This Row],[Delivery Status]]="Pending","Follow Up","Ok")</f>
        <v>Ok</v>
      </c>
      <c r="R1935" s="1" t="s">
        <v>53</v>
      </c>
      <c r="S1935">
        <f>Excel_Advanced_Sales_Dataset_2000__3[[#This Row],[Quantity]]*Excel_Advanced_Sales_Dataset_2000__3[[#This Row],[Unit Price]]*Excel_Advanced_Sales_Dataset_2000__3[[#This Row],[Discount %]]/100</f>
        <v>120533.54332499999</v>
      </c>
      <c r="T1935" s="4">
        <f>Excel_Advanced_Sales_Dataset_2000__3[[#This Row],[Quantity]]*Excel_Advanced_Sales_Dataset_2000__3[[#This Row],[Unit Price]]-Excel_Advanced_Sales_Dataset_2000__3[[#This Row],[Discount Amount]]</f>
        <v>1064653.706675</v>
      </c>
    </row>
    <row r="1936" spans="1:20" x14ac:dyDescent="0.25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>
        <v>17</v>
      </c>
      <c r="J1936" s="4">
        <v>28892.02</v>
      </c>
      <c r="K1936" s="6">
        <v>16.04</v>
      </c>
      <c r="L1936" s="4">
        <v>412381.58</v>
      </c>
      <c r="M1936" s="4" t="str" cm="1">
        <f t="array" ref="M1936">IF(Excel_Advanced_Sales_Dataset_2000__3[[#This Row],[Total Sales]]&gt;50000,{"Yes"},{"No"})</f>
        <v>Yes</v>
      </c>
      <c r="N1936" s="5">
        <v>46056</v>
      </c>
      <c r="O1936" s="1" t="s">
        <v>68</v>
      </c>
      <c r="P1936" t="s">
        <v>35</v>
      </c>
      <c r="Q1936" t="str">
        <f>IF(Excel_Advanced_Sales_Dataset_2000__3[[#This Row],[Delivery Status]]="Pending","Follow Up","Ok")</f>
        <v>Ok</v>
      </c>
      <c r="R1936" s="1" t="s">
        <v>26</v>
      </c>
      <c r="S1936">
        <f>Excel_Advanced_Sales_Dataset_2000__3[[#This Row],[Quantity]]*Excel_Advanced_Sales_Dataset_2000__3[[#This Row],[Unit Price]]*Excel_Advanced_Sales_Dataset_2000__3[[#This Row],[Discount %]]/100</f>
        <v>78782.760135999997</v>
      </c>
      <c r="T1936" s="4">
        <f>Excel_Advanced_Sales_Dataset_2000__3[[#This Row],[Quantity]]*Excel_Advanced_Sales_Dataset_2000__3[[#This Row],[Unit Price]]-Excel_Advanced_Sales_Dataset_2000__3[[#This Row],[Discount Amount]]</f>
        <v>412381.57986400003</v>
      </c>
    </row>
    <row r="1937" spans="1:20" x14ac:dyDescent="0.25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>
        <v>27</v>
      </c>
      <c r="J1937" s="4">
        <v>17378.64</v>
      </c>
      <c r="K1937" s="6">
        <v>7.11</v>
      </c>
      <c r="L1937" s="4">
        <v>435861.5</v>
      </c>
      <c r="M1937" s="4" t="str" cm="1">
        <f t="array" ref="M1937">IF(Excel_Advanced_Sales_Dataset_2000__3[[#This Row],[Total Sales]]&gt;50000,{"Yes"},{"No"})</f>
        <v>Yes</v>
      </c>
      <c r="N1937" s="5">
        <v>46097</v>
      </c>
      <c r="O1937" s="1" t="s">
        <v>68</v>
      </c>
      <c r="P1937" t="s">
        <v>35</v>
      </c>
      <c r="Q1937" t="str">
        <f>IF(Excel_Advanced_Sales_Dataset_2000__3[[#This Row],[Delivery Status]]="Pending","Follow Up","Ok")</f>
        <v>Ok</v>
      </c>
      <c r="R1937" s="1" t="s">
        <v>36</v>
      </c>
      <c r="S1937">
        <f>Excel_Advanced_Sales_Dataset_2000__3[[#This Row],[Quantity]]*Excel_Advanced_Sales_Dataset_2000__3[[#This Row],[Unit Price]]*Excel_Advanced_Sales_Dataset_2000__3[[#This Row],[Discount %]]/100</f>
        <v>33361.775207999999</v>
      </c>
      <c r="T1937" s="4">
        <f>Excel_Advanced_Sales_Dataset_2000__3[[#This Row],[Quantity]]*Excel_Advanced_Sales_Dataset_2000__3[[#This Row],[Unit Price]]-Excel_Advanced_Sales_Dataset_2000__3[[#This Row],[Discount Amount]]</f>
        <v>435861.50479199999</v>
      </c>
    </row>
    <row r="1938" spans="1:20" x14ac:dyDescent="0.25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>
        <v>18</v>
      </c>
      <c r="J1938" s="4">
        <v>4307.57</v>
      </c>
      <c r="K1938" s="6">
        <v>16.93</v>
      </c>
      <c r="L1938" s="4">
        <v>64409.37</v>
      </c>
      <c r="M1938" s="4" t="str" cm="1">
        <f t="array" ref="M1938">IF(Excel_Advanced_Sales_Dataset_2000__3[[#This Row],[Total Sales]]&gt;50000,{"Yes"},{"No"})</f>
        <v>Yes</v>
      </c>
      <c r="N1938" s="5">
        <v>46228</v>
      </c>
      <c r="O1938" s="1" t="s">
        <v>45</v>
      </c>
      <c r="P1938" t="s">
        <v>35</v>
      </c>
      <c r="Q1938" t="str">
        <f>IF(Excel_Advanced_Sales_Dataset_2000__3[[#This Row],[Delivery Status]]="Pending","Follow Up","Ok")</f>
        <v>Ok</v>
      </c>
      <c r="R1938" s="1" t="s">
        <v>53</v>
      </c>
      <c r="S1938">
        <f>Excel_Advanced_Sales_Dataset_2000__3[[#This Row],[Quantity]]*Excel_Advanced_Sales_Dataset_2000__3[[#This Row],[Unit Price]]*Excel_Advanced_Sales_Dataset_2000__3[[#This Row],[Discount %]]/100</f>
        <v>13126.888817999999</v>
      </c>
      <c r="T1938" s="4">
        <f>Excel_Advanced_Sales_Dataset_2000__3[[#This Row],[Quantity]]*Excel_Advanced_Sales_Dataset_2000__3[[#This Row],[Unit Price]]-Excel_Advanced_Sales_Dataset_2000__3[[#This Row],[Discount Amount]]</f>
        <v>64409.371181999995</v>
      </c>
    </row>
    <row r="1939" spans="1:20" x14ac:dyDescent="0.25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>
        <v>19</v>
      </c>
      <c r="J1939" s="4">
        <v>16880.29</v>
      </c>
      <c r="K1939" s="6">
        <v>15.46</v>
      </c>
      <c r="L1939" s="4">
        <v>271141.34999999998</v>
      </c>
      <c r="M1939" s="4" t="str" cm="1">
        <f t="array" ref="M1939">IF(Excel_Advanced_Sales_Dataset_2000__3[[#This Row],[Total Sales]]&gt;50000,{"Yes"},{"No"})</f>
        <v>Yes</v>
      </c>
      <c r="N1939" s="5">
        <v>46296</v>
      </c>
      <c r="O1939" s="1" t="s">
        <v>113</v>
      </c>
      <c r="P1939" t="s">
        <v>35</v>
      </c>
      <c r="Q1939" t="str">
        <f>IF(Excel_Advanced_Sales_Dataset_2000__3[[#This Row],[Delivery Status]]="Pending","Follow Up","Ok")</f>
        <v>Ok</v>
      </c>
      <c r="R1939" s="1" t="s">
        <v>53</v>
      </c>
      <c r="S1939">
        <f>Excel_Advanced_Sales_Dataset_2000__3[[#This Row],[Quantity]]*Excel_Advanced_Sales_Dataset_2000__3[[#This Row],[Unit Price]]*Excel_Advanced_Sales_Dataset_2000__3[[#This Row],[Discount %]]/100</f>
        <v>49584.163846000003</v>
      </c>
      <c r="T1939" s="4">
        <f>Excel_Advanced_Sales_Dataset_2000__3[[#This Row],[Quantity]]*Excel_Advanced_Sales_Dataset_2000__3[[#This Row],[Unit Price]]-Excel_Advanced_Sales_Dataset_2000__3[[#This Row],[Discount Amount]]</f>
        <v>271141.34615400003</v>
      </c>
    </row>
    <row r="1940" spans="1:20" x14ac:dyDescent="0.25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>
        <v>19</v>
      </c>
      <c r="J1940" s="4">
        <v>10350.19</v>
      </c>
      <c r="K1940" s="6">
        <v>15.71</v>
      </c>
      <c r="L1940" s="4">
        <v>165759.32999999999</v>
      </c>
      <c r="M1940" s="4" t="str" cm="1">
        <f t="array" ref="M1940">IF(Excel_Advanced_Sales_Dataset_2000__3[[#This Row],[Total Sales]]&gt;50000,{"Yes"},{"No"})</f>
        <v>Yes</v>
      </c>
      <c r="N1940" s="5">
        <v>46190</v>
      </c>
      <c r="O1940" s="1" t="s">
        <v>113</v>
      </c>
      <c r="P1940" t="s">
        <v>35</v>
      </c>
      <c r="Q1940" t="str">
        <f>IF(Excel_Advanced_Sales_Dataset_2000__3[[#This Row],[Delivery Status]]="Pending","Follow Up","Ok")</f>
        <v>Ok</v>
      </c>
      <c r="R1940" s="1" t="s">
        <v>53</v>
      </c>
      <c r="S1940">
        <f>Excel_Advanced_Sales_Dataset_2000__3[[#This Row],[Quantity]]*Excel_Advanced_Sales_Dataset_2000__3[[#This Row],[Unit Price]]*Excel_Advanced_Sales_Dataset_2000__3[[#This Row],[Discount %]]/100</f>
        <v>30894.282131000004</v>
      </c>
      <c r="T1940" s="4">
        <f>Excel_Advanced_Sales_Dataset_2000__3[[#This Row],[Quantity]]*Excel_Advanced_Sales_Dataset_2000__3[[#This Row],[Unit Price]]-Excel_Advanced_Sales_Dataset_2000__3[[#This Row],[Discount Amount]]</f>
        <v>165759.327869</v>
      </c>
    </row>
    <row r="1941" spans="1:20" x14ac:dyDescent="0.25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>
        <v>5</v>
      </c>
      <c r="J1941" s="4">
        <v>17526.46</v>
      </c>
      <c r="K1941" s="6">
        <v>18.57</v>
      </c>
      <c r="L1941" s="4">
        <v>71358.98</v>
      </c>
      <c r="M1941" s="4" t="str" cm="1">
        <f t="array" ref="M1941">IF(Excel_Advanced_Sales_Dataset_2000__3[[#This Row],[Total Sales]]&gt;50000,{"Yes"},{"No"})</f>
        <v>Yes</v>
      </c>
      <c r="N1941" s="5">
        <v>46219</v>
      </c>
      <c r="O1941" s="1" t="s">
        <v>68</v>
      </c>
      <c r="P1941" t="s">
        <v>25</v>
      </c>
      <c r="Q1941" t="str">
        <f>IF(Excel_Advanced_Sales_Dataset_2000__3[[#This Row],[Delivery Status]]="Pending","Follow Up","Ok")</f>
        <v>Follow Up</v>
      </c>
      <c r="R1941" s="1" t="s">
        <v>26</v>
      </c>
      <c r="S1941">
        <f>Excel_Advanced_Sales_Dataset_2000__3[[#This Row],[Quantity]]*Excel_Advanced_Sales_Dataset_2000__3[[#This Row],[Unit Price]]*Excel_Advanced_Sales_Dataset_2000__3[[#This Row],[Discount %]]/100</f>
        <v>16273.318109999998</v>
      </c>
      <c r="T1941" s="4">
        <f>Excel_Advanced_Sales_Dataset_2000__3[[#This Row],[Quantity]]*Excel_Advanced_Sales_Dataset_2000__3[[#This Row],[Unit Price]]-Excel_Advanced_Sales_Dataset_2000__3[[#This Row],[Discount Amount]]</f>
        <v>71358.981889999995</v>
      </c>
    </row>
    <row r="1942" spans="1:20" x14ac:dyDescent="0.25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>
        <v>36</v>
      </c>
      <c r="J1942" s="4">
        <v>7409.89</v>
      </c>
      <c r="K1942" s="6">
        <v>5.92</v>
      </c>
      <c r="L1942" s="4">
        <v>250964.08</v>
      </c>
      <c r="M1942" s="4" t="str" cm="1">
        <f t="array" ref="M1942">IF(Excel_Advanced_Sales_Dataset_2000__3[[#This Row],[Total Sales]]&gt;50000,{"Yes"},{"No"})</f>
        <v>Yes</v>
      </c>
      <c r="N1942" s="5">
        <v>46229</v>
      </c>
      <c r="O1942" s="1" t="s">
        <v>58</v>
      </c>
      <c r="P1942" t="s">
        <v>35</v>
      </c>
      <c r="Q1942" t="str">
        <f>IF(Excel_Advanced_Sales_Dataset_2000__3[[#This Row],[Delivery Status]]="Pending","Follow Up","Ok")</f>
        <v>Ok</v>
      </c>
      <c r="R1942" s="1" t="s">
        <v>53</v>
      </c>
      <c r="S1942">
        <f>Excel_Advanced_Sales_Dataset_2000__3[[#This Row],[Quantity]]*Excel_Advanced_Sales_Dataset_2000__3[[#This Row],[Unit Price]]*Excel_Advanced_Sales_Dataset_2000__3[[#This Row],[Discount %]]/100</f>
        <v>15791.957568000002</v>
      </c>
      <c r="T1942" s="4">
        <f>Excel_Advanced_Sales_Dataset_2000__3[[#This Row],[Quantity]]*Excel_Advanced_Sales_Dataset_2000__3[[#This Row],[Unit Price]]-Excel_Advanced_Sales_Dataset_2000__3[[#This Row],[Discount Amount]]</f>
        <v>250964.08243200002</v>
      </c>
    </row>
    <row r="1943" spans="1:20" x14ac:dyDescent="0.25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>
        <v>47</v>
      </c>
      <c r="J1943" s="4">
        <v>37351.39</v>
      </c>
      <c r="K1943" s="6">
        <v>7.51</v>
      </c>
      <c r="L1943" s="4">
        <v>1623676.13</v>
      </c>
      <c r="M1943" s="4" t="str" cm="1">
        <f t="array" ref="M1943">IF(Excel_Advanced_Sales_Dataset_2000__3[[#This Row],[Total Sales]]&gt;50000,{"Yes"},{"No"})</f>
        <v>Yes</v>
      </c>
      <c r="N1943" s="5">
        <v>46216</v>
      </c>
      <c r="O1943" s="1" t="s">
        <v>45</v>
      </c>
      <c r="P1943" t="s">
        <v>35</v>
      </c>
      <c r="Q1943" t="str">
        <f>IF(Excel_Advanced_Sales_Dataset_2000__3[[#This Row],[Delivery Status]]="Pending","Follow Up","Ok")</f>
        <v>Ok</v>
      </c>
      <c r="R1943" s="1" t="s">
        <v>36</v>
      </c>
      <c r="S1943">
        <f>Excel_Advanced_Sales_Dataset_2000__3[[#This Row],[Quantity]]*Excel_Advanced_Sales_Dataset_2000__3[[#This Row],[Unit Price]]*Excel_Advanced_Sales_Dataset_2000__3[[#This Row],[Discount %]]/100</f>
        <v>131839.201283</v>
      </c>
      <c r="T1943" s="4">
        <f>Excel_Advanced_Sales_Dataset_2000__3[[#This Row],[Quantity]]*Excel_Advanced_Sales_Dataset_2000__3[[#This Row],[Unit Price]]-Excel_Advanced_Sales_Dataset_2000__3[[#This Row],[Discount Amount]]</f>
        <v>1623676.1287170001</v>
      </c>
    </row>
    <row r="1944" spans="1:20" x14ac:dyDescent="0.25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>
        <v>8</v>
      </c>
      <c r="J1944" s="4">
        <v>45806.44</v>
      </c>
      <c r="K1944" s="6">
        <v>17.489999999999998</v>
      </c>
      <c r="L1944" s="4">
        <v>302359.15000000002</v>
      </c>
      <c r="M1944" s="4" t="str" cm="1">
        <f t="array" ref="M1944">IF(Excel_Advanced_Sales_Dataset_2000__3[[#This Row],[Total Sales]]&gt;50000,{"Yes"},{"No"})</f>
        <v>Yes</v>
      </c>
      <c r="N1944" s="5">
        <v>46376</v>
      </c>
      <c r="O1944" s="1" t="s">
        <v>24</v>
      </c>
      <c r="P1944" t="s">
        <v>35</v>
      </c>
      <c r="Q1944" t="str">
        <f>IF(Excel_Advanced_Sales_Dataset_2000__3[[#This Row],[Delivery Status]]="Pending","Follow Up","Ok")</f>
        <v>Ok</v>
      </c>
      <c r="R1944" s="1" t="s">
        <v>53</v>
      </c>
      <c r="S1944">
        <f>Excel_Advanced_Sales_Dataset_2000__3[[#This Row],[Quantity]]*Excel_Advanced_Sales_Dataset_2000__3[[#This Row],[Unit Price]]*Excel_Advanced_Sales_Dataset_2000__3[[#This Row],[Discount %]]/100</f>
        <v>64092.370847999991</v>
      </c>
      <c r="T1944" s="4">
        <f>Excel_Advanced_Sales_Dataset_2000__3[[#This Row],[Quantity]]*Excel_Advanced_Sales_Dataset_2000__3[[#This Row],[Unit Price]]-Excel_Advanced_Sales_Dataset_2000__3[[#This Row],[Discount Amount]]</f>
        <v>302359.14915200003</v>
      </c>
    </row>
    <row r="1945" spans="1:20" x14ac:dyDescent="0.25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>
        <v>11</v>
      </c>
      <c r="J1945" s="4">
        <v>36478.86</v>
      </c>
      <c r="K1945" s="6">
        <v>7.41</v>
      </c>
      <c r="L1945" s="4">
        <v>371533.54</v>
      </c>
      <c r="M1945" s="4" t="str" cm="1">
        <f t="array" ref="M1945">IF(Excel_Advanced_Sales_Dataset_2000__3[[#This Row],[Total Sales]]&gt;50000,{"Yes"},{"No"})</f>
        <v>Yes</v>
      </c>
      <c r="N1945" s="5">
        <v>46338</v>
      </c>
      <c r="O1945" s="1" t="s">
        <v>45</v>
      </c>
      <c r="P1945" t="s">
        <v>25</v>
      </c>
      <c r="Q1945" t="str">
        <f>IF(Excel_Advanced_Sales_Dataset_2000__3[[#This Row],[Delivery Status]]="Pending","Follow Up","Ok")</f>
        <v>Follow Up</v>
      </c>
      <c r="R1945" s="1" t="s">
        <v>36</v>
      </c>
      <c r="S1945">
        <f>Excel_Advanced_Sales_Dataset_2000__3[[#This Row],[Quantity]]*Excel_Advanced_Sales_Dataset_2000__3[[#This Row],[Unit Price]]*Excel_Advanced_Sales_Dataset_2000__3[[#This Row],[Discount %]]/100</f>
        <v>29733.918786000006</v>
      </c>
      <c r="T1945" s="4">
        <f>Excel_Advanced_Sales_Dataset_2000__3[[#This Row],[Quantity]]*Excel_Advanced_Sales_Dataset_2000__3[[#This Row],[Unit Price]]-Excel_Advanced_Sales_Dataset_2000__3[[#This Row],[Discount Amount]]</f>
        <v>371533.54121400003</v>
      </c>
    </row>
    <row r="1946" spans="1:20" x14ac:dyDescent="0.25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>
        <v>28</v>
      </c>
      <c r="J1946" s="4">
        <v>12662.74</v>
      </c>
      <c r="K1946" s="6">
        <v>17.149999999999999</v>
      </c>
      <c r="L1946" s="4">
        <v>293750.24</v>
      </c>
      <c r="M1946" s="4" t="str" cm="1">
        <f t="array" ref="M1946">IF(Excel_Advanced_Sales_Dataset_2000__3[[#This Row],[Total Sales]]&gt;50000,{"Yes"},{"No"})</f>
        <v>Yes</v>
      </c>
      <c r="N1946" s="5">
        <v>46167</v>
      </c>
      <c r="O1946" s="1" t="s">
        <v>24</v>
      </c>
      <c r="P1946" t="s">
        <v>35</v>
      </c>
      <c r="Q1946" t="str">
        <f>IF(Excel_Advanced_Sales_Dataset_2000__3[[#This Row],[Delivery Status]]="Pending","Follow Up","Ok")</f>
        <v>Ok</v>
      </c>
      <c r="R1946" s="1" t="s">
        <v>26</v>
      </c>
      <c r="S1946">
        <f>Excel_Advanced_Sales_Dataset_2000__3[[#This Row],[Quantity]]*Excel_Advanced_Sales_Dataset_2000__3[[#This Row],[Unit Price]]*Excel_Advanced_Sales_Dataset_2000__3[[#This Row],[Discount %]]/100</f>
        <v>60806.477479999987</v>
      </c>
      <c r="T1946" s="4">
        <f>Excel_Advanced_Sales_Dataset_2000__3[[#This Row],[Quantity]]*Excel_Advanced_Sales_Dataset_2000__3[[#This Row],[Unit Price]]-Excel_Advanced_Sales_Dataset_2000__3[[#This Row],[Discount Amount]]</f>
        <v>293750.24251999997</v>
      </c>
    </row>
    <row r="1947" spans="1:20" x14ac:dyDescent="0.25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>
        <v>20</v>
      </c>
      <c r="J1947" s="4">
        <v>44360.39</v>
      </c>
      <c r="K1947" s="6">
        <v>15.81</v>
      </c>
      <c r="L1947" s="4">
        <v>746940.25</v>
      </c>
      <c r="M1947" s="4" t="str" cm="1">
        <f t="array" ref="M1947">IF(Excel_Advanced_Sales_Dataset_2000__3[[#This Row],[Total Sales]]&gt;50000,{"Yes"},{"No"})</f>
        <v>Yes</v>
      </c>
      <c r="N1947" s="5">
        <v>46309</v>
      </c>
      <c r="O1947" s="1" t="s">
        <v>58</v>
      </c>
      <c r="P1947" t="s">
        <v>25</v>
      </c>
      <c r="Q1947" t="str">
        <f>IF(Excel_Advanced_Sales_Dataset_2000__3[[#This Row],[Delivery Status]]="Pending","Follow Up","Ok")</f>
        <v>Follow Up</v>
      </c>
      <c r="R1947" s="1" t="s">
        <v>26</v>
      </c>
      <c r="S1947">
        <f>Excel_Advanced_Sales_Dataset_2000__3[[#This Row],[Quantity]]*Excel_Advanced_Sales_Dataset_2000__3[[#This Row],[Unit Price]]*Excel_Advanced_Sales_Dataset_2000__3[[#This Row],[Discount %]]/100</f>
        <v>140267.55318000002</v>
      </c>
      <c r="T1947" s="4">
        <f>Excel_Advanced_Sales_Dataset_2000__3[[#This Row],[Quantity]]*Excel_Advanced_Sales_Dataset_2000__3[[#This Row],[Unit Price]]-Excel_Advanced_Sales_Dataset_2000__3[[#This Row],[Discount Amount]]</f>
        <v>746940.24682</v>
      </c>
    </row>
    <row r="1948" spans="1:20" x14ac:dyDescent="0.25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>
        <v>21</v>
      </c>
      <c r="J1948" s="4">
        <v>48406.05</v>
      </c>
      <c r="K1948" s="6">
        <v>12.52</v>
      </c>
      <c r="L1948" s="4">
        <v>889257.86</v>
      </c>
      <c r="M1948" s="4" t="str" cm="1">
        <f t="array" ref="M1948">IF(Excel_Advanced_Sales_Dataset_2000__3[[#This Row],[Total Sales]]&gt;50000,{"Yes"},{"No"})</f>
        <v>Yes</v>
      </c>
      <c r="N1948" s="5">
        <v>46387</v>
      </c>
      <c r="O1948" s="1" t="s">
        <v>68</v>
      </c>
      <c r="P1948" t="s">
        <v>35</v>
      </c>
      <c r="Q1948" t="str">
        <f>IF(Excel_Advanced_Sales_Dataset_2000__3[[#This Row],[Delivery Status]]="Pending","Follow Up","Ok")</f>
        <v>Ok</v>
      </c>
      <c r="R1948" s="1" t="s">
        <v>53</v>
      </c>
      <c r="S1948">
        <f>Excel_Advanced_Sales_Dataset_2000__3[[#This Row],[Quantity]]*Excel_Advanced_Sales_Dataset_2000__3[[#This Row],[Unit Price]]*Excel_Advanced_Sales_Dataset_2000__3[[#This Row],[Discount %]]/100</f>
        <v>127269.18665999999</v>
      </c>
      <c r="T1948" s="4">
        <f>Excel_Advanced_Sales_Dataset_2000__3[[#This Row],[Quantity]]*Excel_Advanced_Sales_Dataset_2000__3[[#This Row],[Unit Price]]-Excel_Advanced_Sales_Dataset_2000__3[[#This Row],[Discount Amount]]</f>
        <v>889257.86334000004</v>
      </c>
    </row>
    <row r="1949" spans="1:20" x14ac:dyDescent="0.25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>
        <v>47</v>
      </c>
      <c r="J1949" s="4">
        <v>12477.67</v>
      </c>
      <c r="K1949" s="6">
        <v>17.54</v>
      </c>
      <c r="L1949" s="4">
        <v>483587.07</v>
      </c>
      <c r="M1949" s="4" t="str" cm="1">
        <f t="array" ref="M1949">IF(Excel_Advanced_Sales_Dataset_2000__3[[#This Row],[Total Sales]]&gt;50000,{"Yes"},{"No"})</f>
        <v>Yes</v>
      </c>
      <c r="N1949" s="5">
        <v>46235</v>
      </c>
      <c r="O1949" s="1" t="s">
        <v>58</v>
      </c>
      <c r="P1949" t="s">
        <v>35</v>
      </c>
      <c r="Q1949" t="str">
        <f>IF(Excel_Advanced_Sales_Dataset_2000__3[[#This Row],[Delivery Status]]="Pending","Follow Up","Ok")</f>
        <v>Ok</v>
      </c>
      <c r="R1949" s="1" t="s">
        <v>36</v>
      </c>
      <c r="S1949">
        <f>Excel_Advanced_Sales_Dataset_2000__3[[#This Row],[Quantity]]*Excel_Advanced_Sales_Dataset_2000__3[[#This Row],[Unit Price]]*Excel_Advanced_Sales_Dataset_2000__3[[#This Row],[Discount %]]/100</f>
        <v>102863.41594599999</v>
      </c>
      <c r="T1949" s="4">
        <f>Excel_Advanced_Sales_Dataset_2000__3[[#This Row],[Quantity]]*Excel_Advanced_Sales_Dataset_2000__3[[#This Row],[Unit Price]]-Excel_Advanced_Sales_Dataset_2000__3[[#This Row],[Discount Amount]]</f>
        <v>483587.07405399997</v>
      </c>
    </row>
    <row r="1950" spans="1:20" x14ac:dyDescent="0.25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>
        <v>10</v>
      </c>
      <c r="J1950" s="4">
        <v>46645.02</v>
      </c>
      <c r="K1950" s="6">
        <v>13.24</v>
      </c>
      <c r="L1950" s="4">
        <v>404692.19</v>
      </c>
      <c r="M1950" s="4" t="str" cm="1">
        <f t="array" ref="M1950">IF(Excel_Advanced_Sales_Dataset_2000__3[[#This Row],[Total Sales]]&gt;50000,{"Yes"},{"No"})</f>
        <v>Yes</v>
      </c>
      <c r="N1950" s="5">
        <v>46253</v>
      </c>
      <c r="O1950" s="1" t="s">
        <v>113</v>
      </c>
      <c r="P1950" t="s">
        <v>35</v>
      </c>
      <c r="Q1950" t="str">
        <f>IF(Excel_Advanced_Sales_Dataset_2000__3[[#This Row],[Delivery Status]]="Pending","Follow Up","Ok")</f>
        <v>Ok</v>
      </c>
      <c r="R1950" s="1" t="s">
        <v>36</v>
      </c>
      <c r="S1950">
        <f>Excel_Advanced_Sales_Dataset_2000__3[[#This Row],[Quantity]]*Excel_Advanced_Sales_Dataset_2000__3[[#This Row],[Unit Price]]*Excel_Advanced_Sales_Dataset_2000__3[[#This Row],[Discount %]]/100</f>
        <v>61758.006479999989</v>
      </c>
      <c r="T1950" s="4">
        <f>Excel_Advanced_Sales_Dataset_2000__3[[#This Row],[Quantity]]*Excel_Advanced_Sales_Dataset_2000__3[[#This Row],[Unit Price]]-Excel_Advanced_Sales_Dataset_2000__3[[#This Row],[Discount Amount]]</f>
        <v>404692.19351999997</v>
      </c>
    </row>
    <row r="1951" spans="1:20" x14ac:dyDescent="0.25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>
        <v>38</v>
      </c>
      <c r="J1951" s="4">
        <v>1487.14</v>
      </c>
      <c r="K1951" s="6">
        <v>3.88</v>
      </c>
      <c r="L1951" s="4">
        <v>54318.68</v>
      </c>
      <c r="M1951" s="4" t="str" cm="1">
        <f t="array" ref="M1951">IF(Excel_Advanced_Sales_Dataset_2000__3[[#This Row],[Total Sales]]&gt;50000,{"Yes"},{"No"})</f>
        <v>Yes</v>
      </c>
      <c r="N1951" s="5">
        <v>46268</v>
      </c>
      <c r="O1951" s="1" t="s">
        <v>45</v>
      </c>
      <c r="P1951" t="s">
        <v>35</v>
      </c>
      <c r="Q1951" t="str">
        <f>IF(Excel_Advanced_Sales_Dataset_2000__3[[#This Row],[Delivery Status]]="Pending","Follow Up","Ok")</f>
        <v>Ok</v>
      </c>
      <c r="R1951" s="1" t="s">
        <v>53</v>
      </c>
      <c r="S1951">
        <f>Excel_Advanced_Sales_Dataset_2000__3[[#This Row],[Quantity]]*Excel_Advanced_Sales_Dataset_2000__3[[#This Row],[Unit Price]]*Excel_Advanced_Sales_Dataset_2000__3[[#This Row],[Discount %]]/100</f>
        <v>2192.6392160000005</v>
      </c>
      <c r="T1951" s="4">
        <f>Excel_Advanced_Sales_Dataset_2000__3[[#This Row],[Quantity]]*Excel_Advanced_Sales_Dataset_2000__3[[#This Row],[Unit Price]]-Excel_Advanced_Sales_Dataset_2000__3[[#This Row],[Discount Amount]]</f>
        <v>54318.680784000004</v>
      </c>
    </row>
    <row r="1952" spans="1:20" x14ac:dyDescent="0.25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>
        <v>49</v>
      </c>
      <c r="J1952" s="4">
        <v>21567.01</v>
      </c>
      <c r="K1952" s="6">
        <v>13.8</v>
      </c>
      <c r="L1952" s="4">
        <v>910947.37</v>
      </c>
      <c r="M1952" s="4" t="str" cm="1">
        <f t="array" ref="M1952">IF(Excel_Advanced_Sales_Dataset_2000__3[[#This Row],[Total Sales]]&gt;50000,{"Yes"},{"No"})</f>
        <v>Yes</v>
      </c>
      <c r="N1952" s="5">
        <v>46059</v>
      </c>
      <c r="O1952" s="1" t="s">
        <v>45</v>
      </c>
      <c r="P1952" t="s">
        <v>35</v>
      </c>
      <c r="Q1952" t="str">
        <f>IF(Excel_Advanced_Sales_Dataset_2000__3[[#This Row],[Delivery Status]]="Pending","Follow Up","Ok")</f>
        <v>Ok</v>
      </c>
      <c r="R1952" s="1" t="s">
        <v>36</v>
      </c>
      <c r="S1952">
        <f>Excel_Advanced_Sales_Dataset_2000__3[[#This Row],[Quantity]]*Excel_Advanced_Sales_Dataset_2000__3[[#This Row],[Unit Price]]*Excel_Advanced_Sales_Dataset_2000__3[[#This Row],[Discount %]]/100</f>
        <v>145836.12161999999</v>
      </c>
      <c r="T1952" s="4">
        <f>Excel_Advanced_Sales_Dataset_2000__3[[#This Row],[Quantity]]*Excel_Advanced_Sales_Dataset_2000__3[[#This Row],[Unit Price]]-Excel_Advanced_Sales_Dataset_2000__3[[#This Row],[Discount Amount]]</f>
        <v>910947.36838</v>
      </c>
    </row>
    <row r="1953" spans="1:20" x14ac:dyDescent="0.25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>
        <v>40</v>
      </c>
      <c r="J1953" s="4">
        <v>31280.74</v>
      </c>
      <c r="K1953" s="6">
        <v>1.1399999999999999</v>
      </c>
      <c r="L1953" s="4">
        <v>1236965.58</v>
      </c>
      <c r="M1953" s="4" t="str" cm="1">
        <f t="array" ref="M1953">IF(Excel_Advanced_Sales_Dataset_2000__3[[#This Row],[Total Sales]]&gt;50000,{"Yes"},{"No"})</f>
        <v>Yes</v>
      </c>
      <c r="N1953" s="5">
        <v>46229</v>
      </c>
      <c r="O1953" s="1" t="s">
        <v>24</v>
      </c>
      <c r="P1953" t="s">
        <v>35</v>
      </c>
      <c r="Q1953" t="str">
        <f>IF(Excel_Advanced_Sales_Dataset_2000__3[[#This Row],[Delivery Status]]="Pending","Follow Up","Ok")</f>
        <v>Ok</v>
      </c>
      <c r="R1953" s="1" t="s">
        <v>53</v>
      </c>
      <c r="S1953">
        <f>Excel_Advanced_Sales_Dataset_2000__3[[#This Row],[Quantity]]*Excel_Advanced_Sales_Dataset_2000__3[[#This Row],[Unit Price]]*Excel_Advanced_Sales_Dataset_2000__3[[#This Row],[Discount %]]/100</f>
        <v>14264.01744</v>
      </c>
      <c r="T1953" s="4">
        <f>Excel_Advanced_Sales_Dataset_2000__3[[#This Row],[Quantity]]*Excel_Advanced_Sales_Dataset_2000__3[[#This Row],[Unit Price]]-Excel_Advanced_Sales_Dataset_2000__3[[#This Row],[Discount Amount]]</f>
        <v>1236965.58256</v>
      </c>
    </row>
    <row r="1954" spans="1:20" x14ac:dyDescent="0.25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>
        <v>42</v>
      </c>
      <c r="J1954" s="4">
        <v>25482.79</v>
      </c>
      <c r="K1954" s="6">
        <v>3.15</v>
      </c>
      <c r="L1954" s="4">
        <v>1036563.45</v>
      </c>
      <c r="M1954" s="4" t="str" cm="1">
        <f t="array" ref="M1954">IF(Excel_Advanced_Sales_Dataset_2000__3[[#This Row],[Total Sales]]&gt;50000,{"Yes"},{"No"})</f>
        <v>Yes</v>
      </c>
      <c r="N1954" s="5">
        <v>46311</v>
      </c>
      <c r="O1954" s="1" t="s">
        <v>68</v>
      </c>
      <c r="P1954" t="s">
        <v>35</v>
      </c>
      <c r="Q1954" t="str">
        <f>IF(Excel_Advanced_Sales_Dataset_2000__3[[#This Row],[Delivery Status]]="Pending","Follow Up","Ok")</f>
        <v>Ok</v>
      </c>
      <c r="R1954" s="1" t="s">
        <v>53</v>
      </c>
      <c r="S1954">
        <f>Excel_Advanced_Sales_Dataset_2000__3[[#This Row],[Quantity]]*Excel_Advanced_Sales_Dataset_2000__3[[#This Row],[Unit Price]]*Excel_Advanced_Sales_Dataset_2000__3[[#This Row],[Discount %]]/100</f>
        <v>33713.731169999999</v>
      </c>
      <c r="T1954" s="4">
        <f>Excel_Advanced_Sales_Dataset_2000__3[[#This Row],[Quantity]]*Excel_Advanced_Sales_Dataset_2000__3[[#This Row],[Unit Price]]-Excel_Advanced_Sales_Dataset_2000__3[[#This Row],[Discount Amount]]</f>
        <v>1036563.4488299999</v>
      </c>
    </row>
    <row r="1955" spans="1:20" x14ac:dyDescent="0.25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>
        <v>30</v>
      </c>
      <c r="J1955" s="4">
        <v>6785.25</v>
      </c>
      <c r="K1955" s="6">
        <v>2.36</v>
      </c>
      <c r="L1955" s="4">
        <v>198753.54</v>
      </c>
      <c r="M1955" s="4" t="str" cm="1">
        <f t="array" ref="M1955">IF(Excel_Advanced_Sales_Dataset_2000__3[[#This Row],[Total Sales]]&gt;50000,{"Yes"},{"No"})</f>
        <v>Yes</v>
      </c>
      <c r="N1955" s="5">
        <v>46273</v>
      </c>
      <c r="O1955" s="1" t="s">
        <v>58</v>
      </c>
      <c r="P1955" t="s">
        <v>25</v>
      </c>
      <c r="Q1955" t="str">
        <f>IF(Excel_Advanced_Sales_Dataset_2000__3[[#This Row],[Delivery Status]]="Pending","Follow Up","Ok")</f>
        <v>Follow Up</v>
      </c>
      <c r="R1955" s="1" t="s">
        <v>53</v>
      </c>
      <c r="S1955">
        <f>Excel_Advanced_Sales_Dataset_2000__3[[#This Row],[Quantity]]*Excel_Advanced_Sales_Dataset_2000__3[[#This Row],[Unit Price]]*Excel_Advanced_Sales_Dataset_2000__3[[#This Row],[Discount %]]/100</f>
        <v>4803.9569999999994</v>
      </c>
      <c r="T1955" s="4">
        <f>Excel_Advanced_Sales_Dataset_2000__3[[#This Row],[Quantity]]*Excel_Advanced_Sales_Dataset_2000__3[[#This Row],[Unit Price]]-Excel_Advanced_Sales_Dataset_2000__3[[#This Row],[Discount Amount]]</f>
        <v>198753.54300000001</v>
      </c>
    </row>
    <row r="1956" spans="1:20" x14ac:dyDescent="0.25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>
        <v>44</v>
      </c>
      <c r="J1956" s="4">
        <v>25903.73</v>
      </c>
      <c r="K1956" s="6">
        <v>17.47</v>
      </c>
      <c r="L1956" s="4">
        <v>940647.33</v>
      </c>
      <c r="M1956" s="4" t="str" cm="1">
        <f t="array" ref="M1956">IF(Excel_Advanced_Sales_Dataset_2000__3[[#This Row],[Total Sales]]&gt;50000,{"Yes"},{"No"})</f>
        <v>Yes</v>
      </c>
      <c r="N1956" s="5">
        <v>46374</v>
      </c>
      <c r="O1956" s="1" t="s">
        <v>45</v>
      </c>
      <c r="P1956" t="s">
        <v>35</v>
      </c>
      <c r="Q1956" t="str">
        <f>IF(Excel_Advanced_Sales_Dataset_2000__3[[#This Row],[Delivery Status]]="Pending","Follow Up","Ok")</f>
        <v>Ok</v>
      </c>
      <c r="R1956" s="1" t="s">
        <v>26</v>
      </c>
      <c r="S1956">
        <f>Excel_Advanced_Sales_Dataset_2000__3[[#This Row],[Quantity]]*Excel_Advanced_Sales_Dataset_2000__3[[#This Row],[Unit Price]]*Excel_Advanced_Sales_Dataset_2000__3[[#This Row],[Discount %]]/100</f>
        <v>199116.79176399999</v>
      </c>
      <c r="T1956" s="4">
        <f>Excel_Advanced_Sales_Dataset_2000__3[[#This Row],[Quantity]]*Excel_Advanced_Sales_Dataset_2000__3[[#This Row],[Unit Price]]-Excel_Advanced_Sales_Dataset_2000__3[[#This Row],[Discount Amount]]</f>
        <v>940647.32823599991</v>
      </c>
    </row>
    <row r="1957" spans="1:20" x14ac:dyDescent="0.25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>
        <v>20</v>
      </c>
      <c r="J1957" s="4">
        <v>24268.86</v>
      </c>
      <c r="K1957" s="6">
        <v>18.670000000000002</v>
      </c>
      <c r="L1957" s="4">
        <v>394757.28</v>
      </c>
      <c r="M1957" s="4" t="str" cm="1">
        <f t="array" ref="M1957">IF(Excel_Advanced_Sales_Dataset_2000__3[[#This Row],[Total Sales]]&gt;50000,{"Yes"},{"No"})</f>
        <v>Yes</v>
      </c>
      <c r="N1957" s="5">
        <v>46091</v>
      </c>
      <c r="O1957" s="1" t="s">
        <v>45</v>
      </c>
      <c r="P1957" t="s">
        <v>35</v>
      </c>
      <c r="Q1957" t="str">
        <f>IF(Excel_Advanced_Sales_Dataset_2000__3[[#This Row],[Delivery Status]]="Pending","Follow Up","Ok")</f>
        <v>Ok</v>
      </c>
      <c r="R1957" s="1" t="s">
        <v>53</v>
      </c>
      <c r="S1957">
        <f>Excel_Advanced_Sales_Dataset_2000__3[[#This Row],[Quantity]]*Excel_Advanced_Sales_Dataset_2000__3[[#This Row],[Unit Price]]*Excel_Advanced_Sales_Dataset_2000__3[[#This Row],[Discount %]]/100</f>
        <v>90619.923240000004</v>
      </c>
      <c r="T1957" s="4">
        <f>Excel_Advanced_Sales_Dataset_2000__3[[#This Row],[Quantity]]*Excel_Advanced_Sales_Dataset_2000__3[[#This Row],[Unit Price]]-Excel_Advanced_Sales_Dataset_2000__3[[#This Row],[Discount Amount]]</f>
        <v>394757.27676000004</v>
      </c>
    </row>
    <row r="1958" spans="1:20" x14ac:dyDescent="0.25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>
        <v>41</v>
      </c>
      <c r="J1958" s="4">
        <v>14383</v>
      </c>
      <c r="K1958" s="6">
        <v>13.16</v>
      </c>
      <c r="L1958" s="4">
        <v>512098.09</v>
      </c>
      <c r="M1958" s="4" t="str" cm="1">
        <f t="array" ref="M1958">IF(Excel_Advanced_Sales_Dataset_2000__3[[#This Row],[Total Sales]]&gt;50000,{"Yes"},{"No"})</f>
        <v>Yes</v>
      </c>
      <c r="N1958" s="5">
        <v>46206</v>
      </c>
      <c r="O1958" s="1" t="s">
        <v>58</v>
      </c>
      <c r="P1958" t="s">
        <v>35</v>
      </c>
      <c r="Q1958" t="str">
        <f>IF(Excel_Advanced_Sales_Dataset_2000__3[[#This Row],[Delivery Status]]="Pending","Follow Up","Ok")</f>
        <v>Ok</v>
      </c>
      <c r="R1958" s="1" t="s">
        <v>36</v>
      </c>
      <c r="S1958">
        <f>Excel_Advanced_Sales_Dataset_2000__3[[#This Row],[Quantity]]*Excel_Advanced_Sales_Dataset_2000__3[[#This Row],[Unit Price]]*Excel_Advanced_Sales_Dataset_2000__3[[#This Row],[Discount %]]/100</f>
        <v>77604.914799999999</v>
      </c>
      <c r="T1958" s="4">
        <f>Excel_Advanced_Sales_Dataset_2000__3[[#This Row],[Quantity]]*Excel_Advanced_Sales_Dataset_2000__3[[#This Row],[Unit Price]]-Excel_Advanced_Sales_Dataset_2000__3[[#This Row],[Discount Amount]]</f>
        <v>512098.08519999997</v>
      </c>
    </row>
    <row r="1959" spans="1:20" x14ac:dyDescent="0.25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>
        <v>27</v>
      </c>
      <c r="J1959" s="4">
        <v>38866.410000000003</v>
      </c>
      <c r="K1959" s="6">
        <v>14.02</v>
      </c>
      <c r="L1959" s="4">
        <v>902268.16</v>
      </c>
      <c r="M1959" s="4" t="str" cm="1">
        <f t="array" ref="M1959">IF(Excel_Advanced_Sales_Dataset_2000__3[[#This Row],[Total Sales]]&gt;50000,{"Yes"},{"No"})</f>
        <v>Yes</v>
      </c>
      <c r="N1959" s="5">
        <v>46030</v>
      </c>
      <c r="O1959" s="1" t="s">
        <v>45</v>
      </c>
      <c r="P1959" t="s">
        <v>59</v>
      </c>
      <c r="Q1959" t="str">
        <f>IF(Excel_Advanced_Sales_Dataset_2000__3[[#This Row],[Delivery Status]]="Pending","Follow Up","Ok")</f>
        <v>Ok</v>
      </c>
      <c r="R1959" s="1" t="s">
        <v>36</v>
      </c>
      <c r="S1959">
        <f>Excel_Advanced_Sales_Dataset_2000__3[[#This Row],[Quantity]]*Excel_Advanced_Sales_Dataset_2000__3[[#This Row],[Unit Price]]*Excel_Advanced_Sales_Dataset_2000__3[[#This Row],[Discount %]]/100</f>
        <v>147124.908414</v>
      </c>
      <c r="T1959" s="4">
        <f>Excel_Advanced_Sales_Dataset_2000__3[[#This Row],[Quantity]]*Excel_Advanced_Sales_Dataset_2000__3[[#This Row],[Unit Price]]-Excel_Advanced_Sales_Dataset_2000__3[[#This Row],[Discount Amount]]</f>
        <v>902268.16158600012</v>
      </c>
    </row>
    <row r="1960" spans="1:20" x14ac:dyDescent="0.25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>
        <v>45</v>
      </c>
      <c r="J1960" s="4">
        <v>35165.82</v>
      </c>
      <c r="K1960" s="6">
        <v>14.43</v>
      </c>
      <c r="L1960" s="4">
        <v>1354112.65</v>
      </c>
      <c r="M1960" s="4" t="str" cm="1">
        <f t="array" ref="M1960">IF(Excel_Advanced_Sales_Dataset_2000__3[[#This Row],[Total Sales]]&gt;50000,{"Yes"},{"No"})</f>
        <v>Yes</v>
      </c>
      <c r="N1960" s="5">
        <v>46297</v>
      </c>
      <c r="O1960" s="1" t="s">
        <v>58</v>
      </c>
      <c r="P1960" t="s">
        <v>35</v>
      </c>
      <c r="Q1960" t="str">
        <f>IF(Excel_Advanced_Sales_Dataset_2000__3[[#This Row],[Delivery Status]]="Pending","Follow Up","Ok")</f>
        <v>Ok</v>
      </c>
      <c r="R1960" s="1" t="s">
        <v>36</v>
      </c>
      <c r="S1960">
        <f>Excel_Advanced_Sales_Dataset_2000__3[[#This Row],[Quantity]]*Excel_Advanced_Sales_Dataset_2000__3[[#This Row],[Unit Price]]*Excel_Advanced_Sales_Dataset_2000__3[[#This Row],[Discount %]]/100</f>
        <v>228349.25216999996</v>
      </c>
      <c r="T1960" s="4">
        <f>Excel_Advanced_Sales_Dataset_2000__3[[#This Row],[Quantity]]*Excel_Advanced_Sales_Dataset_2000__3[[#This Row],[Unit Price]]-Excel_Advanced_Sales_Dataset_2000__3[[#This Row],[Discount Amount]]</f>
        <v>1354112.6478299999</v>
      </c>
    </row>
    <row r="1961" spans="1:20" x14ac:dyDescent="0.25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>
        <v>36</v>
      </c>
      <c r="J1961" s="4">
        <v>47860.17</v>
      </c>
      <c r="K1961" s="6">
        <v>9.07</v>
      </c>
      <c r="L1961" s="4">
        <v>1566693.09</v>
      </c>
      <c r="M1961" s="4" t="str" cm="1">
        <f t="array" ref="M1961">IF(Excel_Advanced_Sales_Dataset_2000__3[[#This Row],[Total Sales]]&gt;50000,{"Yes"},{"No"})</f>
        <v>Yes</v>
      </c>
      <c r="N1961" s="5">
        <v>46034</v>
      </c>
      <c r="O1961" s="1" t="s">
        <v>58</v>
      </c>
      <c r="P1961" t="s">
        <v>35</v>
      </c>
      <c r="Q1961" t="str">
        <f>IF(Excel_Advanced_Sales_Dataset_2000__3[[#This Row],[Delivery Status]]="Pending","Follow Up","Ok")</f>
        <v>Ok</v>
      </c>
      <c r="R1961" s="1" t="s">
        <v>36</v>
      </c>
      <c r="S1961">
        <f>Excel_Advanced_Sales_Dataset_2000__3[[#This Row],[Quantity]]*Excel_Advanced_Sales_Dataset_2000__3[[#This Row],[Unit Price]]*Excel_Advanced_Sales_Dataset_2000__3[[#This Row],[Discount %]]/100</f>
        <v>156273.027084</v>
      </c>
      <c r="T1961" s="4">
        <f>Excel_Advanced_Sales_Dataset_2000__3[[#This Row],[Quantity]]*Excel_Advanced_Sales_Dataset_2000__3[[#This Row],[Unit Price]]-Excel_Advanced_Sales_Dataset_2000__3[[#This Row],[Discount Amount]]</f>
        <v>1566693.0929159999</v>
      </c>
    </row>
    <row r="1962" spans="1:20" x14ac:dyDescent="0.25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>
        <v>38</v>
      </c>
      <c r="J1962" s="4">
        <v>32753.8</v>
      </c>
      <c r="K1962" s="6">
        <v>2.35</v>
      </c>
      <c r="L1962" s="4">
        <v>1215395.26</v>
      </c>
      <c r="M1962" s="4" t="str" cm="1">
        <f t="array" ref="M1962">IF(Excel_Advanced_Sales_Dataset_2000__3[[#This Row],[Total Sales]]&gt;50000,{"Yes"},{"No"})</f>
        <v>Yes</v>
      </c>
      <c r="N1962" s="5">
        <v>46276</v>
      </c>
      <c r="O1962" s="1" t="s">
        <v>58</v>
      </c>
      <c r="P1962" t="s">
        <v>35</v>
      </c>
      <c r="Q1962" t="str">
        <f>IF(Excel_Advanced_Sales_Dataset_2000__3[[#This Row],[Delivery Status]]="Pending","Follow Up","Ok")</f>
        <v>Ok</v>
      </c>
      <c r="R1962" s="1" t="s">
        <v>53</v>
      </c>
      <c r="S1962">
        <f>Excel_Advanced_Sales_Dataset_2000__3[[#This Row],[Quantity]]*Excel_Advanced_Sales_Dataset_2000__3[[#This Row],[Unit Price]]*Excel_Advanced_Sales_Dataset_2000__3[[#This Row],[Discount %]]/100</f>
        <v>29249.143399999997</v>
      </c>
      <c r="T1962" s="4">
        <f>Excel_Advanced_Sales_Dataset_2000__3[[#This Row],[Quantity]]*Excel_Advanced_Sales_Dataset_2000__3[[#This Row],[Unit Price]]-Excel_Advanced_Sales_Dataset_2000__3[[#This Row],[Discount Amount]]</f>
        <v>1215395.2566</v>
      </c>
    </row>
    <row r="1963" spans="1:20" x14ac:dyDescent="0.25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>
        <v>13</v>
      </c>
      <c r="J1963" s="4">
        <v>28072.3</v>
      </c>
      <c r="K1963" s="6">
        <v>5.14</v>
      </c>
      <c r="L1963" s="4">
        <v>346181.99</v>
      </c>
      <c r="M1963" s="4" t="str" cm="1">
        <f t="array" ref="M1963">IF(Excel_Advanced_Sales_Dataset_2000__3[[#This Row],[Total Sales]]&gt;50000,{"Yes"},{"No"})</f>
        <v>Yes</v>
      </c>
      <c r="N1963" s="5">
        <v>46191</v>
      </c>
      <c r="O1963" s="1" t="s">
        <v>45</v>
      </c>
      <c r="P1963" t="s">
        <v>35</v>
      </c>
      <c r="Q1963" t="str">
        <f>IF(Excel_Advanced_Sales_Dataset_2000__3[[#This Row],[Delivery Status]]="Pending","Follow Up","Ok")</f>
        <v>Ok</v>
      </c>
      <c r="R1963" s="1" t="s">
        <v>26</v>
      </c>
      <c r="S1963">
        <f>Excel_Advanced_Sales_Dataset_2000__3[[#This Row],[Quantity]]*Excel_Advanced_Sales_Dataset_2000__3[[#This Row],[Unit Price]]*Excel_Advanced_Sales_Dataset_2000__3[[#This Row],[Discount %]]/100</f>
        <v>18757.910859999996</v>
      </c>
      <c r="T1963" s="4">
        <f>Excel_Advanced_Sales_Dataset_2000__3[[#This Row],[Quantity]]*Excel_Advanced_Sales_Dataset_2000__3[[#This Row],[Unit Price]]-Excel_Advanced_Sales_Dataset_2000__3[[#This Row],[Discount Amount]]</f>
        <v>346181.98913999996</v>
      </c>
    </row>
    <row r="1964" spans="1:20" x14ac:dyDescent="0.25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>
        <v>48</v>
      </c>
      <c r="J1964" s="4">
        <v>17727.3</v>
      </c>
      <c r="K1964" s="6">
        <v>12.67</v>
      </c>
      <c r="L1964" s="4">
        <v>743100.05</v>
      </c>
      <c r="M1964" s="4" t="str" cm="1">
        <f t="array" ref="M1964">IF(Excel_Advanced_Sales_Dataset_2000__3[[#This Row],[Total Sales]]&gt;50000,{"Yes"},{"No"})</f>
        <v>Yes</v>
      </c>
      <c r="N1964" s="5">
        <v>46385</v>
      </c>
      <c r="O1964" s="1" t="s">
        <v>45</v>
      </c>
      <c r="P1964" t="s">
        <v>35</v>
      </c>
      <c r="Q1964" t="str">
        <f>IF(Excel_Advanced_Sales_Dataset_2000__3[[#This Row],[Delivery Status]]="Pending","Follow Up","Ok")</f>
        <v>Ok</v>
      </c>
      <c r="R1964" s="1" t="s">
        <v>26</v>
      </c>
      <c r="S1964">
        <f>Excel_Advanced_Sales_Dataset_2000__3[[#This Row],[Quantity]]*Excel_Advanced_Sales_Dataset_2000__3[[#This Row],[Unit Price]]*Excel_Advanced_Sales_Dataset_2000__3[[#This Row],[Discount %]]/100</f>
        <v>107810.34767999999</v>
      </c>
      <c r="T1964" s="4">
        <f>Excel_Advanced_Sales_Dataset_2000__3[[#This Row],[Quantity]]*Excel_Advanced_Sales_Dataset_2000__3[[#This Row],[Unit Price]]-Excel_Advanced_Sales_Dataset_2000__3[[#This Row],[Discount Amount]]</f>
        <v>743100.0523199999</v>
      </c>
    </row>
    <row r="1965" spans="1:20" x14ac:dyDescent="0.25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>
        <v>29</v>
      </c>
      <c r="J1965" s="4">
        <v>3308.54</v>
      </c>
      <c r="K1965" s="6">
        <v>4.1100000000000003</v>
      </c>
      <c r="L1965" s="4">
        <v>92004.21</v>
      </c>
      <c r="M1965" s="4" t="str" cm="1">
        <f t="array" ref="M1965">IF(Excel_Advanced_Sales_Dataset_2000__3[[#This Row],[Total Sales]]&gt;50000,{"Yes"},{"No"})</f>
        <v>Yes</v>
      </c>
      <c r="N1965" s="5">
        <v>46081</v>
      </c>
      <c r="O1965" s="1" t="s">
        <v>58</v>
      </c>
      <c r="P1965" t="s">
        <v>35</v>
      </c>
      <c r="Q1965" t="str">
        <f>IF(Excel_Advanced_Sales_Dataset_2000__3[[#This Row],[Delivery Status]]="Pending","Follow Up","Ok")</f>
        <v>Ok</v>
      </c>
      <c r="R1965" s="1" t="s">
        <v>53</v>
      </c>
      <c r="S1965">
        <f>Excel_Advanced_Sales_Dataset_2000__3[[#This Row],[Quantity]]*Excel_Advanced_Sales_Dataset_2000__3[[#This Row],[Unit Price]]*Excel_Advanced_Sales_Dataset_2000__3[[#This Row],[Discount %]]/100</f>
        <v>3943.4488260000007</v>
      </c>
      <c r="T1965" s="4">
        <f>Excel_Advanced_Sales_Dataset_2000__3[[#This Row],[Quantity]]*Excel_Advanced_Sales_Dataset_2000__3[[#This Row],[Unit Price]]-Excel_Advanced_Sales_Dataset_2000__3[[#This Row],[Discount Amount]]</f>
        <v>92004.211173999996</v>
      </c>
    </row>
    <row r="1966" spans="1:20" x14ac:dyDescent="0.25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>
        <v>37</v>
      </c>
      <c r="J1966" s="4">
        <v>28709.99</v>
      </c>
      <c r="K1966" s="6">
        <v>1.74</v>
      </c>
      <c r="L1966" s="4">
        <v>1043786.14</v>
      </c>
      <c r="M1966" s="4" t="str" cm="1">
        <f t="array" ref="M1966">IF(Excel_Advanced_Sales_Dataset_2000__3[[#This Row],[Total Sales]]&gt;50000,{"Yes"},{"No"})</f>
        <v>Yes</v>
      </c>
      <c r="N1966" s="5">
        <v>46243</v>
      </c>
      <c r="O1966" s="1" t="s">
        <v>58</v>
      </c>
      <c r="P1966" t="s">
        <v>35</v>
      </c>
      <c r="Q1966" t="str">
        <f>IF(Excel_Advanced_Sales_Dataset_2000__3[[#This Row],[Delivery Status]]="Pending","Follow Up","Ok")</f>
        <v>Ok</v>
      </c>
      <c r="R1966" s="1" t="s">
        <v>36</v>
      </c>
      <c r="S1966">
        <f>Excel_Advanced_Sales_Dataset_2000__3[[#This Row],[Quantity]]*Excel_Advanced_Sales_Dataset_2000__3[[#This Row],[Unit Price]]*Excel_Advanced_Sales_Dataset_2000__3[[#This Row],[Discount %]]/100</f>
        <v>18483.491561999999</v>
      </c>
      <c r="T1966" s="4">
        <f>Excel_Advanced_Sales_Dataset_2000__3[[#This Row],[Quantity]]*Excel_Advanced_Sales_Dataset_2000__3[[#This Row],[Unit Price]]-Excel_Advanced_Sales_Dataset_2000__3[[#This Row],[Discount Amount]]</f>
        <v>1043786.1384380001</v>
      </c>
    </row>
    <row r="1967" spans="1:20" x14ac:dyDescent="0.25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>
        <v>1</v>
      </c>
      <c r="J1967" s="4">
        <v>49253.120000000003</v>
      </c>
      <c r="K1967" s="6">
        <v>13.92</v>
      </c>
      <c r="L1967" s="4">
        <v>42397.09</v>
      </c>
      <c r="M1967" s="4" t="str" cm="1">
        <f t="array" ref="M1967">IF(Excel_Advanced_Sales_Dataset_2000__3[[#This Row],[Total Sales]]&gt;50000,{"Yes"},{"No"})</f>
        <v>No</v>
      </c>
      <c r="N1967" s="5">
        <v>46352</v>
      </c>
      <c r="O1967" s="1" t="s">
        <v>113</v>
      </c>
      <c r="P1967" t="s">
        <v>35</v>
      </c>
      <c r="Q1967" t="str">
        <f>IF(Excel_Advanced_Sales_Dataset_2000__3[[#This Row],[Delivery Status]]="Pending","Follow Up","Ok")</f>
        <v>Ok</v>
      </c>
      <c r="R1967" s="1" t="s">
        <v>36</v>
      </c>
      <c r="S1967">
        <f>Excel_Advanced_Sales_Dataset_2000__3[[#This Row],[Quantity]]*Excel_Advanced_Sales_Dataset_2000__3[[#This Row],[Unit Price]]*Excel_Advanced_Sales_Dataset_2000__3[[#This Row],[Discount %]]/100</f>
        <v>6856.0343040000007</v>
      </c>
      <c r="T1967" s="4">
        <f>Excel_Advanced_Sales_Dataset_2000__3[[#This Row],[Quantity]]*Excel_Advanced_Sales_Dataset_2000__3[[#This Row],[Unit Price]]-Excel_Advanced_Sales_Dataset_2000__3[[#This Row],[Discount Amount]]</f>
        <v>42397.085696000002</v>
      </c>
    </row>
    <row r="1968" spans="1:20" x14ac:dyDescent="0.25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>
        <v>5</v>
      </c>
      <c r="J1968" s="4">
        <v>4557.41</v>
      </c>
      <c r="K1968" s="6">
        <v>5.63</v>
      </c>
      <c r="L1968" s="4">
        <v>21504.14</v>
      </c>
      <c r="M1968" s="4" t="str" cm="1">
        <f t="array" ref="M1968">IF(Excel_Advanced_Sales_Dataset_2000__3[[#This Row],[Total Sales]]&gt;50000,{"Yes"},{"No"})</f>
        <v>No</v>
      </c>
      <c r="N1968" s="5">
        <v>46290</v>
      </c>
      <c r="O1968" s="1" t="s">
        <v>58</v>
      </c>
      <c r="P1968" t="s">
        <v>25</v>
      </c>
      <c r="Q1968" t="str">
        <f>IF(Excel_Advanced_Sales_Dataset_2000__3[[#This Row],[Delivery Status]]="Pending","Follow Up","Ok")</f>
        <v>Follow Up</v>
      </c>
      <c r="R1968" s="1" t="s">
        <v>26</v>
      </c>
      <c r="S1968">
        <f>Excel_Advanced_Sales_Dataset_2000__3[[#This Row],[Quantity]]*Excel_Advanced_Sales_Dataset_2000__3[[#This Row],[Unit Price]]*Excel_Advanced_Sales_Dataset_2000__3[[#This Row],[Discount %]]/100</f>
        <v>1282.9109149999999</v>
      </c>
      <c r="T1968" s="4">
        <f>Excel_Advanced_Sales_Dataset_2000__3[[#This Row],[Quantity]]*Excel_Advanced_Sales_Dataset_2000__3[[#This Row],[Unit Price]]-Excel_Advanced_Sales_Dataset_2000__3[[#This Row],[Discount Amount]]</f>
        <v>21504.139084999999</v>
      </c>
    </row>
    <row r="1969" spans="1:20" x14ac:dyDescent="0.25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>
        <v>46</v>
      </c>
      <c r="J1969" s="4">
        <v>2518.25</v>
      </c>
      <c r="K1969" s="6">
        <v>17.16</v>
      </c>
      <c r="L1969" s="4">
        <v>95961.44</v>
      </c>
      <c r="M1969" s="4" t="str" cm="1">
        <f t="array" ref="M1969">IF(Excel_Advanced_Sales_Dataset_2000__3[[#This Row],[Total Sales]]&gt;50000,{"Yes"},{"No"})</f>
        <v>Yes</v>
      </c>
      <c r="N1969" s="5">
        <v>46240</v>
      </c>
      <c r="O1969" s="1" t="s">
        <v>58</v>
      </c>
      <c r="P1969" t="s">
        <v>35</v>
      </c>
      <c r="Q1969" t="str">
        <f>IF(Excel_Advanced_Sales_Dataset_2000__3[[#This Row],[Delivery Status]]="Pending","Follow Up","Ok")</f>
        <v>Ok</v>
      </c>
      <c r="R1969" s="1" t="s">
        <v>36</v>
      </c>
      <c r="S1969">
        <f>Excel_Advanced_Sales_Dataset_2000__3[[#This Row],[Quantity]]*Excel_Advanced_Sales_Dataset_2000__3[[#This Row],[Unit Price]]*Excel_Advanced_Sales_Dataset_2000__3[[#This Row],[Discount %]]/100</f>
        <v>19878.058199999999</v>
      </c>
      <c r="T1969" s="4">
        <f>Excel_Advanced_Sales_Dataset_2000__3[[#This Row],[Quantity]]*Excel_Advanced_Sales_Dataset_2000__3[[#This Row],[Unit Price]]-Excel_Advanced_Sales_Dataset_2000__3[[#This Row],[Discount Amount]]</f>
        <v>95961.441800000001</v>
      </c>
    </row>
    <row r="1970" spans="1:20" x14ac:dyDescent="0.25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>
        <v>21</v>
      </c>
      <c r="J1970" s="4">
        <v>35865.69</v>
      </c>
      <c r="K1970" s="6">
        <v>1.26</v>
      </c>
      <c r="L1970" s="4">
        <v>743689.43</v>
      </c>
      <c r="M1970" s="4" t="str" cm="1">
        <f t="array" ref="M1970">IF(Excel_Advanced_Sales_Dataset_2000__3[[#This Row],[Total Sales]]&gt;50000,{"Yes"},{"No"})</f>
        <v>Yes</v>
      </c>
      <c r="N1970" s="5">
        <v>46193</v>
      </c>
      <c r="O1970" s="1" t="s">
        <v>58</v>
      </c>
      <c r="P1970" t="s">
        <v>35</v>
      </c>
      <c r="Q1970" t="str">
        <f>IF(Excel_Advanced_Sales_Dataset_2000__3[[#This Row],[Delivery Status]]="Pending","Follow Up","Ok")</f>
        <v>Ok</v>
      </c>
      <c r="R1970" s="1" t="s">
        <v>53</v>
      </c>
      <c r="S1970">
        <f>Excel_Advanced_Sales_Dataset_2000__3[[#This Row],[Quantity]]*Excel_Advanced_Sales_Dataset_2000__3[[#This Row],[Unit Price]]*Excel_Advanced_Sales_Dataset_2000__3[[#This Row],[Discount %]]/100</f>
        <v>9490.0615739999994</v>
      </c>
      <c r="T1970" s="4">
        <f>Excel_Advanced_Sales_Dataset_2000__3[[#This Row],[Quantity]]*Excel_Advanced_Sales_Dataset_2000__3[[#This Row],[Unit Price]]-Excel_Advanced_Sales_Dataset_2000__3[[#This Row],[Discount Amount]]</f>
        <v>743689.42842599994</v>
      </c>
    </row>
    <row r="1971" spans="1:20" x14ac:dyDescent="0.25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>
        <v>47</v>
      </c>
      <c r="J1971" s="4">
        <v>25020.720000000001</v>
      </c>
      <c r="K1971" s="6">
        <v>0.86</v>
      </c>
      <c r="L1971" s="4">
        <v>1165860.46</v>
      </c>
      <c r="M1971" s="4" t="str" cm="1">
        <f t="array" ref="M1971">IF(Excel_Advanced_Sales_Dataset_2000__3[[#This Row],[Total Sales]]&gt;50000,{"Yes"},{"No"})</f>
        <v>Yes</v>
      </c>
      <c r="N1971" s="5">
        <v>46061</v>
      </c>
      <c r="O1971" s="1" t="s">
        <v>113</v>
      </c>
      <c r="P1971" t="s">
        <v>35</v>
      </c>
      <c r="Q1971" t="str">
        <f>IF(Excel_Advanced_Sales_Dataset_2000__3[[#This Row],[Delivery Status]]="Pending","Follow Up","Ok")</f>
        <v>Ok</v>
      </c>
      <c r="R1971" s="1" t="s">
        <v>36</v>
      </c>
      <c r="S1971">
        <f>Excel_Advanced_Sales_Dataset_2000__3[[#This Row],[Quantity]]*Excel_Advanced_Sales_Dataset_2000__3[[#This Row],[Unit Price]]*Excel_Advanced_Sales_Dataset_2000__3[[#This Row],[Discount %]]/100</f>
        <v>10113.375024000001</v>
      </c>
      <c r="T1971" s="4">
        <f>Excel_Advanced_Sales_Dataset_2000__3[[#This Row],[Quantity]]*Excel_Advanced_Sales_Dataset_2000__3[[#This Row],[Unit Price]]-Excel_Advanced_Sales_Dataset_2000__3[[#This Row],[Discount Amount]]</f>
        <v>1165860.4649760001</v>
      </c>
    </row>
    <row r="1972" spans="1:20" x14ac:dyDescent="0.25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>
        <v>10</v>
      </c>
      <c r="J1972" s="4">
        <v>5746.06</v>
      </c>
      <c r="K1972" s="6">
        <v>3.85</v>
      </c>
      <c r="L1972" s="4">
        <v>55248.37</v>
      </c>
      <c r="M1972" s="4" t="str" cm="1">
        <f t="array" ref="M1972">IF(Excel_Advanced_Sales_Dataset_2000__3[[#This Row],[Total Sales]]&gt;50000,{"Yes"},{"No"})</f>
        <v>Yes</v>
      </c>
      <c r="N1972" s="5">
        <v>46173</v>
      </c>
      <c r="O1972" s="1" t="s">
        <v>45</v>
      </c>
      <c r="P1972" t="s">
        <v>35</v>
      </c>
      <c r="Q1972" t="str">
        <f>IF(Excel_Advanced_Sales_Dataset_2000__3[[#This Row],[Delivery Status]]="Pending","Follow Up","Ok")</f>
        <v>Ok</v>
      </c>
      <c r="R1972" s="1" t="s">
        <v>36</v>
      </c>
      <c r="S1972">
        <f>Excel_Advanced_Sales_Dataset_2000__3[[#This Row],[Quantity]]*Excel_Advanced_Sales_Dataset_2000__3[[#This Row],[Unit Price]]*Excel_Advanced_Sales_Dataset_2000__3[[#This Row],[Discount %]]/100</f>
        <v>2212.2331000000004</v>
      </c>
      <c r="T1972" s="4">
        <f>Excel_Advanced_Sales_Dataset_2000__3[[#This Row],[Quantity]]*Excel_Advanced_Sales_Dataset_2000__3[[#This Row],[Unit Price]]-Excel_Advanced_Sales_Dataset_2000__3[[#This Row],[Discount Amount]]</f>
        <v>55248.366900000008</v>
      </c>
    </row>
    <row r="1973" spans="1:20" x14ac:dyDescent="0.25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>
        <v>13</v>
      </c>
      <c r="J1973" s="4">
        <v>21555.919999999998</v>
      </c>
      <c r="K1973" s="6">
        <v>4.09</v>
      </c>
      <c r="L1973" s="4">
        <v>268765.68</v>
      </c>
      <c r="M1973" s="4" t="str" cm="1">
        <f t="array" ref="M1973">IF(Excel_Advanced_Sales_Dataset_2000__3[[#This Row],[Total Sales]]&gt;50000,{"Yes"},{"No"})</f>
        <v>Yes</v>
      </c>
      <c r="N1973" s="5">
        <v>46117</v>
      </c>
      <c r="O1973" s="1" t="s">
        <v>45</v>
      </c>
      <c r="P1973" t="s">
        <v>35</v>
      </c>
      <c r="Q1973" t="str">
        <f>IF(Excel_Advanced_Sales_Dataset_2000__3[[#This Row],[Delivery Status]]="Pending","Follow Up","Ok")</f>
        <v>Ok</v>
      </c>
      <c r="R1973" s="1" t="s">
        <v>53</v>
      </c>
      <c r="S1973">
        <f>Excel_Advanced_Sales_Dataset_2000__3[[#This Row],[Quantity]]*Excel_Advanced_Sales_Dataset_2000__3[[#This Row],[Unit Price]]*Excel_Advanced_Sales_Dataset_2000__3[[#This Row],[Discount %]]/100</f>
        <v>11461.282663999998</v>
      </c>
      <c r="T1973" s="4">
        <f>Excel_Advanced_Sales_Dataset_2000__3[[#This Row],[Quantity]]*Excel_Advanced_Sales_Dataset_2000__3[[#This Row],[Unit Price]]-Excel_Advanced_Sales_Dataset_2000__3[[#This Row],[Discount Amount]]</f>
        <v>268765.67733599996</v>
      </c>
    </row>
    <row r="1974" spans="1:20" x14ac:dyDescent="0.25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>
        <v>45</v>
      </c>
      <c r="J1974" s="4">
        <v>34508.639999999999</v>
      </c>
      <c r="K1974" s="6">
        <v>3.7</v>
      </c>
      <c r="L1974" s="4">
        <v>1495431.91</v>
      </c>
      <c r="M1974" s="4" t="str" cm="1">
        <f t="array" ref="M1974">IF(Excel_Advanced_Sales_Dataset_2000__3[[#This Row],[Total Sales]]&gt;50000,{"Yes"},{"No"})</f>
        <v>Yes</v>
      </c>
      <c r="N1974" s="5">
        <v>46341</v>
      </c>
      <c r="O1974" s="1" t="s">
        <v>113</v>
      </c>
      <c r="P1974" t="s">
        <v>35</v>
      </c>
      <c r="Q1974" t="str">
        <f>IF(Excel_Advanced_Sales_Dataset_2000__3[[#This Row],[Delivery Status]]="Pending","Follow Up","Ok")</f>
        <v>Ok</v>
      </c>
      <c r="R1974" s="1" t="s">
        <v>53</v>
      </c>
      <c r="S1974">
        <f>Excel_Advanced_Sales_Dataset_2000__3[[#This Row],[Quantity]]*Excel_Advanced_Sales_Dataset_2000__3[[#This Row],[Unit Price]]*Excel_Advanced_Sales_Dataset_2000__3[[#This Row],[Discount %]]/100</f>
        <v>57456.885600000009</v>
      </c>
      <c r="T1974" s="4">
        <f>Excel_Advanced_Sales_Dataset_2000__3[[#This Row],[Quantity]]*Excel_Advanced_Sales_Dataset_2000__3[[#This Row],[Unit Price]]-Excel_Advanced_Sales_Dataset_2000__3[[#This Row],[Discount Amount]]</f>
        <v>1495431.9144000001</v>
      </c>
    </row>
    <row r="1975" spans="1:20" x14ac:dyDescent="0.25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>
        <v>44</v>
      </c>
      <c r="J1975" s="4">
        <v>28107.31</v>
      </c>
      <c r="K1975" s="6">
        <v>12.99</v>
      </c>
      <c r="L1975" s="4">
        <v>1076071.5</v>
      </c>
      <c r="M1975" s="4" t="str" cm="1">
        <f t="array" ref="M1975">IF(Excel_Advanced_Sales_Dataset_2000__3[[#This Row],[Total Sales]]&gt;50000,{"Yes"},{"No"})</f>
        <v>Yes</v>
      </c>
      <c r="N1975" s="5">
        <v>46260</v>
      </c>
      <c r="O1975" s="1" t="s">
        <v>24</v>
      </c>
      <c r="P1975" t="s">
        <v>25</v>
      </c>
      <c r="Q1975" t="str">
        <f>IF(Excel_Advanced_Sales_Dataset_2000__3[[#This Row],[Delivery Status]]="Pending","Follow Up","Ok")</f>
        <v>Follow Up</v>
      </c>
      <c r="R1975" s="1" t="s">
        <v>36</v>
      </c>
      <c r="S1975">
        <f>Excel_Advanced_Sales_Dataset_2000__3[[#This Row],[Quantity]]*Excel_Advanced_Sales_Dataset_2000__3[[#This Row],[Unit Price]]*Excel_Advanced_Sales_Dataset_2000__3[[#This Row],[Discount %]]/100</f>
        <v>160650.14103600002</v>
      </c>
      <c r="T1975" s="4">
        <f>Excel_Advanced_Sales_Dataset_2000__3[[#This Row],[Quantity]]*Excel_Advanced_Sales_Dataset_2000__3[[#This Row],[Unit Price]]-Excel_Advanced_Sales_Dataset_2000__3[[#This Row],[Discount Amount]]</f>
        <v>1076071.498964</v>
      </c>
    </row>
    <row r="1976" spans="1:20" x14ac:dyDescent="0.25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>
        <v>36</v>
      </c>
      <c r="J1976" s="4">
        <v>30747.95</v>
      </c>
      <c r="K1976" s="6">
        <v>16.62</v>
      </c>
      <c r="L1976" s="4">
        <v>922955.07</v>
      </c>
      <c r="M1976" s="4" t="str" cm="1">
        <f t="array" ref="M1976">IF(Excel_Advanced_Sales_Dataset_2000__3[[#This Row],[Total Sales]]&gt;50000,{"Yes"},{"No"})</f>
        <v>Yes</v>
      </c>
      <c r="N1976" s="5">
        <v>46132</v>
      </c>
      <c r="O1976" s="1" t="s">
        <v>45</v>
      </c>
      <c r="P1976" t="s">
        <v>35</v>
      </c>
      <c r="Q1976" t="str">
        <f>IF(Excel_Advanced_Sales_Dataset_2000__3[[#This Row],[Delivery Status]]="Pending","Follow Up","Ok")</f>
        <v>Ok</v>
      </c>
      <c r="R1976" s="1" t="s">
        <v>36</v>
      </c>
      <c r="S1976">
        <f>Excel_Advanced_Sales_Dataset_2000__3[[#This Row],[Quantity]]*Excel_Advanced_Sales_Dataset_2000__3[[#This Row],[Unit Price]]*Excel_Advanced_Sales_Dataset_2000__3[[#This Row],[Discount %]]/100</f>
        <v>183971.13444000002</v>
      </c>
      <c r="T1976" s="4">
        <f>Excel_Advanced_Sales_Dataset_2000__3[[#This Row],[Quantity]]*Excel_Advanced_Sales_Dataset_2000__3[[#This Row],[Unit Price]]-Excel_Advanced_Sales_Dataset_2000__3[[#This Row],[Discount Amount]]</f>
        <v>922955.0655599999</v>
      </c>
    </row>
    <row r="1977" spans="1:20" x14ac:dyDescent="0.25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>
        <v>29</v>
      </c>
      <c r="J1977" s="4">
        <v>4389.8900000000003</v>
      </c>
      <c r="K1977" s="6">
        <v>10.19</v>
      </c>
      <c r="L1977" s="4">
        <v>114334.25</v>
      </c>
      <c r="M1977" s="4" t="str" cm="1">
        <f t="array" ref="M1977">IF(Excel_Advanced_Sales_Dataset_2000__3[[#This Row],[Total Sales]]&gt;50000,{"Yes"},{"No"})</f>
        <v>Yes</v>
      </c>
      <c r="N1977" s="5">
        <v>46043</v>
      </c>
      <c r="O1977" s="1" t="s">
        <v>45</v>
      </c>
      <c r="P1977" t="s">
        <v>35</v>
      </c>
      <c r="Q1977" t="str">
        <f>IF(Excel_Advanced_Sales_Dataset_2000__3[[#This Row],[Delivery Status]]="Pending","Follow Up","Ok")</f>
        <v>Ok</v>
      </c>
      <c r="R1977" s="1" t="s">
        <v>36</v>
      </c>
      <c r="S1977">
        <f>Excel_Advanced_Sales_Dataset_2000__3[[#This Row],[Quantity]]*Excel_Advanced_Sales_Dataset_2000__3[[#This Row],[Unit Price]]*Excel_Advanced_Sales_Dataset_2000__3[[#This Row],[Discount %]]/100</f>
        <v>12972.563939</v>
      </c>
      <c r="T1977" s="4">
        <f>Excel_Advanced_Sales_Dataset_2000__3[[#This Row],[Quantity]]*Excel_Advanced_Sales_Dataset_2000__3[[#This Row],[Unit Price]]-Excel_Advanced_Sales_Dataset_2000__3[[#This Row],[Discount Amount]]</f>
        <v>114334.24606100001</v>
      </c>
    </row>
    <row r="1978" spans="1:20" x14ac:dyDescent="0.25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>
        <v>31</v>
      </c>
      <c r="J1978" s="4">
        <v>39938.07</v>
      </c>
      <c r="K1978" s="6">
        <v>14.19</v>
      </c>
      <c r="L1978" s="4">
        <v>1062396.5900000001</v>
      </c>
      <c r="M1978" s="4" t="str" cm="1">
        <f t="array" ref="M1978">IF(Excel_Advanced_Sales_Dataset_2000__3[[#This Row],[Total Sales]]&gt;50000,{"Yes"},{"No"})</f>
        <v>Yes</v>
      </c>
      <c r="N1978" s="5">
        <v>46237</v>
      </c>
      <c r="O1978" s="1" t="s">
        <v>24</v>
      </c>
      <c r="P1978" t="s">
        <v>35</v>
      </c>
      <c r="Q1978" t="str">
        <f>IF(Excel_Advanced_Sales_Dataset_2000__3[[#This Row],[Delivery Status]]="Pending","Follow Up","Ok")</f>
        <v>Ok</v>
      </c>
      <c r="R1978" s="1" t="s">
        <v>53</v>
      </c>
      <c r="S1978">
        <f>Excel_Advanced_Sales_Dataset_2000__3[[#This Row],[Quantity]]*Excel_Advanced_Sales_Dataset_2000__3[[#This Row],[Unit Price]]*Excel_Advanced_Sales_Dataset_2000__3[[#This Row],[Discount %]]/100</f>
        <v>175683.57612299998</v>
      </c>
      <c r="T1978" s="4">
        <f>Excel_Advanced_Sales_Dataset_2000__3[[#This Row],[Quantity]]*Excel_Advanced_Sales_Dataset_2000__3[[#This Row],[Unit Price]]-Excel_Advanced_Sales_Dataset_2000__3[[#This Row],[Discount Amount]]</f>
        <v>1062396.593877</v>
      </c>
    </row>
    <row r="1979" spans="1:20" x14ac:dyDescent="0.25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>
        <v>18</v>
      </c>
      <c r="J1979" s="4">
        <v>25800.53</v>
      </c>
      <c r="K1979" s="6">
        <v>17.04</v>
      </c>
      <c r="L1979" s="4">
        <v>385274.15</v>
      </c>
      <c r="M1979" s="4" t="str" cm="1">
        <f t="array" ref="M1979">IF(Excel_Advanced_Sales_Dataset_2000__3[[#This Row],[Total Sales]]&gt;50000,{"Yes"},{"No"})</f>
        <v>Yes</v>
      </c>
      <c r="N1979" s="5">
        <v>46274</v>
      </c>
      <c r="O1979" s="1" t="s">
        <v>113</v>
      </c>
      <c r="P1979" t="s">
        <v>59</v>
      </c>
      <c r="Q1979" t="str">
        <f>IF(Excel_Advanced_Sales_Dataset_2000__3[[#This Row],[Delivery Status]]="Pending","Follow Up","Ok")</f>
        <v>Ok</v>
      </c>
      <c r="R1979" s="1" t="s">
        <v>53</v>
      </c>
      <c r="S1979">
        <f>Excel_Advanced_Sales_Dataset_2000__3[[#This Row],[Quantity]]*Excel_Advanced_Sales_Dataset_2000__3[[#This Row],[Unit Price]]*Excel_Advanced_Sales_Dataset_2000__3[[#This Row],[Discount %]]/100</f>
        <v>79135.385616</v>
      </c>
      <c r="T1979" s="4">
        <f>Excel_Advanced_Sales_Dataset_2000__3[[#This Row],[Quantity]]*Excel_Advanced_Sales_Dataset_2000__3[[#This Row],[Unit Price]]-Excel_Advanced_Sales_Dataset_2000__3[[#This Row],[Discount Amount]]</f>
        <v>385274.15438399999</v>
      </c>
    </row>
    <row r="1980" spans="1:20" x14ac:dyDescent="0.25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>
        <v>29</v>
      </c>
      <c r="J1980" s="4">
        <v>9498.4599999999991</v>
      </c>
      <c r="K1980" s="6">
        <v>3.54</v>
      </c>
      <c r="L1980" s="4">
        <v>265704.21999999997</v>
      </c>
      <c r="M1980" s="4" t="str" cm="1">
        <f t="array" ref="M1980">IF(Excel_Advanced_Sales_Dataset_2000__3[[#This Row],[Total Sales]]&gt;50000,{"Yes"},{"No"})</f>
        <v>Yes</v>
      </c>
      <c r="N1980" s="5">
        <v>46306</v>
      </c>
      <c r="O1980" s="1" t="s">
        <v>24</v>
      </c>
      <c r="P1980" t="s">
        <v>35</v>
      </c>
      <c r="Q1980" t="str">
        <f>IF(Excel_Advanced_Sales_Dataset_2000__3[[#This Row],[Delivery Status]]="Pending","Follow Up","Ok")</f>
        <v>Ok</v>
      </c>
      <c r="R1980" s="1" t="s">
        <v>36</v>
      </c>
      <c r="S1980">
        <f>Excel_Advanced_Sales_Dataset_2000__3[[#This Row],[Quantity]]*Excel_Advanced_Sales_Dataset_2000__3[[#This Row],[Unit Price]]*Excel_Advanced_Sales_Dataset_2000__3[[#This Row],[Discount %]]/100</f>
        <v>9751.1190359999982</v>
      </c>
      <c r="T1980" s="4">
        <f>Excel_Advanced_Sales_Dataset_2000__3[[#This Row],[Quantity]]*Excel_Advanced_Sales_Dataset_2000__3[[#This Row],[Unit Price]]-Excel_Advanced_Sales_Dataset_2000__3[[#This Row],[Discount Amount]]</f>
        <v>265704.22096399998</v>
      </c>
    </row>
    <row r="1981" spans="1:20" x14ac:dyDescent="0.25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>
        <v>44</v>
      </c>
      <c r="J1981" s="4">
        <v>16626.25</v>
      </c>
      <c r="K1981" s="6">
        <v>17.48</v>
      </c>
      <c r="L1981" s="4">
        <v>603679.18999999994</v>
      </c>
      <c r="M1981" s="4" t="str" cm="1">
        <f t="array" ref="M1981">IF(Excel_Advanced_Sales_Dataset_2000__3[[#This Row],[Total Sales]]&gt;50000,{"Yes"},{"No"})</f>
        <v>Yes</v>
      </c>
      <c r="N1981" s="5">
        <v>46096</v>
      </c>
      <c r="O1981" s="1" t="s">
        <v>24</v>
      </c>
      <c r="P1981" t="s">
        <v>35</v>
      </c>
      <c r="Q1981" t="str">
        <f>IF(Excel_Advanced_Sales_Dataset_2000__3[[#This Row],[Delivery Status]]="Pending","Follow Up","Ok")</f>
        <v>Ok</v>
      </c>
      <c r="R1981" s="1" t="s">
        <v>36</v>
      </c>
      <c r="S1981">
        <f>Excel_Advanced_Sales_Dataset_2000__3[[#This Row],[Quantity]]*Excel_Advanced_Sales_Dataset_2000__3[[#This Row],[Unit Price]]*Excel_Advanced_Sales_Dataset_2000__3[[#This Row],[Discount %]]/100</f>
        <v>127875.814</v>
      </c>
      <c r="T1981" s="4">
        <f>Excel_Advanced_Sales_Dataset_2000__3[[#This Row],[Quantity]]*Excel_Advanced_Sales_Dataset_2000__3[[#This Row],[Unit Price]]-Excel_Advanced_Sales_Dataset_2000__3[[#This Row],[Discount Amount]]</f>
        <v>603679.18599999999</v>
      </c>
    </row>
    <row r="1982" spans="1:20" x14ac:dyDescent="0.25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>
        <v>14</v>
      </c>
      <c r="J1982" s="4">
        <v>14518.66</v>
      </c>
      <c r="K1982" s="6">
        <v>14.52</v>
      </c>
      <c r="L1982" s="4">
        <v>173747.71</v>
      </c>
      <c r="M1982" s="4" t="str" cm="1">
        <f t="array" ref="M1982">IF(Excel_Advanced_Sales_Dataset_2000__3[[#This Row],[Total Sales]]&gt;50000,{"Yes"},{"No"})</f>
        <v>Yes</v>
      </c>
      <c r="N1982" s="5">
        <v>46353</v>
      </c>
      <c r="O1982" s="1" t="s">
        <v>113</v>
      </c>
      <c r="P1982" t="s">
        <v>35</v>
      </c>
      <c r="Q1982" t="str">
        <f>IF(Excel_Advanced_Sales_Dataset_2000__3[[#This Row],[Delivery Status]]="Pending","Follow Up","Ok")</f>
        <v>Ok</v>
      </c>
      <c r="R1982" s="1" t="s">
        <v>53</v>
      </c>
      <c r="S1982">
        <f>Excel_Advanced_Sales_Dataset_2000__3[[#This Row],[Quantity]]*Excel_Advanced_Sales_Dataset_2000__3[[#This Row],[Unit Price]]*Excel_Advanced_Sales_Dataset_2000__3[[#This Row],[Discount %]]/100</f>
        <v>29513.532048000001</v>
      </c>
      <c r="T1982" s="4">
        <f>Excel_Advanced_Sales_Dataset_2000__3[[#This Row],[Quantity]]*Excel_Advanced_Sales_Dataset_2000__3[[#This Row],[Unit Price]]-Excel_Advanced_Sales_Dataset_2000__3[[#This Row],[Discount Amount]]</f>
        <v>173747.707952</v>
      </c>
    </row>
    <row r="1983" spans="1:20" x14ac:dyDescent="0.25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>
        <v>47</v>
      </c>
      <c r="J1983" s="4">
        <v>10411.290000000001</v>
      </c>
      <c r="K1983" s="6">
        <v>9.6199999999999992</v>
      </c>
      <c r="L1983" s="4">
        <v>442257.02</v>
      </c>
      <c r="M1983" s="4" t="str" cm="1">
        <f t="array" ref="M1983">IF(Excel_Advanced_Sales_Dataset_2000__3[[#This Row],[Total Sales]]&gt;50000,{"Yes"},{"No"})</f>
        <v>Yes</v>
      </c>
      <c r="N1983" s="5">
        <v>46086</v>
      </c>
      <c r="O1983" s="1" t="s">
        <v>24</v>
      </c>
      <c r="P1983" t="s">
        <v>35</v>
      </c>
      <c r="Q1983" t="str">
        <f>IF(Excel_Advanced_Sales_Dataset_2000__3[[#This Row],[Delivery Status]]="Pending","Follow Up","Ok")</f>
        <v>Ok</v>
      </c>
      <c r="R1983" s="1" t="s">
        <v>36</v>
      </c>
      <c r="S1983">
        <f>Excel_Advanced_Sales_Dataset_2000__3[[#This Row],[Quantity]]*Excel_Advanced_Sales_Dataset_2000__3[[#This Row],[Unit Price]]*Excel_Advanced_Sales_Dataset_2000__3[[#This Row],[Discount %]]/100</f>
        <v>47073.606606000001</v>
      </c>
      <c r="T1983" s="4">
        <f>Excel_Advanced_Sales_Dataset_2000__3[[#This Row],[Quantity]]*Excel_Advanced_Sales_Dataset_2000__3[[#This Row],[Unit Price]]-Excel_Advanced_Sales_Dataset_2000__3[[#This Row],[Discount Amount]]</f>
        <v>442257.02339400008</v>
      </c>
    </row>
    <row r="1984" spans="1:20" x14ac:dyDescent="0.25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>
        <v>6</v>
      </c>
      <c r="J1984" s="4">
        <v>9987.16</v>
      </c>
      <c r="K1984" s="6">
        <v>10.93</v>
      </c>
      <c r="L1984" s="4">
        <v>53373.38</v>
      </c>
      <c r="M1984" s="4" t="str" cm="1">
        <f t="array" ref="M1984">IF(Excel_Advanced_Sales_Dataset_2000__3[[#This Row],[Total Sales]]&gt;50000,{"Yes"},{"No"})</f>
        <v>Yes</v>
      </c>
      <c r="N1984" s="5">
        <v>46368</v>
      </c>
      <c r="O1984" s="1" t="s">
        <v>45</v>
      </c>
      <c r="P1984" t="s">
        <v>35</v>
      </c>
      <c r="Q1984" t="str">
        <f>IF(Excel_Advanced_Sales_Dataset_2000__3[[#This Row],[Delivery Status]]="Pending","Follow Up","Ok")</f>
        <v>Ok</v>
      </c>
      <c r="R1984" s="1" t="s">
        <v>26</v>
      </c>
      <c r="S1984">
        <f>Excel_Advanced_Sales_Dataset_2000__3[[#This Row],[Quantity]]*Excel_Advanced_Sales_Dataset_2000__3[[#This Row],[Unit Price]]*Excel_Advanced_Sales_Dataset_2000__3[[#This Row],[Discount %]]/100</f>
        <v>6549.5795279999993</v>
      </c>
      <c r="T1984" s="4">
        <f>Excel_Advanced_Sales_Dataset_2000__3[[#This Row],[Quantity]]*Excel_Advanced_Sales_Dataset_2000__3[[#This Row],[Unit Price]]-Excel_Advanced_Sales_Dataset_2000__3[[#This Row],[Discount Amount]]</f>
        <v>53373.380471999997</v>
      </c>
    </row>
    <row r="1985" spans="1:20" x14ac:dyDescent="0.25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>
        <v>1</v>
      </c>
      <c r="J1985" s="4">
        <v>14848.22</v>
      </c>
      <c r="K1985" s="6">
        <v>15.62</v>
      </c>
      <c r="L1985" s="4">
        <v>12528.93</v>
      </c>
      <c r="M1985" s="4" t="str" cm="1">
        <f t="array" ref="M1985">IF(Excel_Advanced_Sales_Dataset_2000__3[[#This Row],[Total Sales]]&gt;50000,{"Yes"},{"No"})</f>
        <v>No</v>
      </c>
      <c r="N1985" s="5">
        <v>46071</v>
      </c>
      <c r="O1985" s="1" t="s">
        <v>58</v>
      </c>
      <c r="P1985" t="s">
        <v>35</v>
      </c>
      <c r="Q1985" t="str">
        <f>IF(Excel_Advanced_Sales_Dataset_2000__3[[#This Row],[Delivery Status]]="Pending","Follow Up","Ok")</f>
        <v>Ok</v>
      </c>
      <c r="R1985" s="1" t="s">
        <v>36</v>
      </c>
      <c r="S1985">
        <f>Excel_Advanced_Sales_Dataset_2000__3[[#This Row],[Quantity]]*Excel_Advanced_Sales_Dataset_2000__3[[#This Row],[Unit Price]]*Excel_Advanced_Sales_Dataset_2000__3[[#This Row],[Discount %]]/100</f>
        <v>2319.291964</v>
      </c>
      <c r="T1985" s="4">
        <f>Excel_Advanced_Sales_Dataset_2000__3[[#This Row],[Quantity]]*Excel_Advanced_Sales_Dataset_2000__3[[#This Row],[Unit Price]]-Excel_Advanced_Sales_Dataset_2000__3[[#This Row],[Discount Amount]]</f>
        <v>12528.928035999999</v>
      </c>
    </row>
    <row r="1986" spans="1:20" x14ac:dyDescent="0.25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>
        <v>42</v>
      </c>
      <c r="J1986" s="4">
        <v>22380.799999999999</v>
      </c>
      <c r="K1986" s="6">
        <v>4.92</v>
      </c>
      <c r="L1986" s="4">
        <v>893745.91</v>
      </c>
      <c r="M1986" s="4" t="str" cm="1">
        <f t="array" ref="M1986">IF(Excel_Advanced_Sales_Dataset_2000__3[[#This Row],[Total Sales]]&gt;50000,{"Yes"},{"No"})</f>
        <v>Yes</v>
      </c>
      <c r="N1986" s="5">
        <v>46247</v>
      </c>
      <c r="O1986" s="1" t="s">
        <v>45</v>
      </c>
      <c r="P1986" t="s">
        <v>35</v>
      </c>
      <c r="Q1986" t="str">
        <f>IF(Excel_Advanced_Sales_Dataset_2000__3[[#This Row],[Delivery Status]]="Pending","Follow Up","Ok")</f>
        <v>Ok</v>
      </c>
      <c r="R1986" s="1" t="s">
        <v>36</v>
      </c>
      <c r="S1986">
        <f>Excel_Advanced_Sales_Dataset_2000__3[[#This Row],[Quantity]]*Excel_Advanced_Sales_Dataset_2000__3[[#This Row],[Unit Price]]*Excel_Advanced_Sales_Dataset_2000__3[[#This Row],[Discount %]]/100</f>
        <v>46247.685120000002</v>
      </c>
      <c r="T1986" s="4">
        <f>Excel_Advanced_Sales_Dataset_2000__3[[#This Row],[Quantity]]*Excel_Advanced_Sales_Dataset_2000__3[[#This Row],[Unit Price]]-Excel_Advanced_Sales_Dataset_2000__3[[#This Row],[Discount Amount]]</f>
        <v>893745.91487999994</v>
      </c>
    </row>
    <row r="1987" spans="1:20" x14ac:dyDescent="0.25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>
        <v>38</v>
      </c>
      <c r="J1987" s="4">
        <v>48592.67</v>
      </c>
      <c r="K1987" s="6">
        <v>10.93</v>
      </c>
      <c r="L1987" s="4">
        <v>1644696.66</v>
      </c>
      <c r="M1987" s="4" t="str" cm="1">
        <f t="array" ref="M1987">IF(Excel_Advanced_Sales_Dataset_2000__3[[#This Row],[Total Sales]]&gt;50000,{"Yes"},{"No"})</f>
        <v>Yes</v>
      </c>
      <c r="N1987" s="5">
        <v>46088</v>
      </c>
      <c r="O1987" s="1" t="s">
        <v>113</v>
      </c>
      <c r="P1987" t="s">
        <v>35</v>
      </c>
      <c r="Q1987" t="str">
        <f>IF(Excel_Advanced_Sales_Dataset_2000__3[[#This Row],[Delivery Status]]="Pending","Follow Up","Ok")</f>
        <v>Ok</v>
      </c>
      <c r="R1987" s="1" t="s">
        <v>53</v>
      </c>
      <c r="S1987">
        <f>Excel_Advanced_Sales_Dataset_2000__3[[#This Row],[Quantity]]*Excel_Advanced_Sales_Dataset_2000__3[[#This Row],[Unit Price]]*Excel_Advanced_Sales_Dataset_2000__3[[#This Row],[Discount %]]/100</f>
        <v>201824.79557799999</v>
      </c>
      <c r="T1987" s="4">
        <f>Excel_Advanced_Sales_Dataset_2000__3[[#This Row],[Quantity]]*Excel_Advanced_Sales_Dataset_2000__3[[#This Row],[Unit Price]]-Excel_Advanced_Sales_Dataset_2000__3[[#This Row],[Discount Amount]]</f>
        <v>1644696.6644220001</v>
      </c>
    </row>
    <row r="1988" spans="1:20" x14ac:dyDescent="0.25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>
        <v>41</v>
      </c>
      <c r="J1988" s="4">
        <v>27558.880000000001</v>
      </c>
      <c r="K1988" s="6">
        <v>10.15</v>
      </c>
      <c r="L1988" s="4">
        <v>1015227.8</v>
      </c>
      <c r="M1988" s="4" t="str" cm="1">
        <f t="array" ref="M1988">IF(Excel_Advanced_Sales_Dataset_2000__3[[#This Row],[Total Sales]]&gt;50000,{"Yes"},{"No"})</f>
        <v>Yes</v>
      </c>
      <c r="N1988" s="5">
        <v>46057</v>
      </c>
      <c r="O1988" s="1" t="s">
        <v>24</v>
      </c>
      <c r="P1988" t="s">
        <v>35</v>
      </c>
      <c r="Q1988" t="str">
        <f>IF(Excel_Advanced_Sales_Dataset_2000__3[[#This Row],[Delivery Status]]="Pending","Follow Up","Ok")</f>
        <v>Ok</v>
      </c>
      <c r="R1988" s="1" t="s">
        <v>36</v>
      </c>
      <c r="S1988">
        <f>Excel_Advanced_Sales_Dataset_2000__3[[#This Row],[Quantity]]*Excel_Advanced_Sales_Dataset_2000__3[[#This Row],[Unit Price]]*Excel_Advanced_Sales_Dataset_2000__3[[#This Row],[Discount %]]/100</f>
        <v>114686.27912000001</v>
      </c>
      <c r="T1988" s="4">
        <f>Excel_Advanced_Sales_Dataset_2000__3[[#This Row],[Quantity]]*Excel_Advanced_Sales_Dataset_2000__3[[#This Row],[Unit Price]]-Excel_Advanced_Sales_Dataset_2000__3[[#This Row],[Discount Amount]]</f>
        <v>1015227.8008800001</v>
      </c>
    </row>
    <row r="1989" spans="1:20" x14ac:dyDescent="0.25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>
        <v>41</v>
      </c>
      <c r="J1989" s="4">
        <v>29285.03</v>
      </c>
      <c r="K1989" s="6">
        <v>5.53</v>
      </c>
      <c r="L1989" s="4">
        <v>1134288.28</v>
      </c>
      <c r="M1989" s="4" t="str" cm="1">
        <f t="array" ref="M1989">IF(Excel_Advanced_Sales_Dataset_2000__3[[#This Row],[Total Sales]]&gt;50000,{"Yes"},{"No"})</f>
        <v>Yes</v>
      </c>
      <c r="N1989" s="5">
        <v>46324</v>
      </c>
      <c r="O1989" s="1" t="s">
        <v>113</v>
      </c>
      <c r="P1989" t="s">
        <v>35</v>
      </c>
      <c r="Q1989" t="str">
        <f>IF(Excel_Advanced_Sales_Dataset_2000__3[[#This Row],[Delivery Status]]="Pending","Follow Up","Ok")</f>
        <v>Ok</v>
      </c>
      <c r="R1989" s="1" t="s">
        <v>53</v>
      </c>
      <c r="S1989">
        <f>Excel_Advanced_Sales_Dataset_2000__3[[#This Row],[Quantity]]*Excel_Advanced_Sales_Dataset_2000__3[[#This Row],[Unit Price]]*Excel_Advanced_Sales_Dataset_2000__3[[#This Row],[Discount %]]/100</f>
        <v>66397.948518999998</v>
      </c>
      <c r="T1989" s="4">
        <f>Excel_Advanced_Sales_Dataset_2000__3[[#This Row],[Quantity]]*Excel_Advanced_Sales_Dataset_2000__3[[#This Row],[Unit Price]]-Excel_Advanced_Sales_Dataset_2000__3[[#This Row],[Discount Amount]]</f>
        <v>1134288.2814809999</v>
      </c>
    </row>
    <row r="1990" spans="1:20" x14ac:dyDescent="0.25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>
        <v>35</v>
      </c>
      <c r="J1990" s="4">
        <v>41126.480000000003</v>
      </c>
      <c r="K1990" s="6">
        <v>6.53</v>
      </c>
      <c r="L1990" s="4">
        <v>1345432.23</v>
      </c>
      <c r="M1990" s="4" t="str" cm="1">
        <f t="array" ref="M1990">IF(Excel_Advanced_Sales_Dataset_2000__3[[#This Row],[Total Sales]]&gt;50000,{"Yes"},{"No"})</f>
        <v>Yes</v>
      </c>
      <c r="N1990" s="5">
        <v>46327</v>
      </c>
      <c r="O1990" s="1" t="s">
        <v>113</v>
      </c>
      <c r="P1990" t="s">
        <v>35</v>
      </c>
      <c r="Q1990" t="str">
        <f>IF(Excel_Advanced_Sales_Dataset_2000__3[[#This Row],[Delivery Status]]="Pending","Follow Up","Ok")</f>
        <v>Ok</v>
      </c>
      <c r="R1990" s="1" t="s">
        <v>26</v>
      </c>
      <c r="S1990">
        <f>Excel_Advanced_Sales_Dataset_2000__3[[#This Row],[Quantity]]*Excel_Advanced_Sales_Dataset_2000__3[[#This Row],[Unit Price]]*Excel_Advanced_Sales_Dataset_2000__3[[#This Row],[Discount %]]/100</f>
        <v>93994.570040000006</v>
      </c>
      <c r="T1990" s="4">
        <f>Excel_Advanced_Sales_Dataset_2000__3[[#This Row],[Quantity]]*Excel_Advanced_Sales_Dataset_2000__3[[#This Row],[Unit Price]]-Excel_Advanced_Sales_Dataset_2000__3[[#This Row],[Discount Amount]]</f>
        <v>1345432.2299600001</v>
      </c>
    </row>
    <row r="1991" spans="1:20" x14ac:dyDescent="0.25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>
        <v>14</v>
      </c>
      <c r="J1991" s="4">
        <v>47593.77</v>
      </c>
      <c r="K1991" s="6">
        <v>3.01</v>
      </c>
      <c r="L1991" s="4">
        <v>646256.77</v>
      </c>
      <c r="M1991" s="4" t="str" cm="1">
        <f t="array" ref="M1991">IF(Excel_Advanced_Sales_Dataset_2000__3[[#This Row],[Total Sales]]&gt;50000,{"Yes"},{"No"})</f>
        <v>Yes</v>
      </c>
      <c r="N1991" s="5">
        <v>46256</v>
      </c>
      <c r="O1991" s="1" t="s">
        <v>58</v>
      </c>
      <c r="P1991" t="s">
        <v>35</v>
      </c>
      <c r="Q1991" t="str">
        <f>IF(Excel_Advanced_Sales_Dataset_2000__3[[#This Row],[Delivery Status]]="Pending","Follow Up","Ok")</f>
        <v>Ok</v>
      </c>
      <c r="R1991" s="1" t="s">
        <v>26</v>
      </c>
      <c r="S1991">
        <f>Excel_Advanced_Sales_Dataset_2000__3[[#This Row],[Quantity]]*Excel_Advanced_Sales_Dataset_2000__3[[#This Row],[Unit Price]]*Excel_Advanced_Sales_Dataset_2000__3[[#This Row],[Discount %]]/100</f>
        <v>20056.014677999996</v>
      </c>
      <c r="T1991" s="4">
        <f>Excel_Advanced_Sales_Dataset_2000__3[[#This Row],[Quantity]]*Excel_Advanced_Sales_Dataset_2000__3[[#This Row],[Unit Price]]-Excel_Advanced_Sales_Dataset_2000__3[[#This Row],[Discount Amount]]</f>
        <v>646256.7653219999</v>
      </c>
    </row>
    <row r="1992" spans="1:20" x14ac:dyDescent="0.25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>
        <v>11</v>
      </c>
      <c r="J1992" s="4">
        <v>29766.44</v>
      </c>
      <c r="K1992" s="6">
        <v>18.79</v>
      </c>
      <c r="L1992" s="4">
        <v>265906.59000000003</v>
      </c>
      <c r="M1992" s="4" t="str" cm="1">
        <f t="array" ref="M1992">IF(Excel_Advanced_Sales_Dataset_2000__3[[#This Row],[Total Sales]]&gt;50000,{"Yes"},{"No"})</f>
        <v>Yes</v>
      </c>
      <c r="N1992" s="5">
        <v>46154</v>
      </c>
      <c r="O1992" s="1" t="s">
        <v>58</v>
      </c>
      <c r="P1992" t="s">
        <v>25</v>
      </c>
      <c r="Q1992" t="str">
        <f>IF(Excel_Advanced_Sales_Dataset_2000__3[[#This Row],[Delivery Status]]="Pending","Follow Up","Ok")</f>
        <v>Follow Up</v>
      </c>
      <c r="R1992" s="1" t="s">
        <v>26</v>
      </c>
      <c r="S1992">
        <f>Excel_Advanced_Sales_Dataset_2000__3[[#This Row],[Quantity]]*Excel_Advanced_Sales_Dataset_2000__3[[#This Row],[Unit Price]]*Excel_Advanced_Sales_Dataset_2000__3[[#This Row],[Discount %]]/100</f>
        <v>61524.254835999993</v>
      </c>
      <c r="T1992" s="4">
        <f>Excel_Advanced_Sales_Dataset_2000__3[[#This Row],[Quantity]]*Excel_Advanced_Sales_Dataset_2000__3[[#This Row],[Unit Price]]-Excel_Advanced_Sales_Dataset_2000__3[[#This Row],[Discount Amount]]</f>
        <v>265906.58516399999</v>
      </c>
    </row>
    <row r="1993" spans="1:20" x14ac:dyDescent="0.25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>
        <v>22</v>
      </c>
      <c r="J1993" s="4">
        <v>34942.25</v>
      </c>
      <c r="K1993" s="6">
        <v>10.87</v>
      </c>
      <c r="L1993" s="4">
        <v>685168.6</v>
      </c>
      <c r="M1993" s="4" t="str" cm="1">
        <f t="array" ref="M1993">IF(Excel_Advanced_Sales_Dataset_2000__3[[#This Row],[Total Sales]]&gt;50000,{"Yes"},{"No"})</f>
        <v>Yes</v>
      </c>
      <c r="N1993" s="5">
        <v>46348</v>
      </c>
      <c r="O1993" s="1" t="s">
        <v>113</v>
      </c>
      <c r="P1993" t="s">
        <v>35</v>
      </c>
      <c r="Q1993" t="str">
        <f>IF(Excel_Advanced_Sales_Dataset_2000__3[[#This Row],[Delivery Status]]="Pending","Follow Up","Ok")</f>
        <v>Ok</v>
      </c>
      <c r="R1993" s="1" t="s">
        <v>53</v>
      </c>
      <c r="S1993">
        <f>Excel_Advanced_Sales_Dataset_2000__3[[#This Row],[Quantity]]*Excel_Advanced_Sales_Dataset_2000__3[[#This Row],[Unit Price]]*Excel_Advanced_Sales_Dataset_2000__3[[#This Row],[Discount %]]/100</f>
        <v>83560.896649999995</v>
      </c>
      <c r="T1993" s="4">
        <f>Excel_Advanced_Sales_Dataset_2000__3[[#This Row],[Quantity]]*Excel_Advanced_Sales_Dataset_2000__3[[#This Row],[Unit Price]]-Excel_Advanced_Sales_Dataset_2000__3[[#This Row],[Discount Amount]]</f>
        <v>685168.60334999999</v>
      </c>
    </row>
    <row r="1994" spans="1:20" x14ac:dyDescent="0.25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>
        <v>3</v>
      </c>
      <c r="J1994" s="4">
        <v>42854.74</v>
      </c>
      <c r="K1994" s="6">
        <v>15.06</v>
      </c>
      <c r="L1994" s="4">
        <v>109202.45</v>
      </c>
      <c r="M1994" s="4" t="str" cm="1">
        <f t="array" ref="M1994">IF(Excel_Advanced_Sales_Dataset_2000__3[[#This Row],[Total Sales]]&gt;50000,{"Yes"},{"No"})</f>
        <v>Yes</v>
      </c>
      <c r="N1994" s="5">
        <v>46311</v>
      </c>
      <c r="O1994" s="1" t="s">
        <v>24</v>
      </c>
      <c r="P1994" t="s">
        <v>35</v>
      </c>
      <c r="Q1994" t="str">
        <f>IF(Excel_Advanced_Sales_Dataset_2000__3[[#This Row],[Delivery Status]]="Pending","Follow Up","Ok")</f>
        <v>Ok</v>
      </c>
      <c r="R1994" s="1" t="s">
        <v>36</v>
      </c>
      <c r="S1994">
        <f>Excel_Advanced_Sales_Dataset_2000__3[[#This Row],[Quantity]]*Excel_Advanced_Sales_Dataset_2000__3[[#This Row],[Unit Price]]*Excel_Advanced_Sales_Dataset_2000__3[[#This Row],[Discount %]]/100</f>
        <v>19361.771531999999</v>
      </c>
      <c r="T1994" s="4">
        <f>Excel_Advanced_Sales_Dataset_2000__3[[#This Row],[Quantity]]*Excel_Advanced_Sales_Dataset_2000__3[[#This Row],[Unit Price]]-Excel_Advanced_Sales_Dataset_2000__3[[#This Row],[Discount Amount]]</f>
        <v>109202.448468</v>
      </c>
    </row>
    <row r="1995" spans="1:20" x14ac:dyDescent="0.25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>
        <v>35</v>
      </c>
      <c r="J1995" s="4">
        <v>8000.68</v>
      </c>
      <c r="K1995" s="6">
        <v>6.14</v>
      </c>
      <c r="L1995" s="4">
        <v>262830.34000000003</v>
      </c>
      <c r="M1995" s="4" t="str" cm="1">
        <f t="array" ref="M1995">IF(Excel_Advanced_Sales_Dataset_2000__3[[#This Row],[Total Sales]]&gt;50000,{"Yes"},{"No"})</f>
        <v>Yes</v>
      </c>
      <c r="N1995" s="5">
        <v>46290</v>
      </c>
      <c r="O1995" s="1" t="s">
        <v>45</v>
      </c>
      <c r="P1995" t="s">
        <v>35</v>
      </c>
      <c r="Q1995" t="str">
        <f>IF(Excel_Advanced_Sales_Dataset_2000__3[[#This Row],[Delivery Status]]="Pending","Follow Up","Ok")</f>
        <v>Ok</v>
      </c>
      <c r="R1995" s="1" t="s">
        <v>53</v>
      </c>
      <c r="S1995">
        <f>Excel_Advanced_Sales_Dataset_2000__3[[#This Row],[Quantity]]*Excel_Advanced_Sales_Dataset_2000__3[[#This Row],[Unit Price]]*Excel_Advanced_Sales_Dataset_2000__3[[#This Row],[Discount %]]/100</f>
        <v>17193.461319999999</v>
      </c>
      <c r="T1995" s="4">
        <f>Excel_Advanced_Sales_Dataset_2000__3[[#This Row],[Quantity]]*Excel_Advanced_Sales_Dataset_2000__3[[#This Row],[Unit Price]]-Excel_Advanced_Sales_Dataset_2000__3[[#This Row],[Discount Amount]]</f>
        <v>262830.33867999999</v>
      </c>
    </row>
    <row r="1996" spans="1:20" x14ac:dyDescent="0.25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>
        <v>23</v>
      </c>
      <c r="J1996" s="4">
        <v>14352.83</v>
      </c>
      <c r="K1996" s="6">
        <v>10.39</v>
      </c>
      <c r="L1996" s="4">
        <v>295816.13</v>
      </c>
      <c r="M1996" s="4" t="str" cm="1">
        <f t="array" ref="M1996">IF(Excel_Advanced_Sales_Dataset_2000__3[[#This Row],[Total Sales]]&gt;50000,{"Yes"},{"No"})</f>
        <v>Yes</v>
      </c>
      <c r="N1996" s="5">
        <v>46313</v>
      </c>
      <c r="O1996" s="1" t="s">
        <v>45</v>
      </c>
      <c r="P1996" t="s">
        <v>59</v>
      </c>
      <c r="Q1996" t="str">
        <f>IF(Excel_Advanced_Sales_Dataset_2000__3[[#This Row],[Delivery Status]]="Pending","Follow Up","Ok")</f>
        <v>Ok</v>
      </c>
      <c r="R1996" s="1" t="s">
        <v>26</v>
      </c>
      <c r="S1996">
        <f>Excel_Advanced_Sales_Dataset_2000__3[[#This Row],[Quantity]]*Excel_Advanced_Sales_Dataset_2000__3[[#This Row],[Unit Price]]*Excel_Advanced_Sales_Dataset_2000__3[[#This Row],[Discount %]]/100</f>
        <v>34298.957851000006</v>
      </c>
      <c r="T1996" s="4">
        <f>Excel_Advanced_Sales_Dataset_2000__3[[#This Row],[Quantity]]*Excel_Advanced_Sales_Dataset_2000__3[[#This Row],[Unit Price]]-Excel_Advanced_Sales_Dataset_2000__3[[#This Row],[Discount Amount]]</f>
        <v>295816.13214900001</v>
      </c>
    </row>
    <row r="1997" spans="1:20" x14ac:dyDescent="0.25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>
        <v>8</v>
      </c>
      <c r="J1997" s="4">
        <v>4660.47</v>
      </c>
      <c r="K1997" s="6">
        <v>5.51</v>
      </c>
      <c r="L1997" s="4">
        <v>35229.42</v>
      </c>
      <c r="M1997" s="4" t="str" cm="1">
        <f t="array" ref="M1997">IF(Excel_Advanced_Sales_Dataset_2000__3[[#This Row],[Total Sales]]&gt;50000,{"Yes"},{"No"})</f>
        <v>No</v>
      </c>
      <c r="N1997" s="5">
        <v>46291</v>
      </c>
      <c r="O1997" s="1" t="s">
        <v>45</v>
      </c>
      <c r="P1997" t="s">
        <v>35</v>
      </c>
      <c r="Q1997" t="str">
        <f>IF(Excel_Advanced_Sales_Dataset_2000__3[[#This Row],[Delivery Status]]="Pending","Follow Up","Ok")</f>
        <v>Ok</v>
      </c>
      <c r="R1997" s="1" t="s">
        <v>36</v>
      </c>
      <c r="S1997">
        <f>Excel_Advanced_Sales_Dataset_2000__3[[#This Row],[Quantity]]*Excel_Advanced_Sales_Dataset_2000__3[[#This Row],[Unit Price]]*Excel_Advanced_Sales_Dataset_2000__3[[#This Row],[Discount %]]/100</f>
        <v>2054.335176</v>
      </c>
      <c r="T1997" s="4">
        <f>Excel_Advanced_Sales_Dataset_2000__3[[#This Row],[Quantity]]*Excel_Advanced_Sales_Dataset_2000__3[[#This Row],[Unit Price]]-Excel_Advanced_Sales_Dataset_2000__3[[#This Row],[Discount Amount]]</f>
        <v>35229.424824000002</v>
      </c>
    </row>
    <row r="1998" spans="1:20" x14ac:dyDescent="0.25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>
        <v>20</v>
      </c>
      <c r="J1998" s="4">
        <v>28772.35</v>
      </c>
      <c r="K1998" s="6">
        <v>7.65</v>
      </c>
      <c r="L1998" s="4">
        <v>531425.30000000005</v>
      </c>
      <c r="M1998" s="4" t="str" cm="1">
        <f t="array" ref="M1998">IF(Excel_Advanced_Sales_Dataset_2000__3[[#This Row],[Total Sales]]&gt;50000,{"Yes"},{"No"})</f>
        <v>Yes</v>
      </c>
      <c r="N1998" s="5">
        <v>46380</v>
      </c>
      <c r="O1998" s="1" t="s">
        <v>113</v>
      </c>
      <c r="P1998" t="s">
        <v>35</v>
      </c>
      <c r="Q1998" t="str">
        <f>IF(Excel_Advanced_Sales_Dataset_2000__3[[#This Row],[Delivery Status]]="Pending","Follow Up","Ok")</f>
        <v>Ok</v>
      </c>
      <c r="R1998" s="1" t="s">
        <v>36</v>
      </c>
      <c r="S1998">
        <f>Excel_Advanced_Sales_Dataset_2000__3[[#This Row],[Quantity]]*Excel_Advanced_Sales_Dataset_2000__3[[#This Row],[Unit Price]]*Excel_Advanced_Sales_Dataset_2000__3[[#This Row],[Discount %]]/100</f>
        <v>44021.695500000002</v>
      </c>
      <c r="T1998" s="4">
        <f>Excel_Advanced_Sales_Dataset_2000__3[[#This Row],[Quantity]]*Excel_Advanced_Sales_Dataset_2000__3[[#This Row],[Unit Price]]-Excel_Advanced_Sales_Dataset_2000__3[[#This Row],[Discount Amount]]</f>
        <v>531425.30449999997</v>
      </c>
    </row>
    <row r="1999" spans="1:20" x14ac:dyDescent="0.25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>
        <v>10</v>
      </c>
      <c r="J1999" s="4">
        <v>46935.95</v>
      </c>
      <c r="K1999" s="6">
        <v>11.06</v>
      </c>
      <c r="L1999" s="4">
        <v>417448.34</v>
      </c>
      <c r="M1999" s="4" t="str" cm="1">
        <f t="array" ref="M1999">IF(Excel_Advanced_Sales_Dataset_2000__3[[#This Row],[Total Sales]]&gt;50000,{"Yes"},{"No"})</f>
        <v>Yes</v>
      </c>
      <c r="N1999" s="5">
        <v>46250</v>
      </c>
      <c r="O1999" s="1" t="s">
        <v>68</v>
      </c>
      <c r="P1999" t="s">
        <v>35</v>
      </c>
      <c r="Q1999" t="str">
        <f>IF(Excel_Advanced_Sales_Dataset_2000__3[[#This Row],[Delivery Status]]="Pending","Follow Up","Ok")</f>
        <v>Ok</v>
      </c>
      <c r="R1999" s="1" t="s">
        <v>26</v>
      </c>
      <c r="S1999">
        <f>Excel_Advanced_Sales_Dataset_2000__3[[#This Row],[Quantity]]*Excel_Advanced_Sales_Dataset_2000__3[[#This Row],[Unit Price]]*Excel_Advanced_Sales_Dataset_2000__3[[#This Row],[Discount %]]/100</f>
        <v>51911.1607</v>
      </c>
      <c r="T1999" s="4">
        <f>Excel_Advanced_Sales_Dataset_2000__3[[#This Row],[Quantity]]*Excel_Advanced_Sales_Dataset_2000__3[[#This Row],[Unit Price]]-Excel_Advanced_Sales_Dataset_2000__3[[#This Row],[Discount Amount]]</f>
        <v>417448.33929999999</v>
      </c>
    </row>
    <row r="2000" spans="1:20" x14ac:dyDescent="0.25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>
        <v>38</v>
      </c>
      <c r="J2000" s="4">
        <v>19072.13</v>
      </c>
      <c r="K2000" s="6">
        <v>10.44</v>
      </c>
      <c r="L2000" s="4">
        <v>649077.99</v>
      </c>
      <c r="M2000" s="4" t="str" cm="1">
        <f t="array" ref="M2000">IF(Excel_Advanced_Sales_Dataset_2000__3[[#This Row],[Total Sales]]&gt;50000,{"Yes"},{"No"})</f>
        <v>Yes</v>
      </c>
      <c r="N2000" s="5">
        <v>46110</v>
      </c>
      <c r="O2000" s="1" t="s">
        <v>113</v>
      </c>
      <c r="P2000" t="s">
        <v>35</v>
      </c>
      <c r="Q2000" t="str">
        <f>IF(Excel_Advanced_Sales_Dataset_2000__3[[#This Row],[Delivery Status]]="Pending","Follow Up","Ok")</f>
        <v>Ok</v>
      </c>
      <c r="R2000" s="1" t="s">
        <v>53</v>
      </c>
      <c r="S2000">
        <f>Excel_Advanced_Sales_Dataset_2000__3[[#This Row],[Quantity]]*Excel_Advanced_Sales_Dataset_2000__3[[#This Row],[Unit Price]]*Excel_Advanced_Sales_Dataset_2000__3[[#This Row],[Discount %]]/100</f>
        <v>75662.954136</v>
      </c>
      <c r="T2000" s="4">
        <f>Excel_Advanced_Sales_Dataset_2000__3[[#This Row],[Quantity]]*Excel_Advanced_Sales_Dataset_2000__3[[#This Row],[Unit Price]]-Excel_Advanced_Sales_Dataset_2000__3[[#This Row],[Discount Amount]]</f>
        <v>649077.98586400005</v>
      </c>
    </row>
    <row r="2001" spans="1:20" x14ac:dyDescent="0.25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>
        <v>47</v>
      </c>
      <c r="J2001" s="4">
        <v>6728.51</v>
      </c>
      <c r="K2001" s="6">
        <v>5.14</v>
      </c>
      <c r="L2001" s="4">
        <v>299985.24</v>
      </c>
      <c r="M2001" s="4" t="str" cm="1">
        <f t="array" ref="M2001">IF(Excel_Advanced_Sales_Dataset_2000__3[[#This Row],[Total Sales]]&gt;50000,{"Yes"},{"No"})</f>
        <v>Yes</v>
      </c>
      <c r="N2001" s="5">
        <v>46032</v>
      </c>
      <c r="O2001" s="1" t="s">
        <v>58</v>
      </c>
      <c r="P2001" t="s">
        <v>35</v>
      </c>
      <c r="Q2001" t="str">
        <f>IF(Excel_Advanced_Sales_Dataset_2000__3[[#This Row],[Delivery Status]]="Pending","Follow Up","Ok")</f>
        <v>Ok</v>
      </c>
      <c r="R2001" s="1" t="s">
        <v>26</v>
      </c>
      <c r="S2001">
        <f>Excel_Advanced_Sales_Dataset_2000__3[[#This Row],[Quantity]]*Excel_Advanced_Sales_Dataset_2000__3[[#This Row],[Unit Price]]*Excel_Advanced_Sales_Dataset_2000__3[[#This Row],[Discount %]]/100</f>
        <v>16254.734458000001</v>
      </c>
      <c r="T2001" s="4">
        <f>Excel_Advanced_Sales_Dataset_2000__3[[#This Row],[Quantity]]*Excel_Advanced_Sales_Dataset_2000__3[[#This Row],[Unit Price]]-Excel_Advanced_Sales_Dataset_2000__3[[#This Row],[Discount Amount]]</f>
        <v>299985.23554200004</v>
      </c>
    </row>
  </sheetData>
  <conditionalFormatting sqref="L2:L2001">
    <cfRule type="cellIs" dxfId="32" priority="1" operator="greaterThan">
      <formula>100000</formula>
    </cfRule>
  </conditionalFormatting>
  <conditionalFormatting sqref="P1:Q2001">
    <cfRule type="containsText" dxfId="31" priority="4" operator="containsText" text="cancelled">
      <formula>NOT(ISERROR(SEARCH("cancelled",P1)))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B1C7-8485-4E23-998D-6EA3C9647D09}">
  <dimension ref="A1:P2001"/>
  <sheetViews>
    <sheetView workbookViewId="0">
      <selection sqref="A1:P200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.85546875" bestFit="1" customWidth="1"/>
    <col min="11" max="11" width="13" bestFit="1" customWidth="1"/>
    <col min="12" max="12" width="14.2851562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>
        <v>31</v>
      </c>
      <c r="J2" s="3">
        <v>15319.18</v>
      </c>
      <c r="K2" s="2">
        <v>8.31</v>
      </c>
      <c r="L2" s="3">
        <v>435430.84</v>
      </c>
      <c r="M2">
        <v>46275</v>
      </c>
      <c r="N2" s="1" t="s">
        <v>24</v>
      </c>
      <c r="O2" s="1" t="s">
        <v>25</v>
      </c>
      <c r="P2" s="1" t="s">
        <v>26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>
        <v>3</v>
      </c>
      <c r="J3" s="3">
        <v>11431.37</v>
      </c>
      <c r="K3" s="2">
        <v>9.5</v>
      </c>
      <c r="L3" s="3">
        <v>31036.17</v>
      </c>
      <c r="M3">
        <v>46386</v>
      </c>
      <c r="N3" s="1" t="s">
        <v>24</v>
      </c>
      <c r="O3" s="1" t="s">
        <v>35</v>
      </c>
      <c r="P3" s="1" t="s">
        <v>36</v>
      </c>
    </row>
    <row r="4" spans="1:16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>
        <v>34</v>
      </c>
      <c r="J4" s="3">
        <v>2489.44</v>
      </c>
      <c r="K4" s="2">
        <v>0.76</v>
      </c>
      <c r="L4" s="3">
        <v>83997.69</v>
      </c>
      <c r="M4">
        <v>46288</v>
      </c>
      <c r="N4" s="1" t="s">
        <v>45</v>
      </c>
      <c r="O4" s="1" t="s">
        <v>35</v>
      </c>
      <c r="P4" s="1" t="s">
        <v>36</v>
      </c>
    </row>
    <row r="5" spans="1:16" x14ac:dyDescent="0.25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>
        <v>43</v>
      </c>
      <c r="J5" s="3">
        <v>24340.87</v>
      </c>
      <c r="K5" s="2">
        <v>18.260000000000002</v>
      </c>
      <c r="L5" s="3">
        <v>855537.77</v>
      </c>
      <c r="M5">
        <v>46205</v>
      </c>
      <c r="N5" s="1" t="s">
        <v>24</v>
      </c>
      <c r="O5" s="1" t="s">
        <v>35</v>
      </c>
      <c r="P5" s="1" t="s">
        <v>53</v>
      </c>
    </row>
    <row r="6" spans="1:16" x14ac:dyDescent="0.25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>
        <v>44</v>
      </c>
      <c r="J6" s="3">
        <v>21114.57</v>
      </c>
      <c r="K6" s="2">
        <v>4.57</v>
      </c>
      <c r="L6" s="3">
        <v>886583.9</v>
      </c>
      <c r="M6">
        <v>46036</v>
      </c>
      <c r="N6" s="1" t="s">
        <v>58</v>
      </c>
      <c r="O6" s="1" t="s">
        <v>59</v>
      </c>
      <c r="P6" s="1" t="s">
        <v>53</v>
      </c>
    </row>
    <row r="7" spans="1:16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>
        <v>46</v>
      </c>
      <c r="J7" s="3">
        <v>40747.51</v>
      </c>
      <c r="K7" s="2">
        <v>2.04</v>
      </c>
      <c r="L7" s="3">
        <v>1836148</v>
      </c>
      <c r="M7">
        <v>46296</v>
      </c>
      <c r="N7" s="1" t="s">
        <v>68</v>
      </c>
      <c r="O7" s="1" t="s">
        <v>35</v>
      </c>
      <c r="P7" s="1" t="s">
        <v>26</v>
      </c>
    </row>
    <row r="8" spans="1:16" x14ac:dyDescent="0.25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>
        <v>40</v>
      </c>
      <c r="J8" s="3">
        <v>3400.94</v>
      </c>
      <c r="K8" s="2">
        <v>7.76</v>
      </c>
      <c r="L8" s="3">
        <v>125481.08</v>
      </c>
      <c r="M8">
        <v>46320</v>
      </c>
      <c r="N8" s="1" t="s">
        <v>58</v>
      </c>
      <c r="O8" s="1" t="s">
        <v>25</v>
      </c>
      <c r="P8" s="1" t="s">
        <v>36</v>
      </c>
    </row>
    <row r="9" spans="1:16" x14ac:dyDescent="0.25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>
        <v>1</v>
      </c>
      <c r="J9" s="3">
        <v>2922.33</v>
      </c>
      <c r="K9" s="2">
        <v>7.5</v>
      </c>
      <c r="L9" s="3">
        <v>2703.16</v>
      </c>
      <c r="M9">
        <v>46135</v>
      </c>
      <c r="N9" s="1" t="s">
        <v>24</v>
      </c>
      <c r="O9" s="1" t="s">
        <v>35</v>
      </c>
      <c r="P9" s="1" t="s">
        <v>53</v>
      </c>
    </row>
    <row r="10" spans="1:16" x14ac:dyDescent="0.25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>
        <v>19</v>
      </c>
      <c r="J10" s="3">
        <v>47218.26</v>
      </c>
      <c r="K10" s="2">
        <v>4.84</v>
      </c>
      <c r="L10" s="3">
        <v>853725.03</v>
      </c>
      <c r="M10">
        <v>46033</v>
      </c>
      <c r="N10" s="1" t="s">
        <v>58</v>
      </c>
      <c r="O10" s="1" t="s">
        <v>35</v>
      </c>
      <c r="P10" s="1" t="s">
        <v>53</v>
      </c>
    </row>
    <row r="11" spans="1:16" x14ac:dyDescent="0.25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>
        <v>30</v>
      </c>
      <c r="J11" s="3">
        <v>24319.16</v>
      </c>
      <c r="K11" s="2">
        <v>2.96</v>
      </c>
      <c r="L11" s="3">
        <v>707979.39</v>
      </c>
      <c r="M11">
        <v>46248</v>
      </c>
      <c r="N11" s="1" t="s">
        <v>24</v>
      </c>
      <c r="O11" s="1" t="s">
        <v>35</v>
      </c>
      <c r="P11" s="1" t="s">
        <v>26</v>
      </c>
    </row>
    <row r="12" spans="1:16" x14ac:dyDescent="0.25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>
        <v>29</v>
      </c>
      <c r="J12" s="3">
        <v>31198.6</v>
      </c>
      <c r="K12" s="2">
        <v>10.31</v>
      </c>
      <c r="L12" s="3">
        <v>811478.71</v>
      </c>
      <c r="M12">
        <v>46091</v>
      </c>
      <c r="N12" s="1" t="s">
        <v>68</v>
      </c>
      <c r="O12" s="1" t="s">
        <v>35</v>
      </c>
      <c r="P12" s="1" t="s">
        <v>36</v>
      </c>
    </row>
    <row r="13" spans="1:16" x14ac:dyDescent="0.25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>
        <v>25</v>
      </c>
      <c r="J13" s="3">
        <v>9814.2000000000007</v>
      </c>
      <c r="K13" s="2">
        <v>0.98</v>
      </c>
      <c r="L13" s="3">
        <v>242950.52</v>
      </c>
      <c r="M13">
        <v>46136</v>
      </c>
      <c r="N13" s="1" t="s">
        <v>68</v>
      </c>
      <c r="O13" s="1" t="s">
        <v>35</v>
      </c>
      <c r="P13" s="1" t="s">
        <v>26</v>
      </c>
    </row>
    <row r="14" spans="1:16" x14ac:dyDescent="0.25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>
        <v>29</v>
      </c>
      <c r="J14" s="3">
        <v>42344.08</v>
      </c>
      <c r="K14" s="2">
        <v>18.47</v>
      </c>
      <c r="L14" s="3">
        <v>1001170.72</v>
      </c>
      <c r="M14">
        <v>46245</v>
      </c>
      <c r="N14" s="1" t="s">
        <v>58</v>
      </c>
      <c r="O14" s="1" t="s">
        <v>35</v>
      </c>
      <c r="P14" s="1" t="s">
        <v>26</v>
      </c>
    </row>
    <row r="15" spans="1:16" x14ac:dyDescent="0.25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>
        <v>37</v>
      </c>
      <c r="J15" s="3">
        <v>16330.84</v>
      </c>
      <c r="K15" s="2">
        <v>3.24</v>
      </c>
      <c r="L15" s="3">
        <v>584663.67000000004</v>
      </c>
      <c r="M15">
        <v>46076</v>
      </c>
      <c r="N15" s="1" t="s">
        <v>24</v>
      </c>
      <c r="O15" s="1" t="s">
        <v>35</v>
      </c>
      <c r="P15" s="1" t="s">
        <v>36</v>
      </c>
    </row>
    <row r="16" spans="1:16" x14ac:dyDescent="0.25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>
        <v>8</v>
      </c>
      <c r="J16" s="3">
        <v>28232.05</v>
      </c>
      <c r="K16" s="2">
        <v>1.93</v>
      </c>
      <c r="L16" s="3">
        <v>221497.37</v>
      </c>
      <c r="M16">
        <v>46277</v>
      </c>
      <c r="N16" s="1" t="s">
        <v>113</v>
      </c>
      <c r="O16" s="1" t="s">
        <v>35</v>
      </c>
      <c r="P16" s="1" t="s">
        <v>53</v>
      </c>
    </row>
    <row r="17" spans="1:16" x14ac:dyDescent="0.25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>
        <v>6</v>
      </c>
      <c r="J17" s="3">
        <v>46998.97</v>
      </c>
      <c r="K17" s="2">
        <v>16.63</v>
      </c>
      <c r="L17" s="3">
        <v>235098.25</v>
      </c>
      <c r="M17">
        <v>46380</v>
      </c>
      <c r="N17" s="1" t="s">
        <v>68</v>
      </c>
      <c r="O17" s="1" t="s">
        <v>35</v>
      </c>
      <c r="P17" s="1" t="s">
        <v>26</v>
      </c>
    </row>
    <row r="18" spans="1:16" x14ac:dyDescent="0.25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>
        <v>20</v>
      </c>
      <c r="J18" s="3">
        <v>37689.68</v>
      </c>
      <c r="K18" s="2">
        <v>17.57</v>
      </c>
      <c r="L18" s="3">
        <v>621352.06000000006</v>
      </c>
      <c r="M18">
        <v>46201</v>
      </c>
      <c r="N18" s="1" t="s">
        <v>113</v>
      </c>
      <c r="O18" s="1" t="s">
        <v>35</v>
      </c>
      <c r="P18" s="1" t="s">
        <v>26</v>
      </c>
    </row>
    <row r="19" spans="1:16" x14ac:dyDescent="0.25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>
        <v>36</v>
      </c>
      <c r="J19" s="3">
        <v>11025.42</v>
      </c>
      <c r="K19" s="2">
        <v>11.13</v>
      </c>
      <c r="L19" s="3">
        <v>352738.47</v>
      </c>
      <c r="M19">
        <v>46030</v>
      </c>
      <c r="N19" s="1" t="s">
        <v>45</v>
      </c>
      <c r="O19" s="1" t="s">
        <v>35</v>
      </c>
      <c r="P19" s="1" t="s">
        <v>26</v>
      </c>
    </row>
    <row r="20" spans="1:16" x14ac:dyDescent="0.25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>
        <v>28</v>
      </c>
      <c r="J20" s="3">
        <v>46288.07</v>
      </c>
      <c r="K20" s="2">
        <v>15.03</v>
      </c>
      <c r="L20" s="3">
        <v>1101267.25</v>
      </c>
      <c r="M20">
        <v>46281</v>
      </c>
      <c r="N20" s="1" t="s">
        <v>24</v>
      </c>
      <c r="O20" s="1" t="s">
        <v>35</v>
      </c>
      <c r="P20" s="1" t="s">
        <v>53</v>
      </c>
    </row>
    <row r="21" spans="1:16" x14ac:dyDescent="0.25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>
        <v>40</v>
      </c>
      <c r="J21" s="3">
        <v>16457.21</v>
      </c>
      <c r="K21" s="2">
        <v>18.53</v>
      </c>
      <c r="L21" s="3">
        <v>536307.56000000006</v>
      </c>
      <c r="M21">
        <v>46128</v>
      </c>
      <c r="N21" s="1" t="s">
        <v>24</v>
      </c>
      <c r="O21" s="1" t="s">
        <v>35</v>
      </c>
      <c r="P21" s="1" t="s">
        <v>26</v>
      </c>
    </row>
    <row r="22" spans="1:16" x14ac:dyDescent="0.25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>
        <v>45</v>
      </c>
      <c r="J22" s="3">
        <v>31466.85</v>
      </c>
      <c r="K22" s="2">
        <v>0.17</v>
      </c>
      <c r="L22" s="3">
        <v>1413601.04</v>
      </c>
      <c r="M22">
        <v>46207</v>
      </c>
      <c r="N22" s="1" t="s">
        <v>113</v>
      </c>
      <c r="O22" s="1" t="s">
        <v>35</v>
      </c>
      <c r="P22" s="1" t="s">
        <v>26</v>
      </c>
    </row>
    <row r="23" spans="1:16" x14ac:dyDescent="0.25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>
        <v>30</v>
      </c>
      <c r="J23" s="3">
        <v>4659.95</v>
      </c>
      <c r="K23" s="2">
        <v>17.72</v>
      </c>
      <c r="L23" s="3">
        <v>115026.21</v>
      </c>
      <c r="M23">
        <v>46270</v>
      </c>
      <c r="N23" s="1" t="s">
        <v>58</v>
      </c>
      <c r="O23" s="1" t="s">
        <v>25</v>
      </c>
      <c r="P23" s="1" t="s">
        <v>26</v>
      </c>
    </row>
    <row r="24" spans="1:16" x14ac:dyDescent="0.25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>
        <v>9</v>
      </c>
      <c r="J24" s="3">
        <v>43862.99</v>
      </c>
      <c r="K24" s="2">
        <v>5.73</v>
      </c>
      <c r="L24" s="3">
        <v>372146.77</v>
      </c>
      <c r="M24">
        <v>46160</v>
      </c>
      <c r="N24" s="1" t="s">
        <v>68</v>
      </c>
      <c r="O24" s="1" t="s">
        <v>25</v>
      </c>
      <c r="P24" s="1" t="s">
        <v>36</v>
      </c>
    </row>
    <row r="25" spans="1:16" x14ac:dyDescent="0.25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>
        <v>44</v>
      </c>
      <c r="J25" s="3">
        <v>18856.939999999999</v>
      </c>
      <c r="K25" s="2">
        <v>3.72</v>
      </c>
      <c r="L25" s="3">
        <v>798840.31999999995</v>
      </c>
      <c r="M25">
        <v>46125</v>
      </c>
      <c r="N25" s="1" t="s">
        <v>58</v>
      </c>
      <c r="O25" s="1" t="s">
        <v>35</v>
      </c>
      <c r="P25" s="1" t="s">
        <v>26</v>
      </c>
    </row>
    <row r="26" spans="1:16" x14ac:dyDescent="0.25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>
        <v>16</v>
      </c>
      <c r="J26" s="3">
        <v>37065.410000000003</v>
      </c>
      <c r="K26" s="2">
        <v>2.74</v>
      </c>
      <c r="L26" s="3">
        <v>576797.07999999996</v>
      </c>
      <c r="M26">
        <v>46210</v>
      </c>
      <c r="N26" s="1" t="s">
        <v>24</v>
      </c>
      <c r="O26" s="1" t="s">
        <v>35</v>
      </c>
      <c r="P26" s="1" t="s">
        <v>26</v>
      </c>
    </row>
    <row r="27" spans="1:16" x14ac:dyDescent="0.25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>
        <v>30</v>
      </c>
      <c r="J27" s="3">
        <v>18828.88</v>
      </c>
      <c r="K27" s="2">
        <v>19.48</v>
      </c>
      <c r="L27" s="3">
        <v>454830.43</v>
      </c>
      <c r="M27">
        <v>46387</v>
      </c>
      <c r="N27" s="1" t="s">
        <v>68</v>
      </c>
      <c r="O27" s="1" t="s">
        <v>25</v>
      </c>
      <c r="P27" s="1" t="s">
        <v>36</v>
      </c>
    </row>
    <row r="28" spans="1:16" x14ac:dyDescent="0.25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>
        <v>36</v>
      </c>
      <c r="J28" s="3">
        <v>21846.240000000002</v>
      </c>
      <c r="K28" s="2">
        <v>10.039999999999999</v>
      </c>
      <c r="L28" s="3">
        <v>707503.59</v>
      </c>
      <c r="M28">
        <v>46037</v>
      </c>
      <c r="N28" s="1" t="s">
        <v>24</v>
      </c>
      <c r="O28" s="1" t="s">
        <v>35</v>
      </c>
      <c r="P28" s="1" t="s">
        <v>36</v>
      </c>
    </row>
    <row r="29" spans="1:16" x14ac:dyDescent="0.25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>
        <v>7</v>
      </c>
      <c r="J29" s="3">
        <v>3612.55</v>
      </c>
      <c r="K29" s="2">
        <v>2.57</v>
      </c>
      <c r="L29" s="3">
        <v>24637.95</v>
      </c>
      <c r="M29">
        <v>46186</v>
      </c>
      <c r="N29" s="1" t="s">
        <v>24</v>
      </c>
      <c r="O29" s="1" t="s">
        <v>35</v>
      </c>
      <c r="P29" s="1" t="s">
        <v>26</v>
      </c>
    </row>
    <row r="30" spans="1:16" x14ac:dyDescent="0.25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>
        <v>24</v>
      </c>
      <c r="J30" s="3">
        <v>46841.96</v>
      </c>
      <c r="K30" s="2">
        <v>13.86</v>
      </c>
      <c r="L30" s="3">
        <v>968391.94</v>
      </c>
      <c r="M30">
        <v>46169</v>
      </c>
      <c r="N30" s="1" t="s">
        <v>113</v>
      </c>
      <c r="O30" s="1" t="s">
        <v>35</v>
      </c>
      <c r="P30" s="1" t="s">
        <v>36</v>
      </c>
    </row>
    <row r="31" spans="1:16" x14ac:dyDescent="0.25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>
        <v>22</v>
      </c>
      <c r="J31" s="3">
        <v>48034.92</v>
      </c>
      <c r="K31" s="2">
        <v>6.21</v>
      </c>
      <c r="L31" s="3">
        <v>991142.93</v>
      </c>
      <c r="M31">
        <v>46342</v>
      </c>
      <c r="N31" s="1" t="s">
        <v>24</v>
      </c>
      <c r="O31" s="1" t="s">
        <v>59</v>
      </c>
      <c r="P31" s="1" t="s">
        <v>26</v>
      </c>
    </row>
    <row r="32" spans="1:16" x14ac:dyDescent="0.25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>
        <v>13</v>
      </c>
      <c r="J32" s="3">
        <v>25549.98</v>
      </c>
      <c r="K32" s="2">
        <v>18.12</v>
      </c>
      <c r="L32" s="3">
        <v>271964.21000000002</v>
      </c>
      <c r="M32">
        <v>46148</v>
      </c>
      <c r="N32" s="1" t="s">
        <v>58</v>
      </c>
      <c r="O32" s="1" t="s">
        <v>35</v>
      </c>
      <c r="P32" s="1" t="s">
        <v>26</v>
      </c>
    </row>
    <row r="33" spans="1:16" x14ac:dyDescent="0.25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>
        <v>32</v>
      </c>
      <c r="J33" s="3">
        <v>14169.43</v>
      </c>
      <c r="K33" s="2">
        <v>12.31</v>
      </c>
      <c r="L33" s="3">
        <v>397605.54</v>
      </c>
      <c r="M33">
        <v>46248</v>
      </c>
      <c r="N33" s="1" t="s">
        <v>24</v>
      </c>
      <c r="O33" s="1" t="s">
        <v>35</v>
      </c>
      <c r="P33" s="1" t="s">
        <v>53</v>
      </c>
    </row>
    <row r="34" spans="1:16" x14ac:dyDescent="0.25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>
        <v>8</v>
      </c>
      <c r="J34" s="3">
        <v>33273.040000000001</v>
      </c>
      <c r="K34" s="2">
        <v>1.98</v>
      </c>
      <c r="L34" s="3">
        <v>260913.87</v>
      </c>
      <c r="M34">
        <v>46029</v>
      </c>
      <c r="N34" s="1" t="s">
        <v>45</v>
      </c>
      <c r="O34" s="1" t="s">
        <v>35</v>
      </c>
      <c r="P34" s="1" t="s">
        <v>36</v>
      </c>
    </row>
    <row r="35" spans="1:16" x14ac:dyDescent="0.25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>
        <v>15</v>
      </c>
      <c r="J35" s="3">
        <v>36627.269999999997</v>
      </c>
      <c r="K35" s="2">
        <v>9.83</v>
      </c>
      <c r="L35" s="3">
        <v>495402.14</v>
      </c>
      <c r="M35">
        <v>46284</v>
      </c>
      <c r="N35" s="1" t="s">
        <v>113</v>
      </c>
      <c r="O35" s="1" t="s">
        <v>35</v>
      </c>
      <c r="P35" s="1" t="s">
        <v>53</v>
      </c>
    </row>
    <row r="36" spans="1:16" x14ac:dyDescent="0.25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>
        <v>43</v>
      </c>
      <c r="J36" s="3">
        <v>34094.550000000003</v>
      </c>
      <c r="K36" s="2">
        <v>3.33</v>
      </c>
      <c r="L36" s="3">
        <v>1417245.66</v>
      </c>
      <c r="M36">
        <v>46262</v>
      </c>
      <c r="N36" s="1" t="s">
        <v>58</v>
      </c>
      <c r="O36" s="1" t="s">
        <v>35</v>
      </c>
      <c r="P36" s="1" t="s">
        <v>36</v>
      </c>
    </row>
    <row r="37" spans="1:16" x14ac:dyDescent="0.25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>
        <v>30</v>
      </c>
      <c r="J37" s="3">
        <v>45987.19</v>
      </c>
      <c r="K37" s="2">
        <v>5.22</v>
      </c>
      <c r="L37" s="3">
        <v>1307599.76</v>
      </c>
      <c r="M37">
        <v>46172</v>
      </c>
      <c r="N37" s="1" t="s">
        <v>113</v>
      </c>
      <c r="O37" s="1" t="s">
        <v>35</v>
      </c>
      <c r="P37" s="1" t="s">
        <v>26</v>
      </c>
    </row>
    <row r="38" spans="1:16" x14ac:dyDescent="0.25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>
        <v>36</v>
      </c>
      <c r="J38" s="3">
        <v>12378.55</v>
      </c>
      <c r="K38" s="2">
        <v>18.21</v>
      </c>
      <c r="L38" s="3">
        <v>364478.98</v>
      </c>
      <c r="M38">
        <v>46041</v>
      </c>
      <c r="N38" s="1" t="s">
        <v>113</v>
      </c>
      <c r="O38" s="1" t="s">
        <v>35</v>
      </c>
      <c r="P38" s="1" t="s">
        <v>36</v>
      </c>
    </row>
    <row r="39" spans="1:16" x14ac:dyDescent="0.25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>
        <v>1</v>
      </c>
      <c r="J39" s="3">
        <v>47188.85</v>
      </c>
      <c r="K39" s="2">
        <v>15.42</v>
      </c>
      <c r="L39" s="3">
        <v>39912.33</v>
      </c>
      <c r="M39">
        <v>46114</v>
      </c>
      <c r="N39" s="1" t="s">
        <v>24</v>
      </c>
      <c r="O39" s="1" t="s">
        <v>35</v>
      </c>
      <c r="P39" s="1" t="s">
        <v>53</v>
      </c>
    </row>
    <row r="40" spans="1:16" x14ac:dyDescent="0.25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>
        <v>27</v>
      </c>
      <c r="J40" s="3">
        <v>21030.42</v>
      </c>
      <c r="K40" s="2">
        <v>7.93</v>
      </c>
      <c r="L40" s="3">
        <v>522793.11</v>
      </c>
      <c r="M40">
        <v>46381</v>
      </c>
      <c r="N40" s="1" t="s">
        <v>113</v>
      </c>
      <c r="O40" s="1" t="s">
        <v>35</v>
      </c>
      <c r="P40" s="1" t="s">
        <v>26</v>
      </c>
    </row>
    <row r="41" spans="1:16" x14ac:dyDescent="0.25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>
        <v>2</v>
      </c>
      <c r="J41" s="3">
        <v>4308.7</v>
      </c>
      <c r="K41" s="2">
        <v>14.16</v>
      </c>
      <c r="L41" s="3">
        <v>7397.18</v>
      </c>
      <c r="M41">
        <v>46137</v>
      </c>
      <c r="N41" s="1" t="s">
        <v>113</v>
      </c>
      <c r="O41" s="1" t="s">
        <v>35</v>
      </c>
      <c r="P41" s="1" t="s">
        <v>26</v>
      </c>
    </row>
    <row r="42" spans="1:16" x14ac:dyDescent="0.25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>
        <v>6</v>
      </c>
      <c r="J42" s="3">
        <v>46343.98</v>
      </c>
      <c r="K42" s="2">
        <v>15.29</v>
      </c>
      <c r="L42" s="3">
        <v>235547.91</v>
      </c>
      <c r="M42">
        <v>46244</v>
      </c>
      <c r="N42" s="1" t="s">
        <v>45</v>
      </c>
      <c r="O42" s="1" t="s">
        <v>25</v>
      </c>
      <c r="P42" s="1" t="s">
        <v>36</v>
      </c>
    </row>
    <row r="43" spans="1:16" x14ac:dyDescent="0.25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>
        <v>49</v>
      </c>
      <c r="J43" s="3">
        <v>37132.07</v>
      </c>
      <c r="K43" s="2">
        <v>8.6199999999999992</v>
      </c>
      <c r="L43" s="3">
        <v>1662632.99</v>
      </c>
      <c r="M43">
        <v>46036</v>
      </c>
      <c r="N43" s="1" t="s">
        <v>113</v>
      </c>
      <c r="O43" s="1" t="s">
        <v>35</v>
      </c>
      <c r="P43" s="1" t="s">
        <v>53</v>
      </c>
    </row>
    <row r="44" spans="1:16" x14ac:dyDescent="0.25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>
        <v>15</v>
      </c>
      <c r="J44" s="3">
        <v>46699.66</v>
      </c>
      <c r="K44" s="2">
        <v>4.59</v>
      </c>
      <c r="L44" s="3">
        <v>668342.18000000005</v>
      </c>
      <c r="M44">
        <v>46077</v>
      </c>
      <c r="N44" s="1" t="s">
        <v>24</v>
      </c>
      <c r="O44" s="1" t="s">
        <v>35</v>
      </c>
      <c r="P44" s="1" t="s">
        <v>53</v>
      </c>
    </row>
    <row r="45" spans="1:16" x14ac:dyDescent="0.25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>
        <v>21</v>
      </c>
      <c r="J45" s="3">
        <v>14770.81</v>
      </c>
      <c r="K45" s="2">
        <v>10.9</v>
      </c>
      <c r="L45" s="3">
        <v>276376.63</v>
      </c>
      <c r="M45">
        <v>46090</v>
      </c>
      <c r="N45" s="1" t="s">
        <v>68</v>
      </c>
      <c r="O45" s="1" t="s">
        <v>35</v>
      </c>
      <c r="P45" s="1" t="s">
        <v>26</v>
      </c>
    </row>
    <row r="46" spans="1:16" x14ac:dyDescent="0.25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>
        <v>22</v>
      </c>
      <c r="J46" s="3">
        <v>16613.54</v>
      </c>
      <c r="K46" s="2">
        <v>7.46</v>
      </c>
      <c r="L46" s="3">
        <v>338231.74</v>
      </c>
      <c r="M46">
        <v>46261</v>
      </c>
      <c r="N46" s="1" t="s">
        <v>58</v>
      </c>
      <c r="O46" s="1" t="s">
        <v>35</v>
      </c>
      <c r="P46" s="1" t="s">
        <v>26</v>
      </c>
    </row>
    <row r="47" spans="1:16" x14ac:dyDescent="0.25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>
        <v>48</v>
      </c>
      <c r="J47" s="3">
        <v>37746.69</v>
      </c>
      <c r="K47" s="2">
        <v>7.22</v>
      </c>
      <c r="L47" s="3">
        <v>1681026.19</v>
      </c>
      <c r="M47">
        <v>46040</v>
      </c>
      <c r="N47" s="1" t="s">
        <v>24</v>
      </c>
      <c r="O47" s="1" t="s">
        <v>35</v>
      </c>
      <c r="P47" s="1" t="s">
        <v>36</v>
      </c>
    </row>
    <row r="48" spans="1:16" x14ac:dyDescent="0.25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>
        <v>3</v>
      </c>
      <c r="J48" s="3">
        <v>27786.78</v>
      </c>
      <c r="K48" s="2">
        <v>7.33</v>
      </c>
      <c r="L48" s="3">
        <v>77250.03</v>
      </c>
      <c r="M48">
        <v>46094</v>
      </c>
      <c r="N48" s="1" t="s">
        <v>68</v>
      </c>
      <c r="O48" s="1" t="s">
        <v>35</v>
      </c>
      <c r="P48" s="1" t="s">
        <v>36</v>
      </c>
    </row>
    <row r="49" spans="1:16" x14ac:dyDescent="0.25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>
        <v>50</v>
      </c>
      <c r="J49" s="3">
        <v>43118.03</v>
      </c>
      <c r="K49" s="2">
        <v>13.59</v>
      </c>
      <c r="L49" s="3">
        <v>1862914.49</v>
      </c>
      <c r="M49">
        <v>46098</v>
      </c>
      <c r="N49" s="1" t="s">
        <v>24</v>
      </c>
      <c r="O49" s="1" t="s">
        <v>35</v>
      </c>
      <c r="P49" s="1" t="s">
        <v>26</v>
      </c>
    </row>
    <row r="50" spans="1:16" x14ac:dyDescent="0.25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>
        <v>3</v>
      </c>
      <c r="J50" s="3">
        <v>25697.65</v>
      </c>
      <c r="K50" s="2">
        <v>16.79</v>
      </c>
      <c r="L50" s="3">
        <v>64149.04</v>
      </c>
      <c r="M50">
        <v>46242</v>
      </c>
      <c r="N50" s="1" t="s">
        <v>58</v>
      </c>
      <c r="O50" s="1" t="s">
        <v>35</v>
      </c>
      <c r="P50" s="1" t="s">
        <v>36</v>
      </c>
    </row>
    <row r="51" spans="1:16" x14ac:dyDescent="0.25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>
        <v>26</v>
      </c>
      <c r="J51" s="3">
        <v>29392.25</v>
      </c>
      <c r="K51" s="2">
        <v>13.18</v>
      </c>
      <c r="L51" s="3">
        <v>663477.14</v>
      </c>
      <c r="M51">
        <v>46045</v>
      </c>
      <c r="N51" s="1" t="s">
        <v>58</v>
      </c>
      <c r="O51" s="1" t="s">
        <v>35</v>
      </c>
      <c r="P51" s="1" t="s">
        <v>53</v>
      </c>
    </row>
    <row r="52" spans="1:16" x14ac:dyDescent="0.25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>
        <v>44</v>
      </c>
      <c r="J52" s="3">
        <v>6830.71</v>
      </c>
      <c r="K52" s="2">
        <v>9.9600000000000009</v>
      </c>
      <c r="L52" s="3">
        <v>270616.34000000003</v>
      </c>
      <c r="M52">
        <v>46197</v>
      </c>
      <c r="N52" s="1" t="s">
        <v>24</v>
      </c>
      <c r="O52" s="1" t="s">
        <v>35</v>
      </c>
      <c r="P52" s="1" t="s">
        <v>53</v>
      </c>
    </row>
    <row r="53" spans="1:16" x14ac:dyDescent="0.25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>
        <v>21</v>
      </c>
      <c r="J53" s="3">
        <v>1484.74</v>
      </c>
      <c r="K53" s="2">
        <v>19.690000000000001</v>
      </c>
      <c r="L53" s="3">
        <v>25040.29</v>
      </c>
      <c r="M53">
        <v>46300</v>
      </c>
      <c r="N53" s="1" t="s">
        <v>45</v>
      </c>
      <c r="O53" s="1" t="s">
        <v>35</v>
      </c>
      <c r="P53" s="1" t="s">
        <v>36</v>
      </c>
    </row>
    <row r="54" spans="1:16" x14ac:dyDescent="0.25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>
        <v>43</v>
      </c>
      <c r="J54" s="3">
        <v>19533.099999999999</v>
      </c>
      <c r="K54" s="2">
        <v>9.11</v>
      </c>
      <c r="L54" s="3">
        <v>763406.29</v>
      </c>
      <c r="M54">
        <v>46169</v>
      </c>
      <c r="N54" s="1" t="s">
        <v>68</v>
      </c>
      <c r="O54" s="1" t="s">
        <v>35</v>
      </c>
      <c r="P54" s="1" t="s">
        <v>36</v>
      </c>
    </row>
    <row r="55" spans="1:16" x14ac:dyDescent="0.25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>
        <v>31</v>
      </c>
      <c r="J55" s="3">
        <v>23667.08</v>
      </c>
      <c r="K55" s="2">
        <v>0.16</v>
      </c>
      <c r="L55" s="3">
        <v>732505.59</v>
      </c>
      <c r="M55">
        <v>46127</v>
      </c>
      <c r="N55" s="1" t="s">
        <v>24</v>
      </c>
      <c r="O55" s="1" t="s">
        <v>35</v>
      </c>
      <c r="P55" s="1" t="s">
        <v>36</v>
      </c>
    </row>
    <row r="56" spans="1:16" x14ac:dyDescent="0.25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>
        <v>33</v>
      </c>
      <c r="J56" s="3">
        <v>47752.27</v>
      </c>
      <c r="K56" s="2">
        <v>6.4</v>
      </c>
      <c r="L56" s="3">
        <v>1474972.12</v>
      </c>
      <c r="M56">
        <v>46314</v>
      </c>
      <c r="N56" s="1" t="s">
        <v>113</v>
      </c>
      <c r="O56" s="1" t="s">
        <v>35</v>
      </c>
      <c r="P56" s="1" t="s">
        <v>36</v>
      </c>
    </row>
    <row r="57" spans="1:16" x14ac:dyDescent="0.25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>
        <v>45</v>
      </c>
      <c r="J57" s="3">
        <v>33327.82</v>
      </c>
      <c r="K57" s="2">
        <v>0.06</v>
      </c>
      <c r="L57" s="3">
        <v>1498852.05</v>
      </c>
      <c r="M57">
        <v>46026</v>
      </c>
      <c r="N57" s="1" t="s">
        <v>24</v>
      </c>
      <c r="O57" s="1" t="s">
        <v>35</v>
      </c>
      <c r="P57" s="1" t="s">
        <v>36</v>
      </c>
    </row>
    <row r="58" spans="1:16" x14ac:dyDescent="0.25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>
        <v>29</v>
      </c>
      <c r="J58" s="3">
        <v>4543.32</v>
      </c>
      <c r="K58" s="2">
        <v>14.87</v>
      </c>
      <c r="L58" s="3">
        <v>112164.12</v>
      </c>
      <c r="M58">
        <v>46123</v>
      </c>
      <c r="N58" s="1" t="s">
        <v>24</v>
      </c>
      <c r="O58" s="1" t="s">
        <v>35</v>
      </c>
      <c r="P58" s="1" t="s">
        <v>53</v>
      </c>
    </row>
    <row r="59" spans="1:16" x14ac:dyDescent="0.25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>
        <v>2</v>
      </c>
      <c r="J59" s="3">
        <v>39272.870000000003</v>
      </c>
      <c r="K59" s="2">
        <v>1.37</v>
      </c>
      <c r="L59" s="3">
        <v>77469.66</v>
      </c>
      <c r="M59">
        <v>46317</v>
      </c>
      <c r="N59" s="1" t="s">
        <v>68</v>
      </c>
      <c r="O59" s="1" t="s">
        <v>35</v>
      </c>
      <c r="P59" s="1" t="s">
        <v>53</v>
      </c>
    </row>
    <row r="60" spans="1:16" x14ac:dyDescent="0.25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>
        <v>45</v>
      </c>
      <c r="J60" s="3">
        <v>48889.89</v>
      </c>
      <c r="K60" s="2">
        <v>5.59</v>
      </c>
      <c r="L60" s="3">
        <v>2077062.53</v>
      </c>
      <c r="M60">
        <v>46215</v>
      </c>
      <c r="N60" s="1" t="s">
        <v>58</v>
      </c>
      <c r="O60" s="1" t="s">
        <v>25</v>
      </c>
      <c r="P60" s="1" t="s">
        <v>26</v>
      </c>
    </row>
    <row r="61" spans="1:16" x14ac:dyDescent="0.25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>
        <v>44</v>
      </c>
      <c r="J61" s="3">
        <v>6074.08</v>
      </c>
      <c r="K61" s="2">
        <v>0.77</v>
      </c>
      <c r="L61" s="3">
        <v>265201.62</v>
      </c>
      <c r="M61">
        <v>46130</v>
      </c>
      <c r="N61" s="1" t="s">
        <v>45</v>
      </c>
      <c r="O61" s="1" t="s">
        <v>25</v>
      </c>
      <c r="P61" s="1" t="s">
        <v>53</v>
      </c>
    </row>
    <row r="62" spans="1:16" x14ac:dyDescent="0.25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>
        <v>43</v>
      </c>
      <c r="J62" s="3">
        <v>23734.03</v>
      </c>
      <c r="K62" s="2">
        <v>12.51</v>
      </c>
      <c r="L62" s="3">
        <v>892890.82</v>
      </c>
      <c r="M62">
        <v>46245</v>
      </c>
      <c r="N62" s="1" t="s">
        <v>45</v>
      </c>
      <c r="O62" s="1" t="s">
        <v>59</v>
      </c>
      <c r="P62" s="1" t="s">
        <v>26</v>
      </c>
    </row>
    <row r="63" spans="1:16" x14ac:dyDescent="0.25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>
        <v>17</v>
      </c>
      <c r="J63" s="3">
        <v>28375.61</v>
      </c>
      <c r="K63" s="2">
        <v>13.37</v>
      </c>
      <c r="L63" s="3">
        <v>417890.45</v>
      </c>
      <c r="M63">
        <v>46047</v>
      </c>
      <c r="N63" s="1" t="s">
        <v>68</v>
      </c>
      <c r="O63" s="1" t="s">
        <v>35</v>
      </c>
      <c r="P63" s="1" t="s">
        <v>53</v>
      </c>
    </row>
    <row r="64" spans="1:16" x14ac:dyDescent="0.25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>
        <v>26</v>
      </c>
      <c r="J64" s="3">
        <v>6402.73</v>
      </c>
      <c r="K64" s="2">
        <v>15.68</v>
      </c>
      <c r="L64" s="3">
        <v>140368.32999999999</v>
      </c>
      <c r="M64">
        <v>46285</v>
      </c>
      <c r="N64" s="1" t="s">
        <v>24</v>
      </c>
      <c r="O64" s="1" t="s">
        <v>35</v>
      </c>
      <c r="P64" s="1" t="s">
        <v>26</v>
      </c>
    </row>
    <row r="65" spans="1:16" x14ac:dyDescent="0.25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>
        <v>44</v>
      </c>
      <c r="J65" s="3">
        <v>35238.629999999997</v>
      </c>
      <c r="K65" s="2">
        <v>7.96</v>
      </c>
      <c r="L65" s="3">
        <v>1427079.94</v>
      </c>
      <c r="M65">
        <v>46233</v>
      </c>
      <c r="N65" s="1" t="s">
        <v>58</v>
      </c>
      <c r="O65" s="1" t="s">
        <v>59</v>
      </c>
      <c r="P65" s="1" t="s">
        <v>26</v>
      </c>
    </row>
    <row r="66" spans="1:16" x14ac:dyDescent="0.25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>
        <v>16</v>
      </c>
      <c r="J66" s="3">
        <v>4575.79</v>
      </c>
      <c r="K66" s="2">
        <v>11.88</v>
      </c>
      <c r="L66" s="3">
        <v>64514.98</v>
      </c>
      <c r="M66">
        <v>46115</v>
      </c>
      <c r="N66" s="1" t="s">
        <v>24</v>
      </c>
      <c r="O66" s="1" t="s">
        <v>25</v>
      </c>
      <c r="P66" s="1" t="s">
        <v>53</v>
      </c>
    </row>
    <row r="67" spans="1:16" x14ac:dyDescent="0.25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>
        <v>46</v>
      </c>
      <c r="J67" s="3">
        <v>43702.17</v>
      </c>
      <c r="K67" s="2">
        <v>19.12</v>
      </c>
      <c r="L67" s="3">
        <v>1625930.49</v>
      </c>
      <c r="M67">
        <v>46134</v>
      </c>
      <c r="N67" s="1" t="s">
        <v>45</v>
      </c>
      <c r="O67" s="1" t="s">
        <v>25</v>
      </c>
      <c r="P67" s="1" t="s">
        <v>26</v>
      </c>
    </row>
    <row r="68" spans="1:16" x14ac:dyDescent="0.25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>
        <v>23</v>
      </c>
      <c r="J68" s="3">
        <v>35008.53</v>
      </c>
      <c r="K68" s="2">
        <v>4.33</v>
      </c>
      <c r="L68" s="3">
        <v>770331.19</v>
      </c>
      <c r="M68">
        <v>46143</v>
      </c>
      <c r="N68" s="1" t="s">
        <v>58</v>
      </c>
      <c r="O68" s="1" t="s">
        <v>35</v>
      </c>
      <c r="P68" s="1" t="s">
        <v>26</v>
      </c>
    </row>
    <row r="69" spans="1:16" x14ac:dyDescent="0.25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>
        <v>37</v>
      </c>
      <c r="J69" s="3">
        <v>43911.61</v>
      </c>
      <c r="K69" s="2">
        <v>3.51</v>
      </c>
      <c r="L69" s="3">
        <v>1567701.56</v>
      </c>
      <c r="M69">
        <v>46321</v>
      </c>
      <c r="N69" s="1" t="s">
        <v>58</v>
      </c>
      <c r="O69" s="1" t="s">
        <v>35</v>
      </c>
      <c r="P69" s="1" t="s">
        <v>53</v>
      </c>
    </row>
    <row r="70" spans="1:16" x14ac:dyDescent="0.25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>
        <v>41</v>
      </c>
      <c r="J70" s="3">
        <v>38355.589999999997</v>
      </c>
      <c r="K70" s="2">
        <v>2.81</v>
      </c>
      <c r="L70" s="3">
        <v>1528389.71</v>
      </c>
      <c r="M70">
        <v>46231</v>
      </c>
      <c r="N70" s="1" t="s">
        <v>45</v>
      </c>
      <c r="O70" s="1" t="s">
        <v>35</v>
      </c>
      <c r="P70" s="1" t="s">
        <v>53</v>
      </c>
    </row>
    <row r="71" spans="1:16" x14ac:dyDescent="0.25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>
        <v>22</v>
      </c>
      <c r="J71" s="3">
        <v>7182.12</v>
      </c>
      <c r="K71" s="2">
        <v>2.63</v>
      </c>
      <c r="L71" s="3">
        <v>153851.07</v>
      </c>
      <c r="M71">
        <v>46157</v>
      </c>
      <c r="N71" s="1" t="s">
        <v>24</v>
      </c>
      <c r="O71" s="1" t="s">
        <v>35</v>
      </c>
      <c r="P71" s="1" t="s">
        <v>36</v>
      </c>
    </row>
    <row r="72" spans="1:16" x14ac:dyDescent="0.25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>
        <v>16</v>
      </c>
      <c r="J72" s="3">
        <v>21483.62</v>
      </c>
      <c r="K72" s="2">
        <v>2.65</v>
      </c>
      <c r="L72" s="3">
        <v>334628.87</v>
      </c>
      <c r="M72">
        <v>46191</v>
      </c>
      <c r="N72" s="1" t="s">
        <v>68</v>
      </c>
      <c r="O72" s="1" t="s">
        <v>35</v>
      </c>
      <c r="P72" s="1" t="s">
        <v>26</v>
      </c>
    </row>
    <row r="73" spans="1:16" x14ac:dyDescent="0.25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>
        <v>34</v>
      </c>
      <c r="J73" s="3">
        <v>39029.97</v>
      </c>
      <c r="K73" s="2">
        <v>3.29</v>
      </c>
      <c r="L73" s="3">
        <v>1283360.06</v>
      </c>
      <c r="M73">
        <v>46224</v>
      </c>
      <c r="N73" s="1" t="s">
        <v>45</v>
      </c>
      <c r="O73" s="1" t="s">
        <v>35</v>
      </c>
      <c r="P73" s="1" t="s">
        <v>53</v>
      </c>
    </row>
    <row r="74" spans="1:16" x14ac:dyDescent="0.25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>
        <v>6</v>
      </c>
      <c r="J74" s="3">
        <v>46477.08</v>
      </c>
      <c r="K74" s="2">
        <v>18.47</v>
      </c>
      <c r="L74" s="3">
        <v>227356.58</v>
      </c>
      <c r="M74">
        <v>46296</v>
      </c>
      <c r="N74" s="1" t="s">
        <v>113</v>
      </c>
      <c r="O74" s="1" t="s">
        <v>25</v>
      </c>
      <c r="P74" s="1" t="s">
        <v>36</v>
      </c>
    </row>
    <row r="75" spans="1:16" x14ac:dyDescent="0.25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>
        <v>32</v>
      </c>
      <c r="J75" s="3">
        <v>47083.06</v>
      </c>
      <c r="K75" s="2">
        <v>13.38</v>
      </c>
      <c r="L75" s="3">
        <v>1305067.0900000001</v>
      </c>
      <c r="M75">
        <v>46255</v>
      </c>
      <c r="N75" s="1" t="s">
        <v>24</v>
      </c>
      <c r="O75" s="1" t="s">
        <v>59</v>
      </c>
      <c r="P75" s="1" t="s">
        <v>36</v>
      </c>
    </row>
    <row r="76" spans="1:16" x14ac:dyDescent="0.25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>
        <v>15</v>
      </c>
      <c r="J76" s="3">
        <v>31611.84</v>
      </c>
      <c r="K76" s="2">
        <v>13.63</v>
      </c>
      <c r="L76" s="3">
        <v>409547.19</v>
      </c>
      <c r="M76">
        <v>46286</v>
      </c>
      <c r="N76" s="1" t="s">
        <v>68</v>
      </c>
      <c r="O76" s="1" t="s">
        <v>35</v>
      </c>
      <c r="P76" s="1" t="s">
        <v>53</v>
      </c>
    </row>
    <row r="77" spans="1:16" x14ac:dyDescent="0.25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>
        <v>17</v>
      </c>
      <c r="J77" s="3">
        <v>15456.12</v>
      </c>
      <c r="K77" s="2">
        <v>10.79</v>
      </c>
      <c r="L77" s="3">
        <v>234402.88</v>
      </c>
      <c r="M77">
        <v>46121</v>
      </c>
      <c r="N77" s="1" t="s">
        <v>24</v>
      </c>
      <c r="O77" s="1" t="s">
        <v>59</v>
      </c>
      <c r="P77" s="1" t="s">
        <v>53</v>
      </c>
    </row>
    <row r="78" spans="1:16" x14ac:dyDescent="0.25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>
        <v>20</v>
      </c>
      <c r="J78" s="3">
        <v>1244.17</v>
      </c>
      <c r="K78" s="2">
        <v>5.61</v>
      </c>
      <c r="L78" s="3">
        <v>23487.439999999999</v>
      </c>
      <c r="M78">
        <v>46281</v>
      </c>
      <c r="N78" s="1" t="s">
        <v>24</v>
      </c>
      <c r="O78" s="1" t="s">
        <v>35</v>
      </c>
      <c r="P78" s="1" t="s">
        <v>36</v>
      </c>
    </row>
    <row r="79" spans="1:16" x14ac:dyDescent="0.25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>
        <v>12</v>
      </c>
      <c r="J79" s="3">
        <v>25736.06</v>
      </c>
      <c r="K79" s="2">
        <v>13.25</v>
      </c>
      <c r="L79" s="3">
        <v>267912.38</v>
      </c>
      <c r="M79">
        <v>46120</v>
      </c>
      <c r="N79" s="1" t="s">
        <v>58</v>
      </c>
      <c r="O79" s="1" t="s">
        <v>35</v>
      </c>
      <c r="P79" s="1" t="s">
        <v>36</v>
      </c>
    </row>
    <row r="80" spans="1:16" x14ac:dyDescent="0.25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>
        <v>23</v>
      </c>
      <c r="J80" s="3">
        <v>17182.990000000002</v>
      </c>
      <c r="K80" s="2">
        <v>18.559999999999999</v>
      </c>
      <c r="L80" s="3">
        <v>321858.02</v>
      </c>
      <c r="M80">
        <v>46328</v>
      </c>
      <c r="N80" s="1" t="s">
        <v>113</v>
      </c>
      <c r="O80" s="1" t="s">
        <v>35</v>
      </c>
      <c r="P80" s="1" t="s">
        <v>36</v>
      </c>
    </row>
    <row r="81" spans="1:16" x14ac:dyDescent="0.25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>
        <v>19</v>
      </c>
      <c r="J81" s="3">
        <v>20886.78</v>
      </c>
      <c r="K81" s="2">
        <v>1.67</v>
      </c>
      <c r="L81" s="3">
        <v>390221.44</v>
      </c>
      <c r="M81">
        <v>46217</v>
      </c>
      <c r="N81" s="1" t="s">
        <v>24</v>
      </c>
      <c r="O81" s="1" t="s">
        <v>35</v>
      </c>
      <c r="P81" s="1" t="s">
        <v>53</v>
      </c>
    </row>
    <row r="82" spans="1:16" x14ac:dyDescent="0.25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>
        <v>4</v>
      </c>
      <c r="J82" s="3">
        <v>39025.21</v>
      </c>
      <c r="K82" s="2">
        <v>7.04</v>
      </c>
      <c r="L82" s="3">
        <v>145111.34</v>
      </c>
      <c r="M82">
        <v>46264</v>
      </c>
      <c r="N82" s="1" t="s">
        <v>58</v>
      </c>
      <c r="O82" s="1" t="s">
        <v>35</v>
      </c>
      <c r="P82" s="1" t="s">
        <v>26</v>
      </c>
    </row>
    <row r="83" spans="1:16" x14ac:dyDescent="0.25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>
        <v>50</v>
      </c>
      <c r="J83" s="3">
        <v>1348.21</v>
      </c>
      <c r="K83" s="2">
        <v>3.02</v>
      </c>
      <c r="L83" s="3">
        <v>65374.7</v>
      </c>
      <c r="M83">
        <v>46325</v>
      </c>
      <c r="N83" s="1" t="s">
        <v>45</v>
      </c>
      <c r="O83" s="1" t="s">
        <v>59</v>
      </c>
      <c r="P83" s="1" t="s">
        <v>36</v>
      </c>
    </row>
    <row r="84" spans="1:16" x14ac:dyDescent="0.25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>
        <v>40</v>
      </c>
      <c r="J84" s="3">
        <v>26839.200000000001</v>
      </c>
      <c r="K84" s="2">
        <v>0.75</v>
      </c>
      <c r="L84" s="3">
        <v>1065516.24</v>
      </c>
      <c r="M84">
        <v>46163</v>
      </c>
      <c r="N84" s="1" t="s">
        <v>68</v>
      </c>
      <c r="O84" s="1" t="s">
        <v>35</v>
      </c>
      <c r="P84" s="1" t="s">
        <v>26</v>
      </c>
    </row>
    <row r="85" spans="1:16" x14ac:dyDescent="0.25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>
        <v>46</v>
      </c>
      <c r="J85" s="3">
        <v>36507.29</v>
      </c>
      <c r="K85" s="2">
        <v>2.66</v>
      </c>
      <c r="L85" s="3">
        <v>1634665.02</v>
      </c>
      <c r="M85">
        <v>46383</v>
      </c>
      <c r="N85" s="1" t="s">
        <v>68</v>
      </c>
      <c r="O85" s="1" t="s">
        <v>35</v>
      </c>
      <c r="P85" s="1" t="s">
        <v>26</v>
      </c>
    </row>
    <row r="86" spans="1:16" x14ac:dyDescent="0.25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>
        <v>9</v>
      </c>
      <c r="J86" s="3">
        <v>24087.439999999999</v>
      </c>
      <c r="K86" s="2">
        <v>2.52</v>
      </c>
      <c r="L86" s="3">
        <v>211323.93</v>
      </c>
      <c r="M86">
        <v>46232</v>
      </c>
      <c r="N86" s="1" t="s">
        <v>24</v>
      </c>
      <c r="O86" s="1" t="s">
        <v>35</v>
      </c>
      <c r="P86" s="1" t="s">
        <v>26</v>
      </c>
    </row>
    <row r="87" spans="1:16" x14ac:dyDescent="0.25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>
        <v>18</v>
      </c>
      <c r="J87" s="3">
        <v>33977.120000000003</v>
      </c>
      <c r="K87" s="2">
        <v>10.66</v>
      </c>
      <c r="L87" s="3">
        <v>546392.86</v>
      </c>
      <c r="M87">
        <v>46235</v>
      </c>
      <c r="N87" s="1" t="s">
        <v>24</v>
      </c>
      <c r="O87" s="1" t="s">
        <v>35</v>
      </c>
      <c r="P87" s="1" t="s">
        <v>36</v>
      </c>
    </row>
    <row r="88" spans="1:16" x14ac:dyDescent="0.25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>
        <v>17</v>
      </c>
      <c r="J88" s="3">
        <v>16957.32</v>
      </c>
      <c r="K88" s="2">
        <v>9.85</v>
      </c>
      <c r="L88" s="3">
        <v>259879.41</v>
      </c>
      <c r="M88">
        <v>46263</v>
      </c>
      <c r="N88" s="1" t="s">
        <v>58</v>
      </c>
      <c r="O88" s="1" t="s">
        <v>35</v>
      </c>
      <c r="P88" s="1" t="s">
        <v>53</v>
      </c>
    </row>
    <row r="89" spans="1:16" x14ac:dyDescent="0.25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>
        <v>23</v>
      </c>
      <c r="J89" s="3">
        <v>29748.34</v>
      </c>
      <c r="K89" s="2">
        <v>16.61</v>
      </c>
      <c r="L89" s="3">
        <v>570564.24</v>
      </c>
      <c r="M89">
        <v>46181</v>
      </c>
      <c r="N89" s="1" t="s">
        <v>113</v>
      </c>
      <c r="O89" s="1" t="s">
        <v>25</v>
      </c>
      <c r="P89" s="1" t="s">
        <v>36</v>
      </c>
    </row>
    <row r="90" spans="1:16" x14ac:dyDescent="0.25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>
        <v>19</v>
      </c>
      <c r="J90" s="3">
        <v>24975.51</v>
      </c>
      <c r="K90" s="2">
        <v>12.2</v>
      </c>
      <c r="L90" s="3">
        <v>416641.46</v>
      </c>
      <c r="M90">
        <v>46345</v>
      </c>
      <c r="N90" s="1" t="s">
        <v>113</v>
      </c>
      <c r="O90" s="1" t="s">
        <v>35</v>
      </c>
      <c r="P90" s="1" t="s">
        <v>53</v>
      </c>
    </row>
    <row r="91" spans="1:16" x14ac:dyDescent="0.25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>
        <v>34</v>
      </c>
      <c r="J91" s="3">
        <v>49014.67</v>
      </c>
      <c r="K91" s="2">
        <v>13.21</v>
      </c>
      <c r="L91" s="3">
        <v>1446354.29</v>
      </c>
      <c r="M91">
        <v>46267</v>
      </c>
      <c r="N91" s="1" t="s">
        <v>45</v>
      </c>
      <c r="O91" s="1" t="s">
        <v>35</v>
      </c>
      <c r="P91" s="1" t="s">
        <v>26</v>
      </c>
    </row>
    <row r="92" spans="1:16" x14ac:dyDescent="0.25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>
        <v>39</v>
      </c>
      <c r="J92" s="3">
        <v>19611.849999999999</v>
      </c>
      <c r="K92" s="2">
        <v>11.59</v>
      </c>
      <c r="L92" s="3">
        <v>676214.63</v>
      </c>
      <c r="M92">
        <v>46281</v>
      </c>
      <c r="N92" s="1" t="s">
        <v>68</v>
      </c>
      <c r="O92" s="1" t="s">
        <v>35</v>
      </c>
      <c r="P92" s="1" t="s">
        <v>36</v>
      </c>
    </row>
    <row r="93" spans="1:16" x14ac:dyDescent="0.25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>
        <v>3</v>
      </c>
      <c r="J93" s="3">
        <v>47771.87</v>
      </c>
      <c r="K93" s="2">
        <v>10.67</v>
      </c>
      <c r="L93" s="3">
        <v>128023.83</v>
      </c>
      <c r="M93">
        <v>46219</v>
      </c>
      <c r="N93" s="1" t="s">
        <v>24</v>
      </c>
      <c r="O93" s="1" t="s">
        <v>35</v>
      </c>
      <c r="P93" s="1" t="s">
        <v>53</v>
      </c>
    </row>
    <row r="94" spans="1:16" x14ac:dyDescent="0.25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>
        <v>28</v>
      </c>
      <c r="J94" s="3">
        <v>47641.22</v>
      </c>
      <c r="K94" s="2">
        <v>8.73</v>
      </c>
      <c r="L94" s="3">
        <v>1217499.96</v>
      </c>
      <c r="M94">
        <v>46104</v>
      </c>
      <c r="N94" s="1" t="s">
        <v>58</v>
      </c>
      <c r="O94" s="1" t="s">
        <v>35</v>
      </c>
      <c r="P94" s="1" t="s">
        <v>53</v>
      </c>
    </row>
    <row r="95" spans="1:16" x14ac:dyDescent="0.25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>
        <v>18</v>
      </c>
      <c r="J95" s="3">
        <v>4248.4799999999996</v>
      </c>
      <c r="K95" s="2">
        <v>10.77</v>
      </c>
      <c r="L95" s="3">
        <v>68236.539999999994</v>
      </c>
      <c r="M95">
        <v>46080</v>
      </c>
      <c r="N95" s="1" t="s">
        <v>24</v>
      </c>
      <c r="O95" s="1" t="s">
        <v>35</v>
      </c>
      <c r="P95" s="1" t="s">
        <v>26</v>
      </c>
    </row>
    <row r="96" spans="1:16" x14ac:dyDescent="0.25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>
        <v>6</v>
      </c>
      <c r="J96" s="3">
        <v>44059.21</v>
      </c>
      <c r="K96" s="2">
        <v>6.63</v>
      </c>
      <c r="L96" s="3">
        <v>246828.51</v>
      </c>
      <c r="M96">
        <v>46379</v>
      </c>
      <c r="N96" s="1" t="s">
        <v>68</v>
      </c>
      <c r="O96" s="1" t="s">
        <v>25</v>
      </c>
      <c r="P96" s="1" t="s">
        <v>36</v>
      </c>
    </row>
    <row r="97" spans="1:16" x14ac:dyDescent="0.25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>
        <v>34</v>
      </c>
      <c r="J97" s="3">
        <v>27398.400000000001</v>
      </c>
      <c r="K97" s="2">
        <v>14.16</v>
      </c>
      <c r="L97" s="3">
        <v>799638.74</v>
      </c>
      <c r="M97">
        <v>46384</v>
      </c>
      <c r="N97" s="1" t="s">
        <v>68</v>
      </c>
      <c r="O97" s="1" t="s">
        <v>59</v>
      </c>
      <c r="P97" s="1" t="s">
        <v>26</v>
      </c>
    </row>
    <row r="98" spans="1:16" x14ac:dyDescent="0.25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>
        <v>47</v>
      </c>
      <c r="J98" s="3">
        <v>19832.740000000002</v>
      </c>
      <c r="K98" s="2">
        <v>15.09</v>
      </c>
      <c r="L98" s="3">
        <v>791479.04</v>
      </c>
      <c r="M98">
        <v>46186</v>
      </c>
      <c r="N98" s="1" t="s">
        <v>45</v>
      </c>
      <c r="O98" s="1" t="s">
        <v>35</v>
      </c>
      <c r="P98" s="1" t="s">
        <v>26</v>
      </c>
    </row>
    <row r="99" spans="1:16" x14ac:dyDescent="0.25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>
        <v>36</v>
      </c>
      <c r="J99" s="3">
        <v>33236.47</v>
      </c>
      <c r="K99" s="2">
        <v>11.04</v>
      </c>
      <c r="L99" s="3">
        <v>1064417.8899999999</v>
      </c>
      <c r="M99">
        <v>46311</v>
      </c>
      <c r="N99" s="1" t="s">
        <v>68</v>
      </c>
      <c r="O99" s="1" t="s">
        <v>35</v>
      </c>
      <c r="P99" s="1" t="s">
        <v>53</v>
      </c>
    </row>
    <row r="100" spans="1:16" x14ac:dyDescent="0.25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>
        <v>3</v>
      </c>
      <c r="J100" s="3">
        <v>28517.52</v>
      </c>
      <c r="K100" s="2">
        <v>19.64</v>
      </c>
      <c r="L100" s="3">
        <v>68750.039999999994</v>
      </c>
      <c r="M100">
        <v>46082</v>
      </c>
      <c r="N100" s="1" t="s">
        <v>45</v>
      </c>
      <c r="O100" s="1" t="s">
        <v>35</v>
      </c>
      <c r="P100" s="1" t="s">
        <v>53</v>
      </c>
    </row>
    <row r="101" spans="1:16" x14ac:dyDescent="0.25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>
        <v>4</v>
      </c>
      <c r="J101" s="3">
        <v>9235.6299999999992</v>
      </c>
      <c r="K101" s="2">
        <v>17.2</v>
      </c>
      <c r="L101" s="3">
        <v>30588.41</v>
      </c>
      <c r="M101">
        <v>46049</v>
      </c>
      <c r="N101" s="1" t="s">
        <v>58</v>
      </c>
      <c r="O101" s="1" t="s">
        <v>35</v>
      </c>
      <c r="P101" s="1" t="s">
        <v>36</v>
      </c>
    </row>
    <row r="102" spans="1:16" x14ac:dyDescent="0.25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>
        <v>16</v>
      </c>
      <c r="J102" s="3">
        <v>28581.58</v>
      </c>
      <c r="K102" s="2">
        <v>4.58</v>
      </c>
      <c r="L102" s="3">
        <v>436360.7</v>
      </c>
      <c r="M102">
        <v>46353</v>
      </c>
      <c r="N102" s="1" t="s">
        <v>24</v>
      </c>
      <c r="O102" s="1" t="s">
        <v>35</v>
      </c>
      <c r="P102" s="1" t="s">
        <v>36</v>
      </c>
    </row>
    <row r="103" spans="1:16" x14ac:dyDescent="0.25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>
        <v>35</v>
      </c>
      <c r="J103" s="3">
        <v>9021.84</v>
      </c>
      <c r="K103" s="2">
        <v>18.79</v>
      </c>
      <c r="L103" s="3">
        <v>256432.27</v>
      </c>
      <c r="M103">
        <v>46155</v>
      </c>
      <c r="N103" s="1" t="s">
        <v>24</v>
      </c>
      <c r="O103" s="1" t="s">
        <v>35</v>
      </c>
      <c r="P103" s="1" t="s">
        <v>53</v>
      </c>
    </row>
    <row r="104" spans="1:16" x14ac:dyDescent="0.25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>
        <v>3</v>
      </c>
      <c r="J104" s="3">
        <v>30331.67</v>
      </c>
      <c r="K104" s="2">
        <v>5.48</v>
      </c>
      <c r="L104" s="3">
        <v>86008.48</v>
      </c>
      <c r="M104">
        <v>46174</v>
      </c>
      <c r="N104" s="1" t="s">
        <v>58</v>
      </c>
      <c r="O104" s="1" t="s">
        <v>25</v>
      </c>
      <c r="P104" s="1" t="s">
        <v>36</v>
      </c>
    </row>
    <row r="105" spans="1:16" x14ac:dyDescent="0.25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>
        <v>22</v>
      </c>
      <c r="J105" s="3">
        <v>48211.43</v>
      </c>
      <c r="K105" s="2">
        <v>17.79</v>
      </c>
      <c r="L105" s="3">
        <v>871961.57</v>
      </c>
      <c r="M105">
        <v>46266</v>
      </c>
      <c r="N105" s="1" t="s">
        <v>58</v>
      </c>
      <c r="O105" s="1" t="s">
        <v>35</v>
      </c>
      <c r="P105" s="1" t="s">
        <v>53</v>
      </c>
    </row>
    <row r="106" spans="1:16" x14ac:dyDescent="0.25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>
        <v>38</v>
      </c>
      <c r="J106" s="3">
        <v>48593.93</v>
      </c>
      <c r="K106" s="2">
        <v>13.83</v>
      </c>
      <c r="L106" s="3">
        <v>1591188.8</v>
      </c>
      <c r="M106">
        <v>46174</v>
      </c>
      <c r="N106" s="1" t="s">
        <v>45</v>
      </c>
      <c r="O106" s="1" t="s">
        <v>35</v>
      </c>
      <c r="P106" s="1" t="s">
        <v>36</v>
      </c>
    </row>
    <row r="107" spans="1:16" x14ac:dyDescent="0.25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>
        <v>3</v>
      </c>
      <c r="J107" s="3">
        <v>28264.99</v>
      </c>
      <c r="K107" s="2">
        <v>1.74</v>
      </c>
      <c r="L107" s="3">
        <v>83319.539999999994</v>
      </c>
      <c r="M107">
        <v>46036</v>
      </c>
      <c r="N107" s="1" t="s">
        <v>68</v>
      </c>
      <c r="O107" s="1" t="s">
        <v>35</v>
      </c>
      <c r="P107" s="1" t="s">
        <v>26</v>
      </c>
    </row>
    <row r="108" spans="1:16" x14ac:dyDescent="0.25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>
        <v>12</v>
      </c>
      <c r="J108" s="3">
        <v>46854.97</v>
      </c>
      <c r="K108" s="2">
        <v>16.91</v>
      </c>
      <c r="L108" s="3">
        <v>467181.53</v>
      </c>
      <c r="M108">
        <v>46231</v>
      </c>
      <c r="N108" s="1" t="s">
        <v>58</v>
      </c>
      <c r="O108" s="1" t="s">
        <v>35</v>
      </c>
      <c r="P108" s="1" t="s">
        <v>53</v>
      </c>
    </row>
    <row r="109" spans="1:16" x14ac:dyDescent="0.25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>
        <v>14</v>
      </c>
      <c r="J109" s="3">
        <v>9638.89</v>
      </c>
      <c r="K109" s="2">
        <v>8.93</v>
      </c>
      <c r="L109" s="3">
        <v>122893.92</v>
      </c>
      <c r="M109">
        <v>46265</v>
      </c>
      <c r="N109" s="1" t="s">
        <v>24</v>
      </c>
      <c r="O109" s="1" t="s">
        <v>35</v>
      </c>
      <c r="P109" s="1" t="s">
        <v>26</v>
      </c>
    </row>
    <row r="110" spans="1:16" x14ac:dyDescent="0.25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>
        <v>31</v>
      </c>
      <c r="J110" s="3">
        <v>9270.7000000000007</v>
      </c>
      <c r="K110" s="2">
        <v>6.13</v>
      </c>
      <c r="L110" s="3">
        <v>269774.59000000003</v>
      </c>
      <c r="M110">
        <v>46066</v>
      </c>
      <c r="N110" s="1" t="s">
        <v>113</v>
      </c>
      <c r="O110" s="1" t="s">
        <v>25</v>
      </c>
      <c r="P110" s="1" t="s">
        <v>53</v>
      </c>
    </row>
    <row r="111" spans="1:16" x14ac:dyDescent="0.25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>
        <v>40</v>
      </c>
      <c r="J111" s="3">
        <v>21677.49</v>
      </c>
      <c r="K111" s="2">
        <v>7.07</v>
      </c>
      <c r="L111" s="3">
        <v>805795.66</v>
      </c>
      <c r="M111">
        <v>46182</v>
      </c>
      <c r="N111" s="1" t="s">
        <v>68</v>
      </c>
      <c r="O111" s="1" t="s">
        <v>35</v>
      </c>
      <c r="P111" s="1" t="s">
        <v>36</v>
      </c>
    </row>
    <row r="112" spans="1:16" x14ac:dyDescent="0.25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>
        <v>36</v>
      </c>
      <c r="J112" s="3">
        <v>31665.58</v>
      </c>
      <c r="K112" s="2">
        <v>9.3699999999999992</v>
      </c>
      <c r="L112" s="3">
        <v>1033146.55</v>
      </c>
      <c r="M112">
        <v>46315</v>
      </c>
      <c r="N112" s="1" t="s">
        <v>68</v>
      </c>
      <c r="O112" s="1" t="s">
        <v>35</v>
      </c>
      <c r="P112" s="1" t="s">
        <v>53</v>
      </c>
    </row>
    <row r="113" spans="1:16" x14ac:dyDescent="0.25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>
        <v>24</v>
      </c>
      <c r="J113" s="3">
        <v>42399.23</v>
      </c>
      <c r="K113" s="2">
        <v>6.08</v>
      </c>
      <c r="L113" s="3">
        <v>955712.56</v>
      </c>
      <c r="M113">
        <v>46072</v>
      </c>
      <c r="N113" s="1" t="s">
        <v>24</v>
      </c>
      <c r="O113" s="1" t="s">
        <v>35</v>
      </c>
      <c r="P113" s="1" t="s">
        <v>26</v>
      </c>
    </row>
    <row r="114" spans="1:16" x14ac:dyDescent="0.25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>
        <v>23</v>
      </c>
      <c r="J114" s="3">
        <v>40033.480000000003</v>
      </c>
      <c r="K114" s="2">
        <v>1.05</v>
      </c>
      <c r="L114" s="3">
        <v>911101.95</v>
      </c>
      <c r="M114">
        <v>46353</v>
      </c>
      <c r="N114" s="1" t="s">
        <v>58</v>
      </c>
      <c r="O114" s="1" t="s">
        <v>59</v>
      </c>
      <c r="P114" s="1" t="s">
        <v>36</v>
      </c>
    </row>
    <row r="115" spans="1:16" x14ac:dyDescent="0.25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>
        <v>17</v>
      </c>
      <c r="J115" s="3">
        <v>46332.6</v>
      </c>
      <c r="K115" s="2">
        <v>5.25</v>
      </c>
      <c r="L115" s="3">
        <v>746302.35</v>
      </c>
      <c r="M115">
        <v>46133</v>
      </c>
      <c r="N115" s="1" t="s">
        <v>45</v>
      </c>
      <c r="O115" s="1" t="s">
        <v>35</v>
      </c>
      <c r="P115" s="1" t="s">
        <v>26</v>
      </c>
    </row>
    <row r="116" spans="1:16" x14ac:dyDescent="0.25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>
        <v>23</v>
      </c>
      <c r="J116" s="3">
        <v>11985.55</v>
      </c>
      <c r="K116" s="2">
        <v>6.75</v>
      </c>
      <c r="L116" s="3">
        <v>257060.08</v>
      </c>
      <c r="M116">
        <v>46236</v>
      </c>
      <c r="N116" s="1" t="s">
        <v>113</v>
      </c>
      <c r="O116" s="1" t="s">
        <v>35</v>
      </c>
      <c r="P116" s="1" t="s">
        <v>53</v>
      </c>
    </row>
    <row r="117" spans="1:16" x14ac:dyDescent="0.25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>
        <v>1</v>
      </c>
      <c r="J117" s="3">
        <v>28870.35</v>
      </c>
      <c r="K117" s="2">
        <v>16.53</v>
      </c>
      <c r="L117" s="3">
        <v>24098.080000000002</v>
      </c>
      <c r="M117">
        <v>46209</v>
      </c>
      <c r="N117" s="1" t="s">
        <v>58</v>
      </c>
      <c r="O117" s="1" t="s">
        <v>35</v>
      </c>
      <c r="P117" s="1" t="s">
        <v>26</v>
      </c>
    </row>
    <row r="118" spans="1:16" x14ac:dyDescent="0.25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>
        <v>27</v>
      </c>
      <c r="J118" s="3">
        <v>3537.29</v>
      </c>
      <c r="K118" s="2">
        <v>2.38</v>
      </c>
      <c r="L118" s="3">
        <v>93233.77</v>
      </c>
      <c r="M118">
        <v>46300</v>
      </c>
      <c r="N118" s="1" t="s">
        <v>68</v>
      </c>
      <c r="O118" s="1" t="s">
        <v>25</v>
      </c>
      <c r="P118" s="1" t="s">
        <v>36</v>
      </c>
    </row>
    <row r="119" spans="1:16" x14ac:dyDescent="0.25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>
        <v>8</v>
      </c>
      <c r="J119" s="3">
        <v>48592.1</v>
      </c>
      <c r="K119" s="2">
        <v>16.149999999999999</v>
      </c>
      <c r="L119" s="3">
        <v>325955.81</v>
      </c>
      <c r="M119">
        <v>46029</v>
      </c>
      <c r="N119" s="1" t="s">
        <v>24</v>
      </c>
      <c r="O119" s="1" t="s">
        <v>35</v>
      </c>
      <c r="P119" s="1" t="s">
        <v>36</v>
      </c>
    </row>
    <row r="120" spans="1:16" x14ac:dyDescent="0.25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>
        <v>7</v>
      </c>
      <c r="J120" s="3">
        <v>18215.05</v>
      </c>
      <c r="K120" s="2">
        <v>14.13</v>
      </c>
      <c r="L120" s="3">
        <v>109488.84</v>
      </c>
      <c r="M120">
        <v>46296</v>
      </c>
      <c r="N120" s="1" t="s">
        <v>24</v>
      </c>
      <c r="O120" s="1" t="s">
        <v>35</v>
      </c>
      <c r="P120" s="1" t="s">
        <v>26</v>
      </c>
    </row>
    <row r="121" spans="1:16" x14ac:dyDescent="0.25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>
        <v>44</v>
      </c>
      <c r="J121" s="3">
        <v>45796.99</v>
      </c>
      <c r="K121" s="2">
        <v>3.74</v>
      </c>
      <c r="L121" s="3">
        <v>1939704.03</v>
      </c>
      <c r="M121">
        <v>46372</v>
      </c>
      <c r="N121" s="1" t="s">
        <v>45</v>
      </c>
      <c r="O121" s="1" t="s">
        <v>35</v>
      </c>
      <c r="P121" s="1" t="s">
        <v>53</v>
      </c>
    </row>
    <row r="122" spans="1:16" x14ac:dyDescent="0.25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>
        <v>44</v>
      </c>
      <c r="J122" s="3">
        <v>19293.11</v>
      </c>
      <c r="K122" s="2">
        <v>5.7</v>
      </c>
      <c r="L122" s="3">
        <v>800509.72</v>
      </c>
      <c r="M122">
        <v>46178</v>
      </c>
      <c r="N122" s="1" t="s">
        <v>24</v>
      </c>
      <c r="O122" s="1" t="s">
        <v>35</v>
      </c>
      <c r="P122" s="1" t="s">
        <v>26</v>
      </c>
    </row>
    <row r="123" spans="1:16" x14ac:dyDescent="0.25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>
        <v>27</v>
      </c>
      <c r="J123" s="3">
        <v>38800.42</v>
      </c>
      <c r="K123" s="2">
        <v>14.35</v>
      </c>
      <c r="L123" s="3">
        <v>897279.11</v>
      </c>
      <c r="M123">
        <v>46189</v>
      </c>
      <c r="N123" s="1" t="s">
        <v>24</v>
      </c>
      <c r="O123" s="1" t="s">
        <v>35</v>
      </c>
      <c r="P123" s="1" t="s">
        <v>26</v>
      </c>
    </row>
    <row r="124" spans="1:16" x14ac:dyDescent="0.25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>
        <v>16</v>
      </c>
      <c r="J124" s="3">
        <v>12293.97</v>
      </c>
      <c r="K124" s="2">
        <v>9.7100000000000009</v>
      </c>
      <c r="L124" s="3">
        <v>177603.61</v>
      </c>
      <c r="M124">
        <v>46350</v>
      </c>
      <c r="N124" s="1" t="s">
        <v>113</v>
      </c>
      <c r="O124" s="1" t="s">
        <v>35</v>
      </c>
      <c r="P124" s="1" t="s">
        <v>36</v>
      </c>
    </row>
    <row r="125" spans="1:16" x14ac:dyDescent="0.25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>
        <v>6</v>
      </c>
      <c r="J125" s="3">
        <v>15721.08</v>
      </c>
      <c r="K125" s="2">
        <v>6.89</v>
      </c>
      <c r="L125" s="3">
        <v>87827.39</v>
      </c>
      <c r="M125">
        <v>46216</v>
      </c>
      <c r="N125" s="1" t="s">
        <v>24</v>
      </c>
      <c r="O125" s="1" t="s">
        <v>35</v>
      </c>
      <c r="P125" s="1" t="s">
        <v>53</v>
      </c>
    </row>
    <row r="126" spans="1:16" x14ac:dyDescent="0.25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>
        <v>18</v>
      </c>
      <c r="J126" s="3">
        <v>36528.42</v>
      </c>
      <c r="K126" s="2">
        <v>1.06</v>
      </c>
      <c r="L126" s="3">
        <v>650541.93999999994</v>
      </c>
      <c r="M126">
        <v>46073</v>
      </c>
      <c r="N126" s="1" t="s">
        <v>68</v>
      </c>
      <c r="O126" s="1" t="s">
        <v>59</v>
      </c>
      <c r="P126" s="1" t="s">
        <v>36</v>
      </c>
    </row>
    <row r="127" spans="1:16" x14ac:dyDescent="0.25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>
        <v>15</v>
      </c>
      <c r="J127" s="3">
        <v>20640.75</v>
      </c>
      <c r="K127" s="2">
        <v>19.97</v>
      </c>
      <c r="L127" s="3">
        <v>247781.88</v>
      </c>
      <c r="M127">
        <v>46375</v>
      </c>
      <c r="N127" s="1" t="s">
        <v>113</v>
      </c>
      <c r="O127" s="1" t="s">
        <v>35</v>
      </c>
      <c r="P127" s="1" t="s">
        <v>53</v>
      </c>
    </row>
    <row r="128" spans="1:16" x14ac:dyDescent="0.25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>
        <v>18</v>
      </c>
      <c r="J128" s="3">
        <v>10736.67</v>
      </c>
      <c r="K128" s="2">
        <v>6.78</v>
      </c>
      <c r="L128" s="3">
        <v>180157.03</v>
      </c>
      <c r="M128">
        <v>46330</v>
      </c>
      <c r="N128" s="1" t="s">
        <v>113</v>
      </c>
      <c r="O128" s="1" t="s">
        <v>35</v>
      </c>
      <c r="P128" s="1" t="s">
        <v>53</v>
      </c>
    </row>
    <row r="129" spans="1:16" x14ac:dyDescent="0.25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>
        <v>16</v>
      </c>
      <c r="J129" s="3">
        <v>33032.69</v>
      </c>
      <c r="K129" s="2">
        <v>8.98</v>
      </c>
      <c r="L129" s="3">
        <v>481061.67</v>
      </c>
      <c r="M129">
        <v>46106</v>
      </c>
      <c r="N129" s="1" t="s">
        <v>24</v>
      </c>
      <c r="O129" s="1" t="s">
        <v>35</v>
      </c>
      <c r="P129" s="1" t="s">
        <v>36</v>
      </c>
    </row>
    <row r="130" spans="1:16" x14ac:dyDescent="0.25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>
        <v>16</v>
      </c>
      <c r="J130" s="3">
        <v>15802.32</v>
      </c>
      <c r="K130" s="2">
        <v>7.11</v>
      </c>
      <c r="L130" s="3">
        <v>234860.4</v>
      </c>
      <c r="M130">
        <v>46367</v>
      </c>
      <c r="N130" s="1" t="s">
        <v>113</v>
      </c>
      <c r="O130" s="1" t="s">
        <v>35</v>
      </c>
      <c r="P130" s="1" t="s">
        <v>53</v>
      </c>
    </row>
    <row r="131" spans="1:16" x14ac:dyDescent="0.25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>
        <v>19</v>
      </c>
      <c r="J131" s="3">
        <v>38935.81</v>
      </c>
      <c r="K131" s="2">
        <v>5.31</v>
      </c>
      <c r="L131" s="3">
        <v>700498.05</v>
      </c>
      <c r="M131">
        <v>46141</v>
      </c>
      <c r="N131" s="1" t="s">
        <v>24</v>
      </c>
      <c r="O131" s="1" t="s">
        <v>35</v>
      </c>
      <c r="P131" s="1" t="s">
        <v>36</v>
      </c>
    </row>
    <row r="132" spans="1:16" x14ac:dyDescent="0.25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>
        <v>44</v>
      </c>
      <c r="J132" s="3">
        <v>45740.58</v>
      </c>
      <c r="K132" s="2">
        <v>13.01</v>
      </c>
      <c r="L132" s="3">
        <v>1750748.14</v>
      </c>
      <c r="M132">
        <v>46194</v>
      </c>
      <c r="N132" s="1" t="s">
        <v>45</v>
      </c>
      <c r="O132" s="1" t="s">
        <v>25</v>
      </c>
      <c r="P132" s="1" t="s">
        <v>53</v>
      </c>
    </row>
    <row r="133" spans="1:16" x14ac:dyDescent="0.25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>
        <v>7</v>
      </c>
      <c r="J133" s="3">
        <v>10596.77</v>
      </c>
      <c r="K133" s="2">
        <v>11.12</v>
      </c>
      <c r="L133" s="3">
        <v>65928.86</v>
      </c>
      <c r="M133">
        <v>46199</v>
      </c>
      <c r="N133" s="1" t="s">
        <v>113</v>
      </c>
      <c r="O133" s="1" t="s">
        <v>35</v>
      </c>
      <c r="P133" s="1" t="s">
        <v>26</v>
      </c>
    </row>
    <row r="134" spans="1:16" x14ac:dyDescent="0.25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>
        <v>49</v>
      </c>
      <c r="J134" s="3">
        <v>17519.599999999999</v>
      </c>
      <c r="K134" s="2">
        <v>12.94</v>
      </c>
      <c r="L134" s="3">
        <v>747375.62</v>
      </c>
      <c r="M134">
        <v>46146</v>
      </c>
      <c r="N134" s="1" t="s">
        <v>24</v>
      </c>
      <c r="O134" s="1" t="s">
        <v>35</v>
      </c>
      <c r="P134" s="1" t="s">
        <v>53</v>
      </c>
    </row>
    <row r="135" spans="1:16" x14ac:dyDescent="0.25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>
        <v>30</v>
      </c>
      <c r="J135" s="3">
        <v>25280.85</v>
      </c>
      <c r="K135" s="2">
        <v>12.58</v>
      </c>
      <c r="L135" s="3">
        <v>663015.56999999995</v>
      </c>
      <c r="M135">
        <v>46052</v>
      </c>
      <c r="N135" s="1" t="s">
        <v>68</v>
      </c>
      <c r="O135" s="1" t="s">
        <v>35</v>
      </c>
      <c r="P135" s="1" t="s">
        <v>26</v>
      </c>
    </row>
    <row r="136" spans="1:16" x14ac:dyDescent="0.25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>
        <v>48</v>
      </c>
      <c r="J136" s="3">
        <v>27932.95</v>
      </c>
      <c r="K136" s="2">
        <v>16.14</v>
      </c>
      <c r="L136" s="3">
        <v>1124379.45</v>
      </c>
      <c r="M136">
        <v>46130</v>
      </c>
      <c r="N136" s="1" t="s">
        <v>24</v>
      </c>
      <c r="O136" s="1" t="s">
        <v>59</v>
      </c>
      <c r="P136" s="1" t="s">
        <v>36</v>
      </c>
    </row>
    <row r="137" spans="1:16" x14ac:dyDescent="0.25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>
        <v>49</v>
      </c>
      <c r="J137" s="3">
        <v>34321.01</v>
      </c>
      <c r="K137" s="2">
        <v>8.56</v>
      </c>
      <c r="L137" s="3">
        <v>1537773.45</v>
      </c>
      <c r="M137">
        <v>46154</v>
      </c>
      <c r="N137" s="1" t="s">
        <v>113</v>
      </c>
      <c r="O137" s="1" t="s">
        <v>35</v>
      </c>
      <c r="P137" s="1" t="s">
        <v>26</v>
      </c>
    </row>
    <row r="138" spans="1:16" x14ac:dyDescent="0.25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>
        <v>34</v>
      </c>
      <c r="J138" s="3">
        <v>2140.2800000000002</v>
      </c>
      <c r="K138" s="2">
        <v>19.68</v>
      </c>
      <c r="L138" s="3">
        <v>58448.480000000003</v>
      </c>
      <c r="M138">
        <v>46073</v>
      </c>
      <c r="N138" s="1" t="s">
        <v>45</v>
      </c>
      <c r="O138" s="1" t="s">
        <v>35</v>
      </c>
      <c r="P138" s="1" t="s">
        <v>26</v>
      </c>
    </row>
    <row r="139" spans="1:16" x14ac:dyDescent="0.25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>
        <v>37</v>
      </c>
      <c r="J139" s="3">
        <v>33592.39</v>
      </c>
      <c r="K139" s="2">
        <v>1.32</v>
      </c>
      <c r="L139" s="3">
        <v>1226511.9099999999</v>
      </c>
      <c r="M139">
        <v>46093</v>
      </c>
      <c r="N139" s="1" t="s">
        <v>113</v>
      </c>
      <c r="O139" s="1" t="s">
        <v>35</v>
      </c>
      <c r="P139" s="1" t="s">
        <v>36</v>
      </c>
    </row>
    <row r="140" spans="1:16" x14ac:dyDescent="0.25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>
        <v>22</v>
      </c>
      <c r="J140" s="3">
        <v>15039.39</v>
      </c>
      <c r="K140" s="2">
        <v>17.25</v>
      </c>
      <c r="L140" s="3">
        <v>273792.09000000003</v>
      </c>
      <c r="M140">
        <v>46142</v>
      </c>
      <c r="N140" s="1" t="s">
        <v>24</v>
      </c>
      <c r="O140" s="1" t="s">
        <v>35</v>
      </c>
      <c r="P140" s="1" t="s">
        <v>36</v>
      </c>
    </row>
    <row r="141" spans="1:16" x14ac:dyDescent="0.25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>
        <v>11</v>
      </c>
      <c r="J141" s="3">
        <v>26619.37</v>
      </c>
      <c r="K141" s="2">
        <v>3.1</v>
      </c>
      <c r="L141" s="3">
        <v>283735.86</v>
      </c>
      <c r="M141">
        <v>46217</v>
      </c>
      <c r="N141" s="1" t="s">
        <v>58</v>
      </c>
      <c r="O141" s="1" t="s">
        <v>35</v>
      </c>
      <c r="P141" s="1" t="s">
        <v>53</v>
      </c>
    </row>
    <row r="142" spans="1:16" x14ac:dyDescent="0.25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>
        <v>17</v>
      </c>
      <c r="J142" s="3">
        <v>2486.5</v>
      </c>
      <c r="K142" s="2">
        <v>4.5999999999999996</v>
      </c>
      <c r="L142" s="3">
        <v>40326.06</v>
      </c>
      <c r="M142">
        <v>46058</v>
      </c>
      <c r="N142" s="1" t="s">
        <v>24</v>
      </c>
      <c r="O142" s="1" t="s">
        <v>35</v>
      </c>
      <c r="P142" s="1" t="s">
        <v>26</v>
      </c>
    </row>
    <row r="143" spans="1:16" x14ac:dyDescent="0.25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>
        <v>44</v>
      </c>
      <c r="J143" s="3">
        <v>9290.35</v>
      </c>
      <c r="K143" s="2">
        <v>9.68</v>
      </c>
      <c r="L143" s="3">
        <v>369205.94</v>
      </c>
      <c r="M143">
        <v>46340</v>
      </c>
      <c r="N143" s="1" t="s">
        <v>68</v>
      </c>
      <c r="O143" s="1" t="s">
        <v>35</v>
      </c>
      <c r="P143" s="1" t="s">
        <v>36</v>
      </c>
    </row>
    <row r="144" spans="1:16" x14ac:dyDescent="0.25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>
        <v>49</v>
      </c>
      <c r="J144" s="3">
        <v>33550.58</v>
      </c>
      <c r="K144" s="2">
        <v>19.09</v>
      </c>
      <c r="L144" s="3">
        <v>1330142.94</v>
      </c>
      <c r="M144">
        <v>46064</v>
      </c>
      <c r="N144" s="1" t="s">
        <v>24</v>
      </c>
      <c r="O144" s="1" t="s">
        <v>35</v>
      </c>
      <c r="P144" s="1" t="s">
        <v>53</v>
      </c>
    </row>
    <row r="145" spans="1:16" x14ac:dyDescent="0.25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>
        <v>10</v>
      </c>
      <c r="J145" s="3">
        <v>32462.99</v>
      </c>
      <c r="K145" s="2">
        <v>6.6</v>
      </c>
      <c r="L145" s="3">
        <v>303204.33</v>
      </c>
      <c r="M145">
        <v>46093</v>
      </c>
      <c r="N145" s="1" t="s">
        <v>58</v>
      </c>
      <c r="O145" s="1" t="s">
        <v>35</v>
      </c>
      <c r="P145" s="1" t="s">
        <v>53</v>
      </c>
    </row>
    <row r="146" spans="1:16" x14ac:dyDescent="0.25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>
        <v>43</v>
      </c>
      <c r="J146" s="3">
        <v>37568.15</v>
      </c>
      <c r="K146" s="2">
        <v>7.79</v>
      </c>
      <c r="L146" s="3">
        <v>1489588.42</v>
      </c>
      <c r="M146">
        <v>46366</v>
      </c>
      <c r="N146" s="1" t="s">
        <v>58</v>
      </c>
      <c r="O146" s="1" t="s">
        <v>35</v>
      </c>
      <c r="P146" s="1" t="s">
        <v>36</v>
      </c>
    </row>
    <row r="147" spans="1:16" x14ac:dyDescent="0.25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>
        <v>30</v>
      </c>
      <c r="J147" s="3">
        <v>8742.27</v>
      </c>
      <c r="K147" s="2">
        <v>14.34</v>
      </c>
      <c r="L147" s="3">
        <v>224658.85</v>
      </c>
      <c r="M147">
        <v>46130</v>
      </c>
      <c r="N147" s="1" t="s">
        <v>24</v>
      </c>
      <c r="O147" s="1" t="s">
        <v>35</v>
      </c>
      <c r="P147" s="1" t="s">
        <v>53</v>
      </c>
    </row>
    <row r="148" spans="1:16" x14ac:dyDescent="0.25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>
        <v>43</v>
      </c>
      <c r="J148" s="3">
        <v>24551.42</v>
      </c>
      <c r="K148" s="2">
        <v>8.1</v>
      </c>
      <c r="L148" s="3">
        <v>970198.46</v>
      </c>
      <c r="M148">
        <v>46289</v>
      </c>
      <c r="N148" s="1" t="s">
        <v>68</v>
      </c>
      <c r="O148" s="1" t="s">
        <v>35</v>
      </c>
      <c r="P148" s="1" t="s">
        <v>53</v>
      </c>
    </row>
    <row r="149" spans="1:16" x14ac:dyDescent="0.25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>
        <v>50</v>
      </c>
      <c r="J149" s="3">
        <v>48532.65</v>
      </c>
      <c r="K149" s="2">
        <v>18.13</v>
      </c>
      <c r="L149" s="3">
        <v>1986684.03</v>
      </c>
      <c r="M149">
        <v>46278</v>
      </c>
      <c r="N149" s="1" t="s">
        <v>58</v>
      </c>
      <c r="O149" s="1" t="s">
        <v>35</v>
      </c>
      <c r="P149" s="1" t="s">
        <v>26</v>
      </c>
    </row>
    <row r="150" spans="1:16" x14ac:dyDescent="0.25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>
        <v>39</v>
      </c>
      <c r="J150" s="3">
        <v>47243.54</v>
      </c>
      <c r="K150" s="2">
        <v>1.1299999999999999</v>
      </c>
      <c r="L150" s="3">
        <v>1821677.83</v>
      </c>
      <c r="M150">
        <v>46190</v>
      </c>
      <c r="N150" s="1" t="s">
        <v>24</v>
      </c>
      <c r="O150" s="1" t="s">
        <v>35</v>
      </c>
      <c r="P150" s="1" t="s">
        <v>36</v>
      </c>
    </row>
    <row r="151" spans="1:16" x14ac:dyDescent="0.25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>
        <v>5</v>
      </c>
      <c r="J151" s="3">
        <v>29877.57</v>
      </c>
      <c r="K151" s="2">
        <v>5.15</v>
      </c>
      <c r="L151" s="3">
        <v>141694.38</v>
      </c>
      <c r="M151">
        <v>46191</v>
      </c>
      <c r="N151" s="1" t="s">
        <v>45</v>
      </c>
      <c r="O151" s="1" t="s">
        <v>35</v>
      </c>
      <c r="P151" s="1" t="s">
        <v>53</v>
      </c>
    </row>
    <row r="152" spans="1:16" x14ac:dyDescent="0.25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>
        <v>38</v>
      </c>
      <c r="J152" s="3">
        <v>32043.75</v>
      </c>
      <c r="K152" s="2">
        <v>10.65</v>
      </c>
      <c r="L152" s="3">
        <v>1087981.44</v>
      </c>
      <c r="M152">
        <v>46025</v>
      </c>
      <c r="N152" s="1" t="s">
        <v>68</v>
      </c>
      <c r="O152" s="1" t="s">
        <v>35</v>
      </c>
      <c r="P152" s="1" t="s">
        <v>36</v>
      </c>
    </row>
    <row r="153" spans="1:16" x14ac:dyDescent="0.25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>
        <v>16</v>
      </c>
      <c r="J153" s="3">
        <v>14889.71</v>
      </c>
      <c r="K153" s="2">
        <v>2.86</v>
      </c>
      <c r="L153" s="3">
        <v>231421.83</v>
      </c>
      <c r="M153">
        <v>46348</v>
      </c>
      <c r="N153" s="1" t="s">
        <v>58</v>
      </c>
      <c r="O153" s="1" t="s">
        <v>35</v>
      </c>
      <c r="P153" s="1" t="s">
        <v>36</v>
      </c>
    </row>
    <row r="154" spans="1:16" x14ac:dyDescent="0.25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>
        <v>5</v>
      </c>
      <c r="J154" s="3">
        <v>25557.66</v>
      </c>
      <c r="K154" s="2">
        <v>19.72</v>
      </c>
      <c r="L154" s="3">
        <v>102588.45</v>
      </c>
      <c r="M154">
        <v>46170</v>
      </c>
      <c r="N154" s="1" t="s">
        <v>45</v>
      </c>
      <c r="O154" s="1" t="s">
        <v>35</v>
      </c>
      <c r="P154" s="1" t="s">
        <v>36</v>
      </c>
    </row>
    <row r="155" spans="1:16" x14ac:dyDescent="0.25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>
        <v>31</v>
      </c>
      <c r="J155" s="3">
        <v>27169.18</v>
      </c>
      <c r="K155" s="2">
        <v>18.23</v>
      </c>
      <c r="L155" s="3">
        <v>688703.39</v>
      </c>
      <c r="M155">
        <v>46301</v>
      </c>
      <c r="N155" s="1" t="s">
        <v>24</v>
      </c>
      <c r="O155" s="1" t="s">
        <v>25</v>
      </c>
      <c r="P155" s="1" t="s">
        <v>36</v>
      </c>
    </row>
    <row r="156" spans="1:16" x14ac:dyDescent="0.25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>
        <v>50</v>
      </c>
      <c r="J156" s="3">
        <v>7743.79</v>
      </c>
      <c r="K156" s="2">
        <v>6.7</v>
      </c>
      <c r="L156" s="3">
        <v>361247.8</v>
      </c>
      <c r="M156">
        <v>46220</v>
      </c>
      <c r="N156" s="1" t="s">
        <v>58</v>
      </c>
      <c r="O156" s="1" t="s">
        <v>25</v>
      </c>
      <c r="P156" s="1" t="s">
        <v>26</v>
      </c>
    </row>
    <row r="157" spans="1:16" x14ac:dyDescent="0.25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>
        <v>50</v>
      </c>
      <c r="J157" s="3">
        <v>29709.95</v>
      </c>
      <c r="K157" s="2">
        <v>7.9</v>
      </c>
      <c r="L157" s="3">
        <v>1368143.2</v>
      </c>
      <c r="M157">
        <v>46141</v>
      </c>
      <c r="N157" s="1" t="s">
        <v>45</v>
      </c>
      <c r="O157" s="1" t="s">
        <v>35</v>
      </c>
      <c r="P157" s="1" t="s">
        <v>53</v>
      </c>
    </row>
    <row r="158" spans="1:16" x14ac:dyDescent="0.25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>
        <v>24</v>
      </c>
      <c r="J158" s="3">
        <v>6071.91</v>
      </c>
      <c r="K158" s="2">
        <v>2.2400000000000002</v>
      </c>
      <c r="L158" s="3">
        <v>142461.57999999999</v>
      </c>
      <c r="M158">
        <v>46329</v>
      </c>
      <c r="N158" s="1" t="s">
        <v>58</v>
      </c>
      <c r="O158" s="1" t="s">
        <v>35</v>
      </c>
      <c r="P158" s="1" t="s">
        <v>53</v>
      </c>
    </row>
    <row r="159" spans="1:16" x14ac:dyDescent="0.25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>
        <v>5</v>
      </c>
      <c r="J159" s="3">
        <v>39694.870000000003</v>
      </c>
      <c r="K159" s="2">
        <v>7.17</v>
      </c>
      <c r="L159" s="3">
        <v>184243.74</v>
      </c>
      <c r="M159">
        <v>46387</v>
      </c>
      <c r="N159" s="1" t="s">
        <v>68</v>
      </c>
      <c r="O159" s="1" t="s">
        <v>35</v>
      </c>
      <c r="P159" s="1" t="s">
        <v>26</v>
      </c>
    </row>
    <row r="160" spans="1:16" x14ac:dyDescent="0.25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>
        <v>33</v>
      </c>
      <c r="J160" s="3">
        <v>817.27</v>
      </c>
      <c r="K160" s="2">
        <v>5.39</v>
      </c>
      <c r="L160" s="3">
        <v>25516.23</v>
      </c>
      <c r="M160">
        <v>46278</v>
      </c>
      <c r="N160" s="1" t="s">
        <v>113</v>
      </c>
      <c r="O160" s="1" t="s">
        <v>35</v>
      </c>
      <c r="P160" s="1" t="s">
        <v>53</v>
      </c>
    </row>
    <row r="161" spans="1:16" x14ac:dyDescent="0.25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>
        <v>48</v>
      </c>
      <c r="J161" s="3">
        <v>43633.57</v>
      </c>
      <c r="K161" s="2">
        <v>6.34</v>
      </c>
      <c r="L161" s="3">
        <v>1961625.68</v>
      </c>
      <c r="M161">
        <v>46339</v>
      </c>
      <c r="N161" s="1" t="s">
        <v>68</v>
      </c>
      <c r="O161" s="1" t="s">
        <v>25</v>
      </c>
      <c r="P161" s="1" t="s">
        <v>26</v>
      </c>
    </row>
    <row r="162" spans="1:16" x14ac:dyDescent="0.25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>
        <v>28</v>
      </c>
      <c r="J162" s="3">
        <v>44084.14</v>
      </c>
      <c r="K162" s="2">
        <v>13.12</v>
      </c>
      <c r="L162" s="3">
        <v>1072408.42</v>
      </c>
      <c r="M162">
        <v>46112</v>
      </c>
      <c r="N162" s="1" t="s">
        <v>58</v>
      </c>
      <c r="O162" s="1" t="s">
        <v>35</v>
      </c>
      <c r="P162" s="1" t="s">
        <v>53</v>
      </c>
    </row>
    <row r="163" spans="1:16" x14ac:dyDescent="0.25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>
        <v>34</v>
      </c>
      <c r="J163" s="3">
        <v>2588.21</v>
      </c>
      <c r="K163" s="2">
        <v>16.579999999999998</v>
      </c>
      <c r="L163" s="3">
        <v>73408.88</v>
      </c>
      <c r="M163">
        <v>46210</v>
      </c>
      <c r="N163" s="1" t="s">
        <v>58</v>
      </c>
      <c r="O163" s="1" t="s">
        <v>35</v>
      </c>
      <c r="P163" s="1" t="s">
        <v>26</v>
      </c>
    </row>
    <row r="164" spans="1:16" x14ac:dyDescent="0.25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>
        <v>40</v>
      </c>
      <c r="J164" s="3">
        <v>36497.39</v>
      </c>
      <c r="K164" s="2">
        <v>18.149999999999999</v>
      </c>
      <c r="L164" s="3">
        <v>1194924.55</v>
      </c>
      <c r="M164">
        <v>46081</v>
      </c>
      <c r="N164" s="1" t="s">
        <v>45</v>
      </c>
      <c r="O164" s="1" t="s">
        <v>35</v>
      </c>
      <c r="P164" s="1" t="s">
        <v>36</v>
      </c>
    </row>
    <row r="165" spans="1:16" x14ac:dyDescent="0.25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>
        <v>1</v>
      </c>
      <c r="J165" s="3">
        <v>32459.95</v>
      </c>
      <c r="K165" s="2">
        <v>9.1999999999999993</v>
      </c>
      <c r="L165" s="3">
        <v>29473.63</v>
      </c>
      <c r="M165">
        <v>46182</v>
      </c>
      <c r="N165" s="1" t="s">
        <v>45</v>
      </c>
      <c r="O165" s="1" t="s">
        <v>59</v>
      </c>
      <c r="P165" s="1" t="s">
        <v>36</v>
      </c>
    </row>
    <row r="166" spans="1:16" x14ac:dyDescent="0.25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>
        <v>3</v>
      </c>
      <c r="J166" s="3">
        <v>48760.62</v>
      </c>
      <c r="K166" s="2">
        <v>9.73</v>
      </c>
      <c r="L166" s="3">
        <v>132048.64000000001</v>
      </c>
      <c r="M166">
        <v>46050</v>
      </c>
      <c r="N166" s="1" t="s">
        <v>45</v>
      </c>
      <c r="O166" s="1" t="s">
        <v>35</v>
      </c>
      <c r="P166" s="1" t="s">
        <v>26</v>
      </c>
    </row>
    <row r="167" spans="1:16" x14ac:dyDescent="0.25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>
        <v>39</v>
      </c>
      <c r="J167" s="3">
        <v>43293.52</v>
      </c>
      <c r="K167" s="2">
        <v>8.82</v>
      </c>
      <c r="L167" s="3">
        <v>1539526.23</v>
      </c>
      <c r="M167">
        <v>46372</v>
      </c>
      <c r="N167" s="1" t="s">
        <v>45</v>
      </c>
      <c r="O167" s="1" t="s">
        <v>35</v>
      </c>
      <c r="P167" s="1" t="s">
        <v>53</v>
      </c>
    </row>
    <row r="168" spans="1:16" x14ac:dyDescent="0.25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>
        <v>11</v>
      </c>
      <c r="J168" s="3">
        <v>5620.99</v>
      </c>
      <c r="K168" s="2">
        <v>12.59</v>
      </c>
      <c r="L168" s="3">
        <v>54046.38</v>
      </c>
      <c r="M168">
        <v>46061</v>
      </c>
      <c r="N168" s="1" t="s">
        <v>58</v>
      </c>
      <c r="O168" s="1" t="s">
        <v>35</v>
      </c>
      <c r="P168" s="1" t="s">
        <v>26</v>
      </c>
    </row>
    <row r="169" spans="1:16" x14ac:dyDescent="0.25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>
        <v>20</v>
      </c>
      <c r="J169" s="3">
        <v>27214.97</v>
      </c>
      <c r="K169" s="2">
        <v>10.25</v>
      </c>
      <c r="L169" s="3">
        <v>488508.71</v>
      </c>
      <c r="M169">
        <v>46107</v>
      </c>
      <c r="N169" s="1" t="s">
        <v>45</v>
      </c>
      <c r="O169" s="1" t="s">
        <v>25</v>
      </c>
      <c r="P169" s="1" t="s">
        <v>26</v>
      </c>
    </row>
    <row r="170" spans="1:16" x14ac:dyDescent="0.25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>
        <v>38</v>
      </c>
      <c r="J170" s="3">
        <v>29706.35</v>
      </c>
      <c r="K170" s="2">
        <v>19.38</v>
      </c>
      <c r="L170" s="3">
        <v>910071.86</v>
      </c>
      <c r="M170">
        <v>46240</v>
      </c>
      <c r="N170" s="1" t="s">
        <v>68</v>
      </c>
      <c r="O170" s="1" t="s">
        <v>35</v>
      </c>
      <c r="P170" s="1" t="s">
        <v>26</v>
      </c>
    </row>
    <row r="171" spans="1:16" x14ac:dyDescent="0.25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>
        <v>41</v>
      </c>
      <c r="J171" s="3">
        <v>35211.22</v>
      </c>
      <c r="K171" s="2">
        <v>15.16</v>
      </c>
      <c r="L171" s="3">
        <v>1224801.1599999999</v>
      </c>
      <c r="M171">
        <v>46327</v>
      </c>
      <c r="N171" s="1" t="s">
        <v>24</v>
      </c>
      <c r="O171" s="1" t="s">
        <v>35</v>
      </c>
      <c r="P171" s="1" t="s">
        <v>53</v>
      </c>
    </row>
    <row r="172" spans="1:16" x14ac:dyDescent="0.25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>
        <v>46</v>
      </c>
      <c r="J172" s="3">
        <v>18608.25</v>
      </c>
      <c r="K172" s="2">
        <v>7.74</v>
      </c>
      <c r="L172" s="3">
        <v>789726.69</v>
      </c>
      <c r="M172">
        <v>46063</v>
      </c>
      <c r="N172" s="1" t="s">
        <v>113</v>
      </c>
      <c r="O172" s="1" t="s">
        <v>35</v>
      </c>
      <c r="P172" s="1" t="s">
        <v>26</v>
      </c>
    </row>
    <row r="173" spans="1:16" x14ac:dyDescent="0.25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>
        <v>33</v>
      </c>
      <c r="J173" s="3">
        <v>7649.84</v>
      </c>
      <c r="K173" s="2">
        <v>5.05</v>
      </c>
      <c r="L173" s="3">
        <v>239696.26</v>
      </c>
      <c r="M173">
        <v>46094</v>
      </c>
      <c r="N173" s="1" t="s">
        <v>24</v>
      </c>
      <c r="O173" s="1" t="s">
        <v>35</v>
      </c>
      <c r="P173" s="1" t="s">
        <v>53</v>
      </c>
    </row>
    <row r="174" spans="1:16" x14ac:dyDescent="0.25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>
        <v>7</v>
      </c>
      <c r="J174" s="3">
        <v>45229.64</v>
      </c>
      <c r="K174" s="2">
        <v>10.79</v>
      </c>
      <c r="L174" s="3">
        <v>282445.53000000003</v>
      </c>
      <c r="M174">
        <v>46319</v>
      </c>
      <c r="N174" s="1" t="s">
        <v>58</v>
      </c>
      <c r="O174" s="1" t="s">
        <v>35</v>
      </c>
      <c r="P174" s="1" t="s">
        <v>53</v>
      </c>
    </row>
    <row r="175" spans="1:16" x14ac:dyDescent="0.25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>
        <v>11</v>
      </c>
      <c r="J175" s="3">
        <v>14168.51</v>
      </c>
      <c r="K175" s="2">
        <v>3.89</v>
      </c>
      <c r="L175" s="3">
        <v>149790.9</v>
      </c>
      <c r="M175">
        <v>46232</v>
      </c>
      <c r="N175" s="1" t="s">
        <v>113</v>
      </c>
      <c r="O175" s="1" t="s">
        <v>35</v>
      </c>
      <c r="P175" s="1" t="s">
        <v>36</v>
      </c>
    </row>
    <row r="176" spans="1:16" x14ac:dyDescent="0.25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>
        <v>44</v>
      </c>
      <c r="J176" s="3">
        <v>15923.3</v>
      </c>
      <c r="K176" s="2">
        <v>18.66</v>
      </c>
      <c r="L176" s="3">
        <v>569888.54</v>
      </c>
      <c r="M176">
        <v>46236</v>
      </c>
      <c r="N176" s="1" t="s">
        <v>45</v>
      </c>
      <c r="O176" s="1" t="s">
        <v>59</v>
      </c>
      <c r="P176" s="1" t="s">
        <v>36</v>
      </c>
    </row>
    <row r="177" spans="1:16" x14ac:dyDescent="0.25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>
        <v>50</v>
      </c>
      <c r="J177" s="3">
        <v>45445.3</v>
      </c>
      <c r="K177" s="2">
        <v>0.42</v>
      </c>
      <c r="L177" s="3">
        <v>2262721.4900000002</v>
      </c>
      <c r="M177">
        <v>46244</v>
      </c>
      <c r="N177" s="1" t="s">
        <v>45</v>
      </c>
      <c r="O177" s="1" t="s">
        <v>35</v>
      </c>
      <c r="P177" s="1" t="s">
        <v>53</v>
      </c>
    </row>
    <row r="178" spans="1:16" x14ac:dyDescent="0.25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>
        <v>39</v>
      </c>
      <c r="J178" s="3">
        <v>43309.08</v>
      </c>
      <c r="K178" s="2">
        <v>15.81</v>
      </c>
      <c r="L178" s="3">
        <v>1422014.66</v>
      </c>
      <c r="M178">
        <v>46031</v>
      </c>
      <c r="N178" s="1" t="s">
        <v>58</v>
      </c>
      <c r="O178" s="1" t="s">
        <v>35</v>
      </c>
      <c r="P178" s="1" t="s">
        <v>36</v>
      </c>
    </row>
    <row r="179" spans="1:16" x14ac:dyDescent="0.25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>
        <v>28</v>
      </c>
      <c r="J179" s="3">
        <v>44388.02</v>
      </c>
      <c r="K179" s="2">
        <v>19.73</v>
      </c>
      <c r="L179" s="3">
        <v>997647.38</v>
      </c>
      <c r="M179">
        <v>46030</v>
      </c>
      <c r="N179" s="1" t="s">
        <v>58</v>
      </c>
      <c r="O179" s="1" t="s">
        <v>35</v>
      </c>
      <c r="P179" s="1" t="s">
        <v>26</v>
      </c>
    </row>
    <row r="180" spans="1:16" x14ac:dyDescent="0.25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>
        <v>39</v>
      </c>
      <c r="J180" s="3">
        <v>28460.36</v>
      </c>
      <c r="K180" s="2">
        <v>1.97</v>
      </c>
      <c r="L180" s="3">
        <v>1088087.95</v>
      </c>
      <c r="M180">
        <v>46217</v>
      </c>
      <c r="N180" s="1" t="s">
        <v>113</v>
      </c>
      <c r="O180" s="1" t="s">
        <v>25</v>
      </c>
      <c r="P180" s="1" t="s">
        <v>36</v>
      </c>
    </row>
    <row r="181" spans="1:16" x14ac:dyDescent="0.25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>
        <v>3</v>
      </c>
      <c r="J181" s="3">
        <v>1321.2</v>
      </c>
      <c r="K181" s="2">
        <v>12.47</v>
      </c>
      <c r="L181" s="3">
        <v>3469.34</v>
      </c>
      <c r="M181">
        <v>46148</v>
      </c>
      <c r="N181" s="1" t="s">
        <v>24</v>
      </c>
      <c r="O181" s="1" t="s">
        <v>35</v>
      </c>
      <c r="P181" s="1" t="s">
        <v>36</v>
      </c>
    </row>
    <row r="182" spans="1:16" x14ac:dyDescent="0.25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>
        <v>3</v>
      </c>
      <c r="J182" s="3">
        <v>2344.3000000000002</v>
      </c>
      <c r="K182" s="2">
        <v>14.29</v>
      </c>
      <c r="L182" s="3">
        <v>6027.9</v>
      </c>
      <c r="M182">
        <v>46340</v>
      </c>
      <c r="N182" s="1" t="s">
        <v>24</v>
      </c>
      <c r="O182" s="1" t="s">
        <v>35</v>
      </c>
      <c r="P182" s="1" t="s">
        <v>53</v>
      </c>
    </row>
    <row r="183" spans="1:16" x14ac:dyDescent="0.25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>
        <v>31</v>
      </c>
      <c r="J183" s="3">
        <v>7192.82</v>
      </c>
      <c r="K183" s="2">
        <v>19.45</v>
      </c>
      <c r="L183" s="3">
        <v>179608.31</v>
      </c>
      <c r="M183">
        <v>46196</v>
      </c>
      <c r="N183" s="1" t="s">
        <v>45</v>
      </c>
      <c r="O183" s="1" t="s">
        <v>35</v>
      </c>
      <c r="P183" s="1" t="s">
        <v>36</v>
      </c>
    </row>
    <row r="184" spans="1:16" x14ac:dyDescent="0.25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>
        <v>29</v>
      </c>
      <c r="J184" s="3">
        <v>23384.84</v>
      </c>
      <c r="K184" s="2">
        <v>11.98</v>
      </c>
      <c r="L184" s="3">
        <v>596916.75</v>
      </c>
      <c r="M184">
        <v>46307</v>
      </c>
      <c r="N184" s="1" t="s">
        <v>113</v>
      </c>
      <c r="O184" s="1" t="s">
        <v>35</v>
      </c>
      <c r="P184" s="1" t="s">
        <v>36</v>
      </c>
    </row>
    <row r="185" spans="1:16" x14ac:dyDescent="0.25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>
        <v>42</v>
      </c>
      <c r="J185" s="3">
        <v>30032.92</v>
      </c>
      <c r="K185" s="2">
        <v>6.44</v>
      </c>
      <c r="L185" s="3">
        <v>1180149.6000000001</v>
      </c>
      <c r="M185">
        <v>46231</v>
      </c>
      <c r="N185" s="1" t="s">
        <v>113</v>
      </c>
      <c r="O185" s="1" t="s">
        <v>35</v>
      </c>
      <c r="P185" s="1" t="s">
        <v>26</v>
      </c>
    </row>
    <row r="186" spans="1:16" x14ac:dyDescent="0.25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>
        <v>43</v>
      </c>
      <c r="J186" s="3">
        <v>6703.1</v>
      </c>
      <c r="K186" s="2">
        <v>11.79</v>
      </c>
      <c r="L186" s="3">
        <v>254250.59</v>
      </c>
      <c r="M186">
        <v>46029</v>
      </c>
      <c r="N186" s="1" t="s">
        <v>113</v>
      </c>
      <c r="O186" s="1" t="s">
        <v>35</v>
      </c>
      <c r="P186" s="1" t="s">
        <v>36</v>
      </c>
    </row>
    <row r="187" spans="1:16" x14ac:dyDescent="0.25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>
        <v>41</v>
      </c>
      <c r="J187" s="3">
        <v>12323.38</v>
      </c>
      <c r="K187" s="2">
        <v>4.9800000000000004</v>
      </c>
      <c r="L187" s="3">
        <v>480096.7</v>
      </c>
      <c r="M187">
        <v>46298</v>
      </c>
      <c r="N187" s="1" t="s">
        <v>45</v>
      </c>
      <c r="O187" s="1" t="s">
        <v>35</v>
      </c>
      <c r="P187" s="1" t="s">
        <v>53</v>
      </c>
    </row>
    <row r="188" spans="1:16" x14ac:dyDescent="0.25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>
        <v>33</v>
      </c>
      <c r="J188" s="3">
        <v>13372.96</v>
      </c>
      <c r="K188" s="2">
        <v>4.5999999999999996</v>
      </c>
      <c r="L188" s="3">
        <v>421007.53</v>
      </c>
      <c r="M188">
        <v>46310</v>
      </c>
      <c r="N188" s="1" t="s">
        <v>113</v>
      </c>
      <c r="O188" s="1" t="s">
        <v>35</v>
      </c>
      <c r="P188" s="1" t="s">
        <v>26</v>
      </c>
    </row>
    <row r="189" spans="1:16" x14ac:dyDescent="0.25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>
        <v>25</v>
      </c>
      <c r="J189" s="3">
        <v>37816.15</v>
      </c>
      <c r="K189" s="2">
        <v>5.0599999999999996</v>
      </c>
      <c r="L189" s="3">
        <v>897566.32</v>
      </c>
      <c r="M189">
        <v>46218</v>
      </c>
      <c r="N189" s="1" t="s">
        <v>58</v>
      </c>
      <c r="O189" s="1" t="s">
        <v>35</v>
      </c>
      <c r="P189" s="1" t="s">
        <v>36</v>
      </c>
    </row>
    <row r="190" spans="1:16" x14ac:dyDescent="0.25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>
        <v>17</v>
      </c>
      <c r="J190" s="3">
        <v>5086.3599999999997</v>
      </c>
      <c r="K190" s="2">
        <v>15.93</v>
      </c>
      <c r="L190" s="3">
        <v>72693.75</v>
      </c>
      <c r="M190">
        <v>46145</v>
      </c>
      <c r="N190" s="1" t="s">
        <v>68</v>
      </c>
      <c r="O190" s="1" t="s">
        <v>35</v>
      </c>
      <c r="P190" s="1" t="s">
        <v>26</v>
      </c>
    </row>
    <row r="191" spans="1:16" x14ac:dyDescent="0.25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>
        <v>40</v>
      </c>
      <c r="J191" s="3">
        <v>8365.56</v>
      </c>
      <c r="K191" s="2">
        <v>17.95</v>
      </c>
      <c r="L191" s="3">
        <v>274557.68</v>
      </c>
      <c r="M191">
        <v>46165</v>
      </c>
      <c r="N191" s="1" t="s">
        <v>24</v>
      </c>
      <c r="O191" s="1" t="s">
        <v>35</v>
      </c>
      <c r="P191" s="1" t="s">
        <v>36</v>
      </c>
    </row>
    <row r="192" spans="1:16" x14ac:dyDescent="0.25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>
        <v>29</v>
      </c>
      <c r="J192" s="3">
        <v>4515.49</v>
      </c>
      <c r="K192" s="2">
        <v>1.52</v>
      </c>
      <c r="L192" s="3">
        <v>128958.78</v>
      </c>
      <c r="M192">
        <v>46152</v>
      </c>
      <c r="N192" s="1" t="s">
        <v>68</v>
      </c>
      <c r="O192" s="1" t="s">
        <v>35</v>
      </c>
      <c r="P192" s="1" t="s">
        <v>36</v>
      </c>
    </row>
    <row r="193" spans="1:16" x14ac:dyDescent="0.25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>
        <v>6</v>
      </c>
      <c r="J193" s="3">
        <v>41066.089999999997</v>
      </c>
      <c r="K193" s="2">
        <v>16.61</v>
      </c>
      <c r="L193" s="3">
        <v>205470.07</v>
      </c>
      <c r="M193">
        <v>46055</v>
      </c>
      <c r="N193" s="1" t="s">
        <v>68</v>
      </c>
      <c r="O193" s="1" t="s">
        <v>35</v>
      </c>
      <c r="P193" s="1" t="s">
        <v>36</v>
      </c>
    </row>
    <row r="194" spans="1:16" x14ac:dyDescent="0.25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>
        <v>2</v>
      </c>
      <c r="J194" s="3">
        <v>702.95</v>
      </c>
      <c r="K194" s="2">
        <v>2.42</v>
      </c>
      <c r="L194" s="3">
        <v>1371.88</v>
      </c>
      <c r="M194">
        <v>46059</v>
      </c>
      <c r="N194" s="1" t="s">
        <v>68</v>
      </c>
      <c r="O194" s="1" t="s">
        <v>35</v>
      </c>
      <c r="P194" s="1" t="s">
        <v>26</v>
      </c>
    </row>
    <row r="195" spans="1:16" x14ac:dyDescent="0.25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>
        <v>1</v>
      </c>
      <c r="J195" s="3">
        <v>6023.65</v>
      </c>
      <c r="K195" s="2">
        <v>12.52</v>
      </c>
      <c r="L195" s="3">
        <v>5269.49</v>
      </c>
      <c r="M195">
        <v>46152</v>
      </c>
      <c r="N195" s="1" t="s">
        <v>58</v>
      </c>
      <c r="O195" s="1" t="s">
        <v>35</v>
      </c>
      <c r="P195" s="1" t="s">
        <v>36</v>
      </c>
    </row>
    <row r="196" spans="1:16" x14ac:dyDescent="0.25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>
        <v>50</v>
      </c>
      <c r="J196" s="3">
        <v>19503.8</v>
      </c>
      <c r="K196" s="2">
        <v>15.06</v>
      </c>
      <c r="L196" s="3">
        <v>828326.39</v>
      </c>
      <c r="M196">
        <v>46200</v>
      </c>
      <c r="N196" s="1" t="s">
        <v>24</v>
      </c>
      <c r="O196" s="1" t="s">
        <v>35</v>
      </c>
      <c r="P196" s="1" t="s">
        <v>26</v>
      </c>
    </row>
    <row r="197" spans="1:16" x14ac:dyDescent="0.25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>
        <v>2</v>
      </c>
      <c r="J197" s="3">
        <v>27983.86</v>
      </c>
      <c r="K197" s="2">
        <v>9.56</v>
      </c>
      <c r="L197" s="3">
        <v>50617.21</v>
      </c>
      <c r="M197">
        <v>46235</v>
      </c>
      <c r="N197" s="1" t="s">
        <v>113</v>
      </c>
      <c r="O197" s="1" t="s">
        <v>35</v>
      </c>
      <c r="P197" s="1" t="s">
        <v>53</v>
      </c>
    </row>
    <row r="198" spans="1:16" x14ac:dyDescent="0.25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>
        <v>33</v>
      </c>
      <c r="J198" s="3">
        <v>20009.900000000001</v>
      </c>
      <c r="K198" s="2">
        <v>0.78</v>
      </c>
      <c r="L198" s="3">
        <v>655176.15</v>
      </c>
      <c r="M198">
        <v>46386</v>
      </c>
      <c r="N198" s="1" t="s">
        <v>58</v>
      </c>
      <c r="O198" s="1" t="s">
        <v>35</v>
      </c>
      <c r="P198" s="1" t="s">
        <v>53</v>
      </c>
    </row>
    <row r="199" spans="1:16" x14ac:dyDescent="0.25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>
        <v>8</v>
      </c>
      <c r="J199" s="3">
        <v>46561.82</v>
      </c>
      <c r="K199" s="2">
        <v>11.43</v>
      </c>
      <c r="L199" s="3">
        <v>329918.43</v>
      </c>
      <c r="M199">
        <v>46064</v>
      </c>
      <c r="N199" s="1" t="s">
        <v>113</v>
      </c>
      <c r="O199" s="1" t="s">
        <v>25</v>
      </c>
      <c r="P199" s="1" t="s">
        <v>26</v>
      </c>
    </row>
    <row r="200" spans="1:16" x14ac:dyDescent="0.25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>
        <v>36</v>
      </c>
      <c r="J200" s="3">
        <v>39044.720000000001</v>
      </c>
      <c r="K200" s="2">
        <v>10.9</v>
      </c>
      <c r="L200" s="3">
        <v>1252398.44</v>
      </c>
      <c r="M200">
        <v>46118</v>
      </c>
      <c r="N200" s="1" t="s">
        <v>58</v>
      </c>
      <c r="O200" s="1" t="s">
        <v>59</v>
      </c>
      <c r="P200" s="1" t="s">
        <v>26</v>
      </c>
    </row>
    <row r="201" spans="1:16" x14ac:dyDescent="0.25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>
        <v>10</v>
      </c>
      <c r="J201" s="3">
        <v>12060.57</v>
      </c>
      <c r="K201" s="2">
        <v>10.02</v>
      </c>
      <c r="L201" s="3">
        <v>108521.01</v>
      </c>
      <c r="M201">
        <v>46219</v>
      </c>
      <c r="N201" s="1" t="s">
        <v>45</v>
      </c>
      <c r="O201" s="1" t="s">
        <v>35</v>
      </c>
      <c r="P201" s="1" t="s">
        <v>26</v>
      </c>
    </row>
    <row r="202" spans="1:16" x14ac:dyDescent="0.25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>
        <v>1</v>
      </c>
      <c r="J202" s="3">
        <v>28407.31</v>
      </c>
      <c r="K202" s="2">
        <v>11.09</v>
      </c>
      <c r="L202" s="3">
        <v>25256.94</v>
      </c>
      <c r="M202">
        <v>46225</v>
      </c>
      <c r="N202" s="1" t="s">
        <v>68</v>
      </c>
      <c r="O202" s="1" t="s">
        <v>35</v>
      </c>
      <c r="P202" s="1" t="s">
        <v>53</v>
      </c>
    </row>
    <row r="203" spans="1:16" x14ac:dyDescent="0.25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>
        <v>26</v>
      </c>
      <c r="J203" s="3">
        <v>4367.99</v>
      </c>
      <c r="K203" s="2">
        <v>9.77</v>
      </c>
      <c r="L203" s="3">
        <v>102472.17</v>
      </c>
      <c r="M203">
        <v>46302</v>
      </c>
      <c r="N203" s="1" t="s">
        <v>58</v>
      </c>
      <c r="O203" s="1" t="s">
        <v>59</v>
      </c>
      <c r="P203" s="1" t="s">
        <v>53</v>
      </c>
    </row>
    <row r="204" spans="1:16" x14ac:dyDescent="0.25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>
        <v>16</v>
      </c>
      <c r="J204" s="3">
        <v>38770.46</v>
      </c>
      <c r="K204" s="2">
        <v>18.12</v>
      </c>
      <c r="L204" s="3">
        <v>507924.04</v>
      </c>
      <c r="M204">
        <v>46153</v>
      </c>
      <c r="N204" s="1" t="s">
        <v>68</v>
      </c>
      <c r="O204" s="1" t="s">
        <v>35</v>
      </c>
      <c r="P204" s="1" t="s">
        <v>26</v>
      </c>
    </row>
    <row r="205" spans="1:16" x14ac:dyDescent="0.25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>
        <v>21</v>
      </c>
      <c r="J205" s="3">
        <v>41015</v>
      </c>
      <c r="K205" s="2">
        <v>5.23</v>
      </c>
      <c r="L205" s="3">
        <v>816268.23</v>
      </c>
      <c r="M205">
        <v>46332</v>
      </c>
      <c r="N205" s="1" t="s">
        <v>24</v>
      </c>
      <c r="O205" s="1" t="s">
        <v>35</v>
      </c>
      <c r="P205" s="1" t="s">
        <v>53</v>
      </c>
    </row>
    <row r="206" spans="1:16" x14ac:dyDescent="0.25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>
        <v>31</v>
      </c>
      <c r="J206" s="3">
        <v>15811.65</v>
      </c>
      <c r="K206" s="2">
        <v>0.6</v>
      </c>
      <c r="L206" s="3">
        <v>487220.18</v>
      </c>
      <c r="M206">
        <v>46228</v>
      </c>
      <c r="N206" s="1" t="s">
        <v>45</v>
      </c>
      <c r="O206" s="1" t="s">
        <v>35</v>
      </c>
      <c r="P206" s="1" t="s">
        <v>53</v>
      </c>
    </row>
    <row r="207" spans="1:16" x14ac:dyDescent="0.25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>
        <v>25</v>
      </c>
      <c r="J207" s="3">
        <v>3370.45</v>
      </c>
      <c r="K207" s="2">
        <v>4.47</v>
      </c>
      <c r="L207" s="3">
        <v>80494.77</v>
      </c>
      <c r="M207">
        <v>46225</v>
      </c>
      <c r="N207" s="1" t="s">
        <v>68</v>
      </c>
      <c r="O207" s="1" t="s">
        <v>35</v>
      </c>
      <c r="P207" s="1" t="s">
        <v>26</v>
      </c>
    </row>
    <row r="208" spans="1:16" x14ac:dyDescent="0.25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>
        <v>14</v>
      </c>
      <c r="J208" s="3">
        <v>25278.560000000001</v>
      </c>
      <c r="K208" s="2">
        <v>16.739999999999998</v>
      </c>
      <c r="L208" s="3">
        <v>294657.01</v>
      </c>
      <c r="M208">
        <v>46104</v>
      </c>
      <c r="N208" s="1" t="s">
        <v>45</v>
      </c>
      <c r="O208" s="1" t="s">
        <v>35</v>
      </c>
      <c r="P208" s="1" t="s">
        <v>53</v>
      </c>
    </row>
    <row r="209" spans="1:16" x14ac:dyDescent="0.25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>
        <v>7</v>
      </c>
      <c r="J209" s="3">
        <v>41849.72</v>
      </c>
      <c r="K209" s="2">
        <v>15.47</v>
      </c>
      <c r="L209" s="3">
        <v>247628.98</v>
      </c>
      <c r="M209">
        <v>46041</v>
      </c>
      <c r="N209" s="1" t="s">
        <v>68</v>
      </c>
      <c r="O209" s="1" t="s">
        <v>35</v>
      </c>
      <c r="P209" s="1" t="s">
        <v>36</v>
      </c>
    </row>
    <row r="210" spans="1:16" x14ac:dyDescent="0.25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>
        <v>4</v>
      </c>
      <c r="J210" s="3">
        <v>24290.91</v>
      </c>
      <c r="K210" s="2">
        <v>17.29</v>
      </c>
      <c r="L210" s="3">
        <v>80364.05</v>
      </c>
      <c r="M210">
        <v>46314</v>
      </c>
      <c r="N210" s="1" t="s">
        <v>58</v>
      </c>
      <c r="O210" s="1" t="s">
        <v>35</v>
      </c>
      <c r="P210" s="1" t="s">
        <v>26</v>
      </c>
    </row>
    <row r="211" spans="1:16" x14ac:dyDescent="0.25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>
        <v>47</v>
      </c>
      <c r="J211" s="3">
        <v>40798.559999999998</v>
      </c>
      <c r="K211" s="2">
        <v>4.04</v>
      </c>
      <c r="L211" s="3">
        <v>1840064.01</v>
      </c>
      <c r="M211">
        <v>46262</v>
      </c>
      <c r="N211" s="1" t="s">
        <v>113</v>
      </c>
      <c r="O211" s="1" t="s">
        <v>35</v>
      </c>
      <c r="P211" s="1" t="s">
        <v>53</v>
      </c>
    </row>
    <row r="212" spans="1:16" x14ac:dyDescent="0.25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>
        <v>23</v>
      </c>
      <c r="J212" s="3">
        <v>21198.47</v>
      </c>
      <c r="K212" s="2">
        <v>16.61</v>
      </c>
      <c r="L212" s="3">
        <v>406580.3</v>
      </c>
      <c r="M212">
        <v>46210</v>
      </c>
      <c r="N212" s="1" t="s">
        <v>113</v>
      </c>
      <c r="O212" s="1" t="s">
        <v>25</v>
      </c>
      <c r="P212" s="1" t="s">
        <v>53</v>
      </c>
    </row>
    <row r="213" spans="1:16" x14ac:dyDescent="0.25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>
        <v>42</v>
      </c>
      <c r="J213" s="3">
        <v>2437.04</v>
      </c>
      <c r="K213" s="2">
        <v>10.029999999999999</v>
      </c>
      <c r="L213" s="3">
        <v>92089.41</v>
      </c>
      <c r="M213">
        <v>46162</v>
      </c>
      <c r="N213" s="1" t="s">
        <v>68</v>
      </c>
      <c r="O213" s="1" t="s">
        <v>35</v>
      </c>
      <c r="P213" s="1" t="s">
        <v>26</v>
      </c>
    </row>
    <row r="214" spans="1:16" x14ac:dyDescent="0.25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>
        <v>45</v>
      </c>
      <c r="J214" s="3">
        <v>7297.91</v>
      </c>
      <c r="K214" s="2">
        <v>13.82</v>
      </c>
      <c r="L214" s="3">
        <v>283020.25</v>
      </c>
      <c r="M214">
        <v>46335</v>
      </c>
      <c r="N214" s="1" t="s">
        <v>45</v>
      </c>
      <c r="O214" s="1" t="s">
        <v>35</v>
      </c>
      <c r="P214" s="1" t="s">
        <v>53</v>
      </c>
    </row>
    <row r="215" spans="1:16" x14ac:dyDescent="0.25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>
        <v>40</v>
      </c>
      <c r="J215" s="3">
        <v>21412.98</v>
      </c>
      <c r="K215" s="2">
        <v>16.71</v>
      </c>
      <c r="L215" s="3">
        <v>713394.84</v>
      </c>
      <c r="M215">
        <v>46214</v>
      </c>
      <c r="N215" s="1" t="s">
        <v>58</v>
      </c>
      <c r="O215" s="1" t="s">
        <v>35</v>
      </c>
      <c r="P215" s="1" t="s">
        <v>36</v>
      </c>
    </row>
    <row r="216" spans="1:16" x14ac:dyDescent="0.25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>
        <v>46</v>
      </c>
      <c r="J216" s="3">
        <v>41021.25</v>
      </c>
      <c r="K216" s="2">
        <v>10.130000000000001</v>
      </c>
      <c r="L216" s="3">
        <v>1695826.68</v>
      </c>
      <c r="M216">
        <v>46358</v>
      </c>
      <c r="N216" s="1" t="s">
        <v>113</v>
      </c>
      <c r="O216" s="1" t="s">
        <v>25</v>
      </c>
      <c r="P216" s="1" t="s">
        <v>26</v>
      </c>
    </row>
    <row r="217" spans="1:16" x14ac:dyDescent="0.25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>
        <v>45</v>
      </c>
      <c r="J217" s="3">
        <v>19164.189999999999</v>
      </c>
      <c r="K217" s="2">
        <v>4.0199999999999996</v>
      </c>
      <c r="L217" s="3">
        <v>827720.53</v>
      </c>
      <c r="M217">
        <v>46174</v>
      </c>
      <c r="N217" s="1" t="s">
        <v>58</v>
      </c>
      <c r="O217" s="1" t="s">
        <v>35</v>
      </c>
      <c r="P217" s="1" t="s">
        <v>36</v>
      </c>
    </row>
    <row r="218" spans="1:16" x14ac:dyDescent="0.25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>
        <v>34</v>
      </c>
      <c r="J218" s="3">
        <v>22782.3</v>
      </c>
      <c r="K218" s="2">
        <v>7.22</v>
      </c>
      <c r="L218" s="3">
        <v>718672.21</v>
      </c>
      <c r="M218">
        <v>46257</v>
      </c>
      <c r="N218" s="1" t="s">
        <v>113</v>
      </c>
      <c r="O218" s="1" t="s">
        <v>35</v>
      </c>
      <c r="P218" s="1" t="s">
        <v>26</v>
      </c>
    </row>
    <row r="219" spans="1:16" x14ac:dyDescent="0.25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>
        <v>4</v>
      </c>
      <c r="J219" s="3">
        <v>38443.31</v>
      </c>
      <c r="K219" s="2">
        <v>7.65</v>
      </c>
      <c r="L219" s="3">
        <v>142009.59</v>
      </c>
      <c r="M219">
        <v>46205</v>
      </c>
      <c r="N219" s="1" t="s">
        <v>113</v>
      </c>
      <c r="O219" s="1" t="s">
        <v>35</v>
      </c>
      <c r="P219" s="1" t="s">
        <v>36</v>
      </c>
    </row>
    <row r="220" spans="1:16" x14ac:dyDescent="0.25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>
        <v>21</v>
      </c>
      <c r="J220" s="3">
        <v>6715.35</v>
      </c>
      <c r="K220" s="2">
        <v>19.579999999999998</v>
      </c>
      <c r="L220" s="3">
        <v>113410.17</v>
      </c>
      <c r="M220">
        <v>46328</v>
      </c>
      <c r="N220" s="1" t="s">
        <v>113</v>
      </c>
      <c r="O220" s="1" t="s">
        <v>35</v>
      </c>
      <c r="P220" s="1" t="s">
        <v>53</v>
      </c>
    </row>
    <row r="221" spans="1:16" x14ac:dyDescent="0.25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>
        <v>28</v>
      </c>
      <c r="J221" s="3">
        <v>49425.55</v>
      </c>
      <c r="K221" s="2">
        <v>2.35</v>
      </c>
      <c r="L221" s="3">
        <v>1351393.39</v>
      </c>
      <c r="M221">
        <v>46028</v>
      </c>
      <c r="N221" s="1" t="s">
        <v>58</v>
      </c>
      <c r="O221" s="1" t="s">
        <v>35</v>
      </c>
      <c r="P221" s="1" t="s">
        <v>26</v>
      </c>
    </row>
    <row r="222" spans="1:16" x14ac:dyDescent="0.25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>
        <v>9</v>
      </c>
      <c r="J222" s="3">
        <v>47412.38</v>
      </c>
      <c r="K222" s="2">
        <v>2.2799999999999998</v>
      </c>
      <c r="L222" s="3">
        <v>416982.4</v>
      </c>
      <c r="M222">
        <v>46235</v>
      </c>
      <c r="N222" s="1" t="s">
        <v>45</v>
      </c>
      <c r="O222" s="1" t="s">
        <v>35</v>
      </c>
      <c r="P222" s="1" t="s">
        <v>36</v>
      </c>
    </row>
    <row r="223" spans="1:16" x14ac:dyDescent="0.25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>
        <v>1</v>
      </c>
      <c r="J223" s="3">
        <v>6370.98</v>
      </c>
      <c r="K223" s="2">
        <v>8.2100000000000009</v>
      </c>
      <c r="L223" s="3">
        <v>5847.92</v>
      </c>
      <c r="M223">
        <v>46138</v>
      </c>
      <c r="N223" s="1" t="s">
        <v>68</v>
      </c>
      <c r="O223" s="1" t="s">
        <v>35</v>
      </c>
      <c r="P223" s="1" t="s">
        <v>26</v>
      </c>
    </row>
    <row r="224" spans="1:16" x14ac:dyDescent="0.25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>
        <v>39</v>
      </c>
      <c r="J224" s="3">
        <v>41454.94</v>
      </c>
      <c r="K224" s="2">
        <v>1.75</v>
      </c>
      <c r="L224" s="3">
        <v>1588449.66</v>
      </c>
      <c r="M224">
        <v>46358</v>
      </c>
      <c r="N224" s="1" t="s">
        <v>68</v>
      </c>
      <c r="O224" s="1" t="s">
        <v>35</v>
      </c>
      <c r="P224" s="1" t="s">
        <v>26</v>
      </c>
    </row>
    <row r="225" spans="1:16" x14ac:dyDescent="0.25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>
        <v>10</v>
      </c>
      <c r="J225" s="3">
        <v>33810.160000000003</v>
      </c>
      <c r="K225" s="2">
        <v>7.01</v>
      </c>
      <c r="L225" s="3">
        <v>314400.68</v>
      </c>
      <c r="M225">
        <v>46179</v>
      </c>
      <c r="N225" s="1" t="s">
        <v>68</v>
      </c>
      <c r="O225" s="1" t="s">
        <v>35</v>
      </c>
      <c r="P225" s="1" t="s">
        <v>36</v>
      </c>
    </row>
    <row r="226" spans="1:16" x14ac:dyDescent="0.25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>
        <v>21</v>
      </c>
      <c r="J226" s="3">
        <v>18090.080000000002</v>
      </c>
      <c r="K226" s="2">
        <v>9.5299999999999994</v>
      </c>
      <c r="L226" s="3">
        <v>343688</v>
      </c>
      <c r="M226">
        <v>46148</v>
      </c>
      <c r="N226" s="1" t="s">
        <v>58</v>
      </c>
      <c r="O226" s="1" t="s">
        <v>35</v>
      </c>
      <c r="P226" s="1" t="s">
        <v>26</v>
      </c>
    </row>
    <row r="227" spans="1:16" x14ac:dyDescent="0.25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>
        <v>6</v>
      </c>
      <c r="J227" s="3">
        <v>23738.19</v>
      </c>
      <c r="K227" s="2">
        <v>17.02</v>
      </c>
      <c r="L227" s="3">
        <v>118187.7</v>
      </c>
      <c r="M227">
        <v>46031</v>
      </c>
      <c r="N227" s="1" t="s">
        <v>68</v>
      </c>
      <c r="O227" s="1" t="s">
        <v>35</v>
      </c>
      <c r="P227" s="1" t="s">
        <v>26</v>
      </c>
    </row>
    <row r="228" spans="1:16" x14ac:dyDescent="0.25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>
        <v>10</v>
      </c>
      <c r="J228" s="3">
        <v>48289.07</v>
      </c>
      <c r="K228" s="2">
        <v>3.45</v>
      </c>
      <c r="L228" s="3">
        <v>466230.97</v>
      </c>
      <c r="M228">
        <v>46059</v>
      </c>
      <c r="N228" s="1" t="s">
        <v>58</v>
      </c>
      <c r="O228" s="1" t="s">
        <v>35</v>
      </c>
      <c r="P228" s="1" t="s">
        <v>36</v>
      </c>
    </row>
    <row r="229" spans="1:16" x14ac:dyDescent="0.25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>
        <v>12</v>
      </c>
      <c r="J229" s="3">
        <v>33274.620000000003</v>
      </c>
      <c r="K229" s="2">
        <v>4.12</v>
      </c>
      <c r="L229" s="3">
        <v>382844.47</v>
      </c>
      <c r="M229">
        <v>46141</v>
      </c>
      <c r="N229" s="1" t="s">
        <v>24</v>
      </c>
      <c r="O229" s="1" t="s">
        <v>35</v>
      </c>
      <c r="P229" s="1" t="s">
        <v>53</v>
      </c>
    </row>
    <row r="230" spans="1:16" x14ac:dyDescent="0.25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>
        <v>3</v>
      </c>
      <c r="J230" s="3">
        <v>31016.28</v>
      </c>
      <c r="K230" s="2">
        <v>16.489999999999998</v>
      </c>
      <c r="L230" s="3">
        <v>77705.09</v>
      </c>
      <c r="M230">
        <v>46097</v>
      </c>
      <c r="N230" s="1" t="s">
        <v>113</v>
      </c>
      <c r="O230" s="1" t="s">
        <v>25</v>
      </c>
      <c r="P230" s="1" t="s">
        <v>36</v>
      </c>
    </row>
    <row r="231" spans="1:16" x14ac:dyDescent="0.25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>
        <v>12</v>
      </c>
      <c r="J231" s="3">
        <v>7716.76</v>
      </c>
      <c r="K231" s="2">
        <v>19.02</v>
      </c>
      <c r="L231" s="3">
        <v>74988.39</v>
      </c>
      <c r="M231">
        <v>46155</v>
      </c>
      <c r="N231" s="1" t="s">
        <v>58</v>
      </c>
      <c r="O231" s="1" t="s">
        <v>35</v>
      </c>
      <c r="P231" s="1" t="s">
        <v>26</v>
      </c>
    </row>
    <row r="232" spans="1:16" x14ac:dyDescent="0.25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>
        <v>30</v>
      </c>
      <c r="J232" s="3">
        <v>15643.09</v>
      </c>
      <c r="K232" s="2">
        <v>11.09</v>
      </c>
      <c r="L232" s="3">
        <v>417248.14</v>
      </c>
      <c r="M232">
        <v>46127</v>
      </c>
      <c r="N232" s="1" t="s">
        <v>24</v>
      </c>
      <c r="O232" s="1" t="s">
        <v>35</v>
      </c>
      <c r="P232" s="1" t="s">
        <v>26</v>
      </c>
    </row>
    <row r="233" spans="1:16" x14ac:dyDescent="0.25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>
        <v>22</v>
      </c>
      <c r="J233" s="3">
        <v>35581.589999999997</v>
      </c>
      <c r="K233" s="2">
        <v>12.64</v>
      </c>
      <c r="L233" s="3">
        <v>683849.69</v>
      </c>
      <c r="M233">
        <v>46188</v>
      </c>
      <c r="N233" s="1" t="s">
        <v>58</v>
      </c>
      <c r="O233" s="1" t="s">
        <v>35</v>
      </c>
      <c r="P233" s="1" t="s">
        <v>36</v>
      </c>
    </row>
    <row r="234" spans="1:16" x14ac:dyDescent="0.25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>
        <v>27</v>
      </c>
      <c r="J234" s="3">
        <v>43519.040000000001</v>
      </c>
      <c r="K234" s="2">
        <v>7.64</v>
      </c>
      <c r="L234" s="3">
        <v>1085243</v>
      </c>
      <c r="M234">
        <v>46363</v>
      </c>
      <c r="N234" s="1" t="s">
        <v>45</v>
      </c>
      <c r="O234" s="1" t="s">
        <v>35</v>
      </c>
      <c r="P234" s="1" t="s">
        <v>53</v>
      </c>
    </row>
    <row r="235" spans="1:16" x14ac:dyDescent="0.25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>
        <v>30</v>
      </c>
      <c r="J235" s="3">
        <v>8907.64</v>
      </c>
      <c r="K235" s="2">
        <v>8.2799999999999994</v>
      </c>
      <c r="L235" s="3">
        <v>245102.62</v>
      </c>
      <c r="M235">
        <v>46175</v>
      </c>
      <c r="N235" s="1" t="s">
        <v>68</v>
      </c>
      <c r="O235" s="1" t="s">
        <v>59</v>
      </c>
      <c r="P235" s="1" t="s">
        <v>36</v>
      </c>
    </row>
    <row r="236" spans="1:16" x14ac:dyDescent="0.25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>
        <v>27</v>
      </c>
      <c r="J236" s="3">
        <v>24922.61</v>
      </c>
      <c r="K236" s="2">
        <v>17.71</v>
      </c>
      <c r="L236" s="3">
        <v>553738.03</v>
      </c>
      <c r="M236">
        <v>46047</v>
      </c>
      <c r="N236" s="1" t="s">
        <v>68</v>
      </c>
      <c r="O236" s="1" t="s">
        <v>35</v>
      </c>
      <c r="P236" s="1" t="s">
        <v>26</v>
      </c>
    </row>
    <row r="237" spans="1:16" x14ac:dyDescent="0.25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>
        <v>33</v>
      </c>
      <c r="J237" s="3">
        <v>42201.37</v>
      </c>
      <c r="K237" s="2">
        <v>4.26</v>
      </c>
      <c r="L237" s="3">
        <v>1333318.52</v>
      </c>
      <c r="M237">
        <v>46252</v>
      </c>
      <c r="N237" s="1" t="s">
        <v>45</v>
      </c>
      <c r="O237" s="1" t="s">
        <v>35</v>
      </c>
      <c r="P237" s="1" t="s">
        <v>53</v>
      </c>
    </row>
    <row r="238" spans="1:16" x14ac:dyDescent="0.25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>
        <v>4</v>
      </c>
      <c r="J238" s="3">
        <v>31749.56</v>
      </c>
      <c r="K238" s="2">
        <v>15.76</v>
      </c>
      <c r="L238" s="3">
        <v>106983.32</v>
      </c>
      <c r="M238">
        <v>46328</v>
      </c>
      <c r="N238" s="1" t="s">
        <v>45</v>
      </c>
      <c r="O238" s="1" t="s">
        <v>35</v>
      </c>
      <c r="P238" s="1" t="s">
        <v>36</v>
      </c>
    </row>
    <row r="239" spans="1:16" x14ac:dyDescent="0.25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>
        <v>36</v>
      </c>
      <c r="J239" s="3">
        <v>14686.27</v>
      </c>
      <c r="K239" s="2">
        <v>3.05</v>
      </c>
      <c r="L239" s="3">
        <v>512580.2</v>
      </c>
      <c r="M239">
        <v>46370</v>
      </c>
      <c r="N239" s="1" t="s">
        <v>68</v>
      </c>
      <c r="O239" s="1" t="s">
        <v>25</v>
      </c>
      <c r="P239" s="1" t="s">
        <v>26</v>
      </c>
    </row>
    <row r="240" spans="1:16" x14ac:dyDescent="0.25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>
        <v>32</v>
      </c>
      <c r="J240" s="3">
        <v>7114.57</v>
      </c>
      <c r="K240" s="2">
        <v>1.91</v>
      </c>
      <c r="L240" s="3">
        <v>223317.81</v>
      </c>
      <c r="M240">
        <v>46294</v>
      </c>
      <c r="N240" s="1" t="s">
        <v>68</v>
      </c>
      <c r="O240" s="1" t="s">
        <v>35</v>
      </c>
      <c r="P240" s="1" t="s">
        <v>26</v>
      </c>
    </row>
    <row r="241" spans="1:16" x14ac:dyDescent="0.25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>
        <v>21</v>
      </c>
      <c r="J241" s="3">
        <v>44147.03</v>
      </c>
      <c r="K241" s="2">
        <v>7.16</v>
      </c>
      <c r="L241" s="3">
        <v>860708.16</v>
      </c>
      <c r="M241">
        <v>46123</v>
      </c>
      <c r="N241" s="1" t="s">
        <v>113</v>
      </c>
      <c r="O241" s="1" t="s">
        <v>59</v>
      </c>
      <c r="P241" s="1" t="s">
        <v>26</v>
      </c>
    </row>
    <row r="242" spans="1:16" x14ac:dyDescent="0.25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>
        <v>28</v>
      </c>
      <c r="J242" s="3">
        <v>915.06</v>
      </c>
      <c r="K242" s="2">
        <v>1.46</v>
      </c>
      <c r="L242" s="3">
        <v>25247.599999999999</v>
      </c>
      <c r="M242">
        <v>46031</v>
      </c>
      <c r="N242" s="1" t="s">
        <v>58</v>
      </c>
      <c r="O242" s="1" t="s">
        <v>35</v>
      </c>
      <c r="P242" s="1" t="s">
        <v>26</v>
      </c>
    </row>
    <row r="243" spans="1:16" x14ac:dyDescent="0.25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>
        <v>39</v>
      </c>
      <c r="J243" s="3">
        <v>9611.15</v>
      </c>
      <c r="K243" s="2">
        <v>4.05</v>
      </c>
      <c r="L243" s="3">
        <v>359654.04</v>
      </c>
      <c r="M243">
        <v>46081</v>
      </c>
      <c r="N243" s="1" t="s">
        <v>68</v>
      </c>
      <c r="O243" s="1" t="s">
        <v>25</v>
      </c>
      <c r="P243" s="1" t="s">
        <v>53</v>
      </c>
    </row>
    <row r="244" spans="1:16" x14ac:dyDescent="0.25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>
        <v>28</v>
      </c>
      <c r="J244" s="3">
        <v>12572.46</v>
      </c>
      <c r="K244" s="2">
        <v>6.71</v>
      </c>
      <c r="L244" s="3">
        <v>328407.74</v>
      </c>
      <c r="M244">
        <v>46280</v>
      </c>
      <c r="N244" s="1" t="s">
        <v>24</v>
      </c>
      <c r="O244" s="1" t="s">
        <v>25</v>
      </c>
      <c r="P244" s="1" t="s">
        <v>26</v>
      </c>
    </row>
    <row r="245" spans="1:16" x14ac:dyDescent="0.25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>
        <v>32</v>
      </c>
      <c r="J245" s="3">
        <v>1122.68</v>
      </c>
      <c r="K245" s="2">
        <v>7.59</v>
      </c>
      <c r="L245" s="3">
        <v>33198.99</v>
      </c>
      <c r="M245">
        <v>46314</v>
      </c>
      <c r="N245" s="1" t="s">
        <v>58</v>
      </c>
      <c r="O245" s="1" t="s">
        <v>35</v>
      </c>
      <c r="P245" s="1" t="s">
        <v>26</v>
      </c>
    </row>
    <row r="246" spans="1:16" x14ac:dyDescent="0.25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>
        <v>8</v>
      </c>
      <c r="J246" s="3">
        <v>1347.57</v>
      </c>
      <c r="K246" s="2">
        <v>11.62</v>
      </c>
      <c r="L246" s="3">
        <v>9527.86</v>
      </c>
      <c r="M246">
        <v>46103</v>
      </c>
      <c r="N246" s="1" t="s">
        <v>113</v>
      </c>
      <c r="O246" s="1" t="s">
        <v>25</v>
      </c>
      <c r="P246" s="1" t="s">
        <v>53</v>
      </c>
    </row>
    <row r="247" spans="1:16" x14ac:dyDescent="0.25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>
        <v>4</v>
      </c>
      <c r="J247" s="3">
        <v>42797.91</v>
      </c>
      <c r="K247" s="2">
        <v>19.18</v>
      </c>
      <c r="L247" s="3">
        <v>138357.07999999999</v>
      </c>
      <c r="M247">
        <v>46254</v>
      </c>
      <c r="N247" s="1" t="s">
        <v>113</v>
      </c>
      <c r="O247" s="1" t="s">
        <v>35</v>
      </c>
      <c r="P247" s="1" t="s">
        <v>36</v>
      </c>
    </row>
    <row r="248" spans="1:16" x14ac:dyDescent="0.25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>
        <v>27</v>
      </c>
      <c r="J248" s="3">
        <v>44201.53</v>
      </c>
      <c r="K248" s="2">
        <v>5.47</v>
      </c>
      <c r="L248" s="3">
        <v>1128160.07</v>
      </c>
      <c r="M248">
        <v>46364</v>
      </c>
      <c r="N248" s="1" t="s">
        <v>113</v>
      </c>
      <c r="O248" s="1" t="s">
        <v>35</v>
      </c>
      <c r="P248" s="1" t="s">
        <v>26</v>
      </c>
    </row>
    <row r="249" spans="1:16" x14ac:dyDescent="0.25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>
        <v>31</v>
      </c>
      <c r="J249" s="3">
        <v>38354.58</v>
      </c>
      <c r="K249" s="2">
        <v>5.26</v>
      </c>
      <c r="L249" s="3">
        <v>1126451</v>
      </c>
      <c r="M249">
        <v>46106</v>
      </c>
      <c r="N249" s="1" t="s">
        <v>113</v>
      </c>
      <c r="O249" s="1" t="s">
        <v>35</v>
      </c>
      <c r="P249" s="1" t="s">
        <v>53</v>
      </c>
    </row>
    <row r="250" spans="1:16" x14ac:dyDescent="0.25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>
        <v>44</v>
      </c>
      <c r="J250" s="3">
        <v>19617.990000000002</v>
      </c>
      <c r="K250" s="2">
        <v>7.9</v>
      </c>
      <c r="L250" s="3">
        <v>794999.43</v>
      </c>
      <c r="M250">
        <v>46197</v>
      </c>
      <c r="N250" s="1" t="s">
        <v>24</v>
      </c>
      <c r="O250" s="1" t="s">
        <v>35</v>
      </c>
      <c r="P250" s="1" t="s">
        <v>26</v>
      </c>
    </row>
    <row r="251" spans="1:16" x14ac:dyDescent="0.25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>
        <v>34</v>
      </c>
      <c r="J251" s="3">
        <v>27116.15</v>
      </c>
      <c r="K251" s="2">
        <v>12.29</v>
      </c>
      <c r="L251" s="3">
        <v>808641.56</v>
      </c>
      <c r="M251">
        <v>46031</v>
      </c>
      <c r="N251" s="1" t="s">
        <v>113</v>
      </c>
      <c r="O251" s="1" t="s">
        <v>35</v>
      </c>
      <c r="P251" s="1" t="s">
        <v>53</v>
      </c>
    </row>
    <row r="252" spans="1:16" x14ac:dyDescent="0.25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>
        <v>1</v>
      </c>
      <c r="J252" s="3">
        <v>40482.410000000003</v>
      </c>
      <c r="K252" s="2">
        <v>14.14</v>
      </c>
      <c r="L252" s="3">
        <v>34758.199999999997</v>
      </c>
      <c r="M252">
        <v>46047</v>
      </c>
      <c r="N252" s="1" t="s">
        <v>58</v>
      </c>
      <c r="O252" s="1" t="s">
        <v>35</v>
      </c>
      <c r="P252" s="1" t="s">
        <v>53</v>
      </c>
    </row>
    <row r="253" spans="1:16" x14ac:dyDescent="0.25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>
        <v>22</v>
      </c>
      <c r="J253" s="3">
        <v>30311.33</v>
      </c>
      <c r="K253" s="2">
        <v>10.14</v>
      </c>
      <c r="L253" s="3">
        <v>599230.75</v>
      </c>
      <c r="M253">
        <v>46272</v>
      </c>
      <c r="N253" s="1" t="s">
        <v>45</v>
      </c>
      <c r="O253" s="1" t="s">
        <v>35</v>
      </c>
      <c r="P253" s="1" t="s">
        <v>26</v>
      </c>
    </row>
    <row r="254" spans="1:16" x14ac:dyDescent="0.25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>
        <v>14</v>
      </c>
      <c r="J254" s="3">
        <v>24767.69</v>
      </c>
      <c r="K254" s="2">
        <v>10.28</v>
      </c>
      <c r="L254" s="3">
        <v>311102</v>
      </c>
      <c r="M254">
        <v>46373</v>
      </c>
      <c r="N254" s="1" t="s">
        <v>58</v>
      </c>
      <c r="O254" s="1" t="s">
        <v>35</v>
      </c>
      <c r="P254" s="1" t="s">
        <v>26</v>
      </c>
    </row>
    <row r="255" spans="1:16" x14ac:dyDescent="0.25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>
        <v>4</v>
      </c>
      <c r="J255" s="3">
        <v>5969.1</v>
      </c>
      <c r="K255" s="2">
        <v>11.97</v>
      </c>
      <c r="L255" s="3">
        <v>21018.39</v>
      </c>
      <c r="M255">
        <v>46215</v>
      </c>
      <c r="N255" s="1" t="s">
        <v>68</v>
      </c>
      <c r="O255" s="1" t="s">
        <v>25</v>
      </c>
      <c r="P255" s="1" t="s">
        <v>53</v>
      </c>
    </row>
    <row r="256" spans="1:16" x14ac:dyDescent="0.25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>
        <v>34</v>
      </c>
      <c r="J256" s="3">
        <v>46640.35</v>
      </c>
      <c r="K256" s="2">
        <v>5.16</v>
      </c>
      <c r="L256" s="3">
        <v>1503946.07</v>
      </c>
      <c r="M256">
        <v>46147</v>
      </c>
      <c r="N256" s="1" t="s">
        <v>24</v>
      </c>
      <c r="O256" s="1" t="s">
        <v>35</v>
      </c>
      <c r="P256" s="1" t="s">
        <v>26</v>
      </c>
    </row>
    <row r="257" spans="1:16" x14ac:dyDescent="0.25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>
        <v>25</v>
      </c>
      <c r="J257" s="3">
        <v>33581.4</v>
      </c>
      <c r="K257" s="2">
        <v>18.399999999999999</v>
      </c>
      <c r="L257" s="3">
        <v>685060.56</v>
      </c>
      <c r="M257">
        <v>46127</v>
      </c>
      <c r="N257" s="1" t="s">
        <v>45</v>
      </c>
      <c r="O257" s="1" t="s">
        <v>35</v>
      </c>
      <c r="P257" s="1" t="s">
        <v>36</v>
      </c>
    </row>
    <row r="258" spans="1:16" x14ac:dyDescent="0.25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>
        <v>40</v>
      </c>
      <c r="J258" s="3">
        <v>35197.599999999999</v>
      </c>
      <c r="K258" s="2">
        <v>18.77</v>
      </c>
      <c r="L258" s="3">
        <v>1143640.42</v>
      </c>
      <c r="M258">
        <v>46231</v>
      </c>
      <c r="N258" s="1" t="s">
        <v>68</v>
      </c>
      <c r="O258" s="1" t="s">
        <v>35</v>
      </c>
      <c r="P258" s="1" t="s">
        <v>26</v>
      </c>
    </row>
    <row r="259" spans="1:16" x14ac:dyDescent="0.25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>
        <v>32</v>
      </c>
      <c r="J259" s="3">
        <v>8277.81</v>
      </c>
      <c r="K259" s="2">
        <v>3.74</v>
      </c>
      <c r="L259" s="3">
        <v>254983.04000000001</v>
      </c>
      <c r="M259">
        <v>46042</v>
      </c>
      <c r="N259" s="1" t="s">
        <v>45</v>
      </c>
      <c r="O259" s="1" t="s">
        <v>35</v>
      </c>
      <c r="P259" s="1" t="s">
        <v>36</v>
      </c>
    </row>
    <row r="260" spans="1:16" x14ac:dyDescent="0.25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>
        <v>50</v>
      </c>
      <c r="J260" s="3">
        <v>2493.08</v>
      </c>
      <c r="K260" s="2">
        <v>8.8699999999999992</v>
      </c>
      <c r="L260" s="3">
        <v>113597.19</v>
      </c>
      <c r="M260">
        <v>46331</v>
      </c>
      <c r="N260" s="1" t="s">
        <v>58</v>
      </c>
      <c r="O260" s="1" t="s">
        <v>59</v>
      </c>
      <c r="P260" s="1" t="s">
        <v>53</v>
      </c>
    </row>
    <row r="261" spans="1:16" x14ac:dyDescent="0.25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>
        <v>11</v>
      </c>
      <c r="J261" s="3">
        <v>3614.58</v>
      </c>
      <c r="K261" s="2">
        <v>18.309999999999999</v>
      </c>
      <c r="L261" s="3">
        <v>32480.25</v>
      </c>
      <c r="M261">
        <v>46232</v>
      </c>
      <c r="N261" s="1" t="s">
        <v>113</v>
      </c>
      <c r="O261" s="1" t="s">
        <v>35</v>
      </c>
      <c r="P261" s="1" t="s">
        <v>26</v>
      </c>
    </row>
    <row r="262" spans="1:16" x14ac:dyDescent="0.25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>
        <v>38</v>
      </c>
      <c r="J262" s="3">
        <v>17592.61</v>
      </c>
      <c r="K262" s="2">
        <v>16.39</v>
      </c>
      <c r="L262" s="3">
        <v>558948.89</v>
      </c>
      <c r="M262">
        <v>46300</v>
      </c>
      <c r="N262" s="1" t="s">
        <v>24</v>
      </c>
      <c r="O262" s="1" t="s">
        <v>35</v>
      </c>
      <c r="P262" s="1" t="s">
        <v>36</v>
      </c>
    </row>
    <row r="263" spans="1:16" x14ac:dyDescent="0.25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>
        <v>38</v>
      </c>
      <c r="J263" s="3">
        <v>4387.5600000000004</v>
      </c>
      <c r="K263" s="2">
        <v>17.510000000000002</v>
      </c>
      <c r="L263" s="3">
        <v>137533.32999999999</v>
      </c>
      <c r="M263">
        <v>46234</v>
      </c>
      <c r="N263" s="1" t="s">
        <v>113</v>
      </c>
      <c r="O263" s="1" t="s">
        <v>25</v>
      </c>
      <c r="P263" s="1" t="s">
        <v>53</v>
      </c>
    </row>
    <row r="264" spans="1:16" x14ac:dyDescent="0.25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>
        <v>35</v>
      </c>
      <c r="J264" s="3">
        <v>4445.4399999999996</v>
      </c>
      <c r="K264" s="2">
        <v>1.83</v>
      </c>
      <c r="L264" s="3">
        <v>152743.1</v>
      </c>
      <c r="M264">
        <v>46035</v>
      </c>
      <c r="N264" s="1" t="s">
        <v>24</v>
      </c>
      <c r="O264" s="1" t="s">
        <v>35</v>
      </c>
      <c r="P264" s="1" t="s">
        <v>36</v>
      </c>
    </row>
    <row r="265" spans="1:16" x14ac:dyDescent="0.25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>
        <v>24</v>
      </c>
      <c r="J265" s="3">
        <v>31679.25</v>
      </c>
      <c r="K265" s="2">
        <v>14.26</v>
      </c>
      <c r="L265" s="3">
        <v>651882.93000000005</v>
      </c>
      <c r="M265">
        <v>46036</v>
      </c>
      <c r="N265" s="1" t="s">
        <v>24</v>
      </c>
      <c r="O265" s="1" t="s">
        <v>35</v>
      </c>
      <c r="P265" s="1" t="s">
        <v>36</v>
      </c>
    </row>
    <row r="266" spans="1:16" x14ac:dyDescent="0.25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>
        <v>7</v>
      </c>
      <c r="J266" s="3">
        <v>2246.11</v>
      </c>
      <c r="K266" s="2">
        <v>3.2</v>
      </c>
      <c r="L266" s="3">
        <v>15219.64</v>
      </c>
      <c r="M266">
        <v>46285</v>
      </c>
      <c r="N266" s="1" t="s">
        <v>68</v>
      </c>
      <c r="O266" s="1" t="s">
        <v>35</v>
      </c>
      <c r="P266" s="1" t="s">
        <v>26</v>
      </c>
    </row>
    <row r="267" spans="1:16" x14ac:dyDescent="0.25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>
        <v>8</v>
      </c>
      <c r="J267" s="3">
        <v>35288.79</v>
      </c>
      <c r="K267" s="2">
        <v>16.3</v>
      </c>
      <c r="L267" s="3">
        <v>236293.74</v>
      </c>
      <c r="M267">
        <v>46078</v>
      </c>
      <c r="N267" s="1" t="s">
        <v>58</v>
      </c>
      <c r="O267" s="1" t="s">
        <v>35</v>
      </c>
      <c r="P267" s="1" t="s">
        <v>53</v>
      </c>
    </row>
    <row r="268" spans="1:16" x14ac:dyDescent="0.25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>
        <v>20</v>
      </c>
      <c r="J268" s="3">
        <v>24211.79</v>
      </c>
      <c r="K268" s="2">
        <v>5.92</v>
      </c>
      <c r="L268" s="3">
        <v>455569.04</v>
      </c>
      <c r="M268">
        <v>46286</v>
      </c>
      <c r="N268" s="1" t="s">
        <v>24</v>
      </c>
      <c r="O268" s="1" t="s">
        <v>35</v>
      </c>
      <c r="P268" s="1" t="s">
        <v>26</v>
      </c>
    </row>
    <row r="269" spans="1:16" x14ac:dyDescent="0.25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>
        <v>3</v>
      </c>
      <c r="J269" s="3">
        <v>34411.97</v>
      </c>
      <c r="K269" s="2">
        <v>13.26</v>
      </c>
      <c r="L269" s="3">
        <v>89546.83</v>
      </c>
      <c r="M269">
        <v>46089</v>
      </c>
      <c r="N269" s="1" t="s">
        <v>45</v>
      </c>
      <c r="O269" s="1" t="s">
        <v>35</v>
      </c>
      <c r="P269" s="1" t="s">
        <v>36</v>
      </c>
    </row>
    <row r="270" spans="1:16" x14ac:dyDescent="0.25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>
        <v>48</v>
      </c>
      <c r="J270" s="3">
        <v>17334.53</v>
      </c>
      <c r="K270" s="2">
        <v>0.6</v>
      </c>
      <c r="L270" s="3">
        <v>827065.1</v>
      </c>
      <c r="M270">
        <v>46164</v>
      </c>
      <c r="N270" s="1" t="s">
        <v>68</v>
      </c>
      <c r="O270" s="1" t="s">
        <v>25</v>
      </c>
      <c r="P270" s="1" t="s">
        <v>26</v>
      </c>
    </row>
    <row r="271" spans="1:16" x14ac:dyDescent="0.25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>
        <v>32</v>
      </c>
      <c r="J271" s="3">
        <v>23181.03</v>
      </c>
      <c r="K271" s="2">
        <v>4.04</v>
      </c>
      <c r="L271" s="3">
        <v>711824.52</v>
      </c>
      <c r="M271">
        <v>46242</v>
      </c>
      <c r="N271" s="1" t="s">
        <v>68</v>
      </c>
      <c r="O271" s="1" t="s">
        <v>35</v>
      </c>
      <c r="P271" s="1" t="s">
        <v>36</v>
      </c>
    </row>
    <row r="272" spans="1:16" x14ac:dyDescent="0.25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>
        <v>18</v>
      </c>
      <c r="J272" s="3">
        <v>26910.45</v>
      </c>
      <c r="K272" s="2">
        <v>0.1</v>
      </c>
      <c r="L272" s="3">
        <v>483903.71</v>
      </c>
      <c r="M272">
        <v>46100</v>
      </c>
      <c r="N272" s="1" t="s">
        <v>45</v>
      </c>
      <c r="O272" s="1" t="s">
        <v>35</v>
      </c>
      <c r="P272" s="1" t="s">
        <v>36</v>
      </c>
    </row>
    <row r="273" spans="1:16" x14ac:dyDescent="0.25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>
        <v>25</v>
      </c>
      <c r="J273" s="3">
        <v>42446.07</v>
      </c>
      <c r="K273" s="2">
        <v>17.45</v>
      </c>
      <c r="L273" s="3">
        <v>875980.77</v>
      </c>
      <c r="M273">
        <v>46204</v>
      </c>
      <c r="N273" s="1" t="s">
        <v>24</v>
      </c>
      <c r="O273" s="1" t="s">
        <v>35</v>
      </c>
      <c r="P273" s="1" t="s">
        <v>53</v>
      </c>
    </row>
    <row r="274" spans="1:16" x14ac:dyDescent="0.25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>
        <v>31</v>
      </c>
      <c r="J274" s="3">
        <v>17298.27</v>
      </c>
      <c r="K274" s="2">
        <v>7.33</v>
      </c>
      <c r="L274" s="3">
        <v>496939.51</v>
      </c>
      <c r="M274">
        <v>46157</v>
      </c>
      <c r="N274" s="1" t="s">
        <v>113</v>
      </c>
      <c r="O274" s="1" t="s">
        <v>35</v>
      </c>
      <c r="P274" s="1" t="s">
        <v>26</v>
      </c>
    </row>
    <row r="275" spans="1:16" x14ac:dyDescent="0.25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>
        <v>4</v>
      </c>
      <c r="J275" s="3">
        <v>8400.68</v>
      </c>
      <c r="K275" s="2">
        <v>12.57</v>
      </c>
      <c r="L275" s="3">
        <v>29378.86</v>
      </c>
      <c r="M275">
        <v>46207</v>
      </c>
      <c r="N275" s="1" t="s">
        <v>68</v>
      </c>
      <c r="O275" s="1" t="s">
        <v>35</v>
      </c>
      <c r="P275" s="1" t="s">
        <v>53</v>
      </c>
    </row>
    <row r="276" spans="1:16" x14ac:dyDescent="0.25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>
        <v>45</v>
      </c>
      <c r="J276" s="3">
        <v>39632.83</v>
      </c>
      <c r="K276" s="2">
        <v>13.09</v>
      </c>
      <c r="L276" s="3">
        <v>1550020.16</v>
      </c>
      <c r="M276">
        <v>46323</v>
      </c>
      <c r="N276" s="1" t="s">
        <v>113</v>
      </c>
      <c r="O276" s="1" t="s">
        <v>35</v>
      </c>
      <c r="P276" s="1" t="s">
        <v>26</v>
      </c>
    </row>
    <row r="277" spans="1:16" x14ac:dyDescent="0.25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>
        <v>43</v>
      </c>
      <c r="J277" s="3">
        <v>22250.93</v>
      </c>
      <c r="K277" s="2">
        <v>9.3699999999999992</v>
      </c>
      <c r="L277" s="3">
        <v>867138.77</v>
      </c>
      <c r="M277">
        <v>46293</v>
      </c>
      <c r="N277" s="1" t="s">
        <v>113</v>
      </c>
      <c r="O277" s="1" t="s">
        <v>35</v>
      </c>
      <c r="P277" s="1" t="s">
        <v>36</v>
      </c>
    </row>
    <row r="278" spans="1:16" x14ac:dyDescent="0.25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>
        <v>7</v>
      </c>
      <c r="J278" s="3">
        <v>41433.78</v>
      </c>
      <c r="K278" s="2">
        <v>4.58</v>
      </c>
      <c r="L278" s="3">
        <v>276752.78999999998</v>
      </c>
      <c r="M278">
        <v>46222</v>
      </c>
      <c r="N278" s="1" t="s">
        <v>68</v>
      </c>
      <c r="O278" s="1" t="s">
        <v>35</v>
      </c>
      <c r="P278" s="1" t="s">
        <v>26</v>
      </c>
    </row>
    <row r="279" spans="1:16" x14ac:dyDescent="0.25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>
        <v>18</v>
      </c>
      <c r="J279" s="3">
        <v>45445.34</v>
      </c>
      <c r="K279" s="2">
        <v>15.15</v>
      </c>
      <c r="L279" s="3">
        <v>694086.68</v>
      </c>
      <c r="M279">
        <v>46354</v>
      </c>
      <c r="N279" s="1" t="s">
        <v>45</v>
      </c>
      <c r="O279" s="1" t="s">
        <v>35</v>
      </c>
      <c r="P279" s="1" t="s">
        <v>26</v>
      </c>
    </row>
    <row r="280" spans="1:16" x14ac:dyDescent="0.25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>
        <v>35</v>
      </c>
      <c r="J280" s="3">
        <v>39138.97</v>
      </c>
      <c r="K280" s="2">
        <v>12.97</v>
      </c>
      <c r="L280" s="3">
        <v>1192192.6000000001</v>
      </c>
      <c r="M280">
        <v>46243</v>
      </c>
      <c r="N280" s="1" t="s">
        <v>68</v>
      </c>
      <c r="O280" s="1" t="s">
        <v>35</v>
      </c>
      <c r="P280" s="1" t="s">
        <v>36</v>
      </c>
    </row>
    <row r="281" spans="1:16" x14ac:dyDescent="0.25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>
        <v>27</v>
      </c>
      <c r="J281" s="3">
        <v>21953.45</v>
      </c>
      <c r="K281" s="2">
        <v>15.31</v>
      </c>
      <c r="L281" s="3">
        <v>501994.17</v>
      </c>
      <c r="M281">
        <v>46197</v>
      </c>
      <c r="N281" s="1" t="s">
        <v>24</v>
      </c>
      <c r="O281" s="1" t="s">
        <v>35</v>
      </c>
      <c r="P281" s="1" t="s">
        <v>53</v>
      </c>
    </row>
    <row r="282" spans="1:16" x14ac:dyDescent="0.25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>
        <v>4</v>
      </c>
      <c r="J282" s="3">
        <v>3049.83</v>
      </c>
      <c r="K282" s="2">
        <v>15.64</v>
      </c>
      <c r="L282" s="3">
        <v>10291.35</v>
      </c>
      <c r="M282">
        <v>46308</v>
      </c>
      <c r="N282" s="1" t="s">
        <v>58</v>
      </c>
      <c r="O282" s="1" t="s">
        <v>35</v>
      </c>
      <c r="P282" s="1" t="s">
        <v>36</v>
      </c>
    </row>
    <row r="283" spans="1:16" x14ac:dyDescent="0.25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>
        <v>29</v>
      </c>
      <c r="J283" s="3">
        <v>28367.93</v>
      </c>
      <c r="K283" s="2">
        <v>0.84</v>
      </c>
      <c r="L283" s="3">
        <v>815759.54</v>
      </c>
      <c r="M283">
        <v>46143</v>
      </c>
      <c r="N283" s="1" t="s">
        <v>68</v>
      </c>
      <c r="O283" s="1" t="s">
        <v>35</v>
      </c>
      <c r="P283" s="1" t="s">
        <v>26</v>
      </c>
    </row>
    <row r="284" spans="1:16" x14ac:dyDescent="0.25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>
        <v>49</v>
      </c>
      <c r="J284" s="3">
        <v>7176.98</v>
      </c>
      <c r="K284" s="2">
        <v>18.53</v>
      </c>
      <c r="L284" s="3">
        <v>286507.19</v>
      </c>
      <c r="M284">
        <v>46323</v>
      </c>
      <c r="N284" s="1" t="s">
        <v>113</v>
      </c>
      <c r="O284" s="1" t="s">
        <v>25</v>
      </c>
      <c r="P284" s="1" t="s">
        <v>26</v>
      </c>
    </row>
    <row r="285" spans="1:16" x14ac:dyDescent="0.25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>
        <v>13</v>
      </c>
      <c r="J285" s="3">
        <v>41455.82</v>
      </c>
      <c r="K285" s="2">
        <v>12.69</v>
      </c>
      <c r="L285" s="3">
        <v>470535.99</v>
      </c>
      <c r="M285">
        <v>46270</v>
      </c>
      <c r="N285" s="1" t="s">
        <v>45</v>
      </c>
      <c r="O285" s="1" t="s">
        <v>35</v>
      </c>
      <c r="P285" s="1" t="s">
        <v>26</v>
      </c>
    </row>
    <row r="286" spans="1:16" x14ac:dyDescent="0.25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>
        <v>5</v>
      </c>
      <c r="J286" s="3">
        <v>28842.93</v>
      </c>
      <c r="K286" s="2">
        <v>5.1100000000000003</v>
      </c>
      <c r="L286" s="3">
        <v>136845.28</v>
      </c>
      <c r="M286">
        <v>46348</v>
      </c>
      <c r="N286" s="1" t="s">
        <v>68</v>
      </c>
      <c r="O286" s="1" t="s">
        <v>35</v>
      </c>
      <c r="P286" s="1" t="s">
        <v>36</v>
      </c>
    </row>
    <row r="287" spans="1:16" x14ac:dyDescent="0.25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>
        <v>11</v>
      </c>
      <c r="J287" s="3">
        <v>19321.849999999999</v>
      </c>
      <c r="K287" s="2">
        <v>11.79</v>
      </c>
      <c r="L287" s="3">
        <v>187481.84</v>
      </c>
      <c r="M287">
        <v>46035</v>
      </c>
      <c r="N287" s="1" t="s">
        <v>58</v>
      </c>
      <c r="O287" s="1" t="s">
        <v>35</v>
      </c>
      <c r="P287" s="1" t="s">
        <v>36</v>
      </c>
    </row>
    <row r="288" spans="1:16" x14ac:dyDescent="0.25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>
        <v>26</v>
      </c>
      <c r="J288" s="3">
        <v>12928.67</v>
      </c>
      <c r="K288" s="2">
        <v>15.31</v>
      </c>
      <c r="L288" s="3">
        <v>284681.56</v>
      </c>
      <c r="M288">
        <v>46375</v>
      </c>
      <c r="N288" s="1" t="s">
        <v>113</v>
      </c>
      <c r="O288" s="1" t="s">
        <v>35</v>
      </c>
      <c r="P288" s="1" t="s">
        <v>36</v>
      </c>
    </row>
    <row r="289" spans="1:16" x14ac:dyDescent="0.25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>
        <v>20</v>
      </c>
      <c r="J289" s="3">
        <v>24718.959999999999</v>
      </c>
      <c r="K289" s="2">
        <v>10.84</v>
      </c>
      <c r="L289" s="3">
        <v>440788.49</v>
      </c>
      <c r="M289">
        <v>46088</v>
      </c>
      <c r="N289" s="1" t="s">
        <v>113</v>
      </c>
      <c r="O289" s="1" t="s">
        <v>35</v>
      </c>
      <c r="P289" s="1" t="s">
        <v>36</v>
      </c>
    </row>
    <row r="290" spans="1:16" x14ac:dyDescent="0.25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>
        <v>18</v>
      </c>
      <c r="J290" s="3">
        <v>10888.35</v>
      </c>
      <c r="K290" s="2">
        <v>19.329999999999998</v>
      </c>
      <c r="L290" s="3">
        <v>158105.38</v>
      </c>
      <c r="M290">
        <v>46331</v>
      </c>
      <c r="N290" s="1" t="s">
        <v>58</v>
      </c>
      <c r="O290" s="1" t="s">
        <v>25</v>
      </c>
      <c r="P290" s="1" t="s">
        <v>36</v>
      </c>
    </row>
    <row r="291" spans="1:16" x14ac:dyDescent="0.25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>
        <v>19</v>
      </c>
      <c r="J291" s="3">
        <v>48586.51</v>
      </c>
      <c r="K291" s="2">
        <v>0.28000000000000003</v>
      </c>
      <c r="L291" s="3">
        <v>920558.89</v>
      </c>
      <c r="M291">
        <v>46368</v>
      </c>
      <c r="N291" s="1" t="s">
        <v>58</v>
      </c>
      <c r="O291" s="1" t="s">
        <v>35</v>
      </c>
      <c r="P291" s="1" t="s">
        <v>36</v>
      </c>
    </row>
    <row r="292" spans="1:16" x14ac:dyDescent="0.25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>
        <v>35</v>
      </c>
      <c r="J292" s="3">
        <v>7684.56</v>
      </c>
      <c r="K292" s="2">
        <v>16.739999999999998</v>
      </c>
      <c r="L292" s="3">
        <v>223935.76</v>
      </c>
      <c r="M292">
        <v>46226</v>
      </c>
      <c r="N292" s="1" t="s">
        <v>58</v>
      </c>
      <c r="O292" s="1" t="s">
        <v>35</v>
      </c>
      <c r="P292" s="1" t="s">
        <v>36</v>
      </c>
    </row>
    <row r="293" spans="1:16" x14ac:dyDescent="0.25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>
        <v>9</v>
      </c>
      <c r="J293" s="3">
        <v>41087.83</v>
      </c>
      <c r="K293" s="2">
        <v>9.52</v>
      </c>
      <c r="L293" s="3">
        <v>334586.42</v>
      </c>
      <c r="M293">
        <v>46049</v>
      </c>
      <c r="N293" s="1" t="s">
        <v>68</v>
      </c>
      <c r="O293" s="1" t="s">
        <v>59</v>
      </c>
      <c r="P293" s="1" t="s">
        <v>36</v>
      </c>
    </row>
    <row r="294" spans="1:16" x14ac:dyDescent="0.25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>
        <v>43</v>
      </c>
      <c r="J294" s="3">
        <v>21497.9</v>
      </c>
      <c r="K294" s="2">
        <v>5.31</v>
      </c>
      <c r="L294" s="3">
        <v>875323.54</v>
      </c>
      <c r="M294">
        <v>46121</v>
      </c>
      <c r="N294" s="1" t="s">
        <v>68</v>
      </c>
      <c r="O294" s="1" t="s">
        <v>25</v>
      </c>
      <c r="P294" s="1" t="s">
        <v>53</v>
      </c>
    </row>
    <row r="295" spans="1:16" x14ac:dyDescent="0.25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>
        <v>26</v>
      </c>
      <c r="J295" s="3">
        <v>47904.05</v>
      </c>
      <c r="K295" s="2">
        <v>5.21</v>
      </c>
      <c r="L295" s="3">
        <v>1180614.47</v>
      </c>
      <c r="M295">
        <v>46164</v>
      </c>
      <c r="N295" s="1" t="s">
        <v>24</v>
      </c>
      <c r="O295" s="1" t="s">
        <v>35</v>
      </c>
      <c r="P295" s="1" t="s">
        <v>36</v>
      </c>
    </row>
    <row r="296" spans="1:16" x14ac:dyDescent="0.25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>
        <v>25</v>
      </c>
      <c r="J296" s="3">
        <v>27282.7</v>
      </c>
      <c r="K296" s="2">
        <v>18.829999999999998</v>
      </c>
      <c r="L296" s="3">
        <v>553634.18999999994</v>
      </c>
      <c r="M296">
        <v>46146</v>
      </c>
      <c r="N296" s="1" t="s">
        <v>45</v>
      </c>
      <c r="O296" s="1" t="s">
        <v>35</v>
      </c>
      <c r="P296" s="1" t="s">
        <v>26</v>
      </c>
    </row>
    <row r="297" spans="1:16" x14ac:dyDescent="0.25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>
        <v>32</v>
      </c>
      <c r="J297" s="3">
        <v>35266.9</v>
      </c>
      <c r="K297" s="2">
        <v>7.58</v>
      </c>
      <c r="L297" s="3">
        <v>1042997.41</v>
      </c>
      <c r="M297">
        <v>46039</v>
      </c>
      <c r="N297" s="1" t="s">
        <v>58</v>
      </c>
      <c r="O297" s="1" t="s">
        <v>35</v>
      </c>
      <c r="P297" s="1" t="s">
        <v>36</v>
      </c>
    </row>
    <row r="298" spans="1:16" x14ac:dyDescent="0.25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>
        <v>11</v>
      </c>
      <c r="J298" s="3">
        <v>48686.92</v>
      </c>
      <c r="K298" s="2">
        <v>7.25</v>
      </c>
      <c r="L298" s="3">
        <v>496728.3</v>
      </c>
      <c r="M298">
        <v>46086</v>
      </c>
      <c r="N298" s="1" t="s">
        <v>58</v>
      </c>
      <c r="O298" s="1" t="s">
        <v>35</v>
      </c>
      <c r="P298" s="1" t="s">
        <v>53</v>
      </c>
    </row>
    <row r="299" spans="1:16" x14ac:dyDescent="0.25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>
        <v>42</v>
      </c>
      <c r="J299" s="3">
        <v>13740.75</v>
      </c>
      <c r="K299" s="2">
        <v>3.96</v>
      </c>
      <c r="L299" s="3">
        <v>554257.88</v>
      </c>
      <c r="M299">
        <v>46145</v>
      </c>
      <c r="N299" s="1" t="s">
        <v>58</v>
      </c>
      <c r="O299" s="1" t="s">
        <v>35</v>
      </c>
      <c r="P299" s="1" t="s">
        <v>36</v>
      </c>
    </row>
    <row r="300" spans="1:16" x14ac:dyDescent="0.25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>
        <v>37</v>
      </c>
      <c r="J300" s="3">
        <v>34487.06</v>
      </c>
      <c r="K300" s="2">
        <v>17.11</v>
      </c>
      <c r="L300" s="3">
        <v>1057693.99</v>
      </c>
      <c r="M300">
        <v>46348</v>
      </c>
      <c r="N300" s="1" t="s">
        <v>45</v>
      </c>
      <c r="O300" s="1" t="s">
        <v>35</v>
      </c>
      <c r="P300" s="1" t="s">
        <v>53</v>
      </c>
    </row>
    <row r="301" spans="1:16" x14ac:dyDescent="0.25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>
        <v>39</v>
      </c>
      <c r="J301" s="3">
        <v>42809.279999999999</v>
      </c>
      <c r="K301" s="2">
        <v>10.87</v>
      </c>
      <c r="L301" s="3">
        <v>1488080.54</v>
      </c>
      <c r="M301">
        <v>46173</v>
      </c>
      <c r="N301" s="1" t="s">
        <v>24</v>
      </c>
      <c r="O301" s="1" t="s">
        <v>35</v>
      </c>
      <c r="P301" s="1" t="s">
        <v>26</v>
      </c>
    </row>
    <row r="302" spans="1:16" x14ac:dyDescent="0.25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>
        <v>19</v>
      </c>
      <c r="J302" s="3">
        <v>24310.91</v>
      </c>
      <c r="K302" s="2">
        <v>17.5</v>
      </c>
      <c r="L302" s="3">
        <v>381073.51</v>
      </c>
      <c r="M302">
        <v>46333</v>
      </c>
      <c r="N302" s="1" t="s">
        <v>58</v>
      </c>
      <c r="O302" s="1" t="s">
        <v>35</v>
      </c>
      <c r="P302" s="1" t="s">
        <v>36</v>
      </c>
    </row>
    <row r="303" spans="1:16" x14ac:dyDescent="0.25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>
        <v>50</v>
      </c>
      <c r="J303" s="3">
        <v>797.29</v>
      </c>
      <c r="K303" s="2">
        <v>7.13</v>
      </c>
      <c r="L303" s="3">
        <v>37022.160000000003</v>
      </c>
      <c r="M303">
        <v>46170</v>
      </c>
      <c r="N303" s="1" t="s">
        <v>45</v>
      </c>
      <c r="O303" s="1" t="s">
        <v>35</v>
      </c>
      <c r="P303" s="1" t="s">
        <v>36</v>
      </c>
    </row>
    <row r="304" spans="1:16" x14ac:dyDescent="0.25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>
        <v>32</v>
      </c>
      <c r="J304" s="3">
        <v>22029.74</v>
      </c>
      <c r="K304" s="2">
        <v>4.43</v>
      </c>
      <c r="L304" s="3">
        <v>673722.32</v>
      </c>
      <c r="M304">
        <v>46154</v>
      </c>
      <c r="N304" s="1" t="s">
        <v>113</v>
      </c>
      <c r="O304" s="1" t="s">
        <v>35</v>
      </c>
      <c r="P304" s="1" t="s">
        <v>36</v>
      </c>
    </row>
    <row r="305" spans="1:16" x14ac:dyDescent="0.25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>
        <v>38</v>
      </c>
      <c r="J305" s="3">
        <v>4442.12</v>
      </c>
      <c r="K305" s="2">
        <v>0.08</v>
      </c>
      <c r="L305" s="3">
        <v>168665.52</v>
      </c>
      <c r="M305">
        <v>46049</v>
      </c>
      <c r="N305" s="1" t="s">
        <v>24</v>
      </c>
      <c r="O305" s="1" t="s">
        <v>35</v>
      </c>
      <c r="P305" s="1" t="s">
        <v>53</v>
      </c>
    </row>
    <row r="306" spans="1:16" x14ac:dyDescent="0.25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>
        <v>13</v>
      </c>
      <c r="J306" s="3">
        <v>24140.02</v>
      </c>
      <c r="K306" s="2">
        <v>19.920000000000002</v>
      </c>
      <c r="L306" s="3">
        <v>251307.26</v>
      </c>
      <c r="M306">
        <v>46127</v>
      </c>
      <c r="N306" s="1" t="s">
        <v>24</v>
      </c>
      <c r="O306" s="1" t="s">
        <v>59</v>
      </c>
      <c r="P306" s="1" t="s">
        <v>53</v>
      </c>
    </row>
    <row r="307" spans="1:16" x14ac:dyDescent="0.25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>
        <v>34</v>
      </c>
      <c r="J307" s="3">
        <v>9774.17</v>
      </c>
      <c r="K307" s="2">
        <v>4.5</v>
      </c>
      <c r="L307" s="3">
        <v>317367.3</v>
      </c>
      <c r="M307">
        <v>46364</v>
      </c>
      <c r="N307" s="1" t="s">
        <v>58</v>
      </c>
      <c r="O307" s="1" t="s">
        <v>35</v>
      </c>
      <c r="P307" s="1" t="s">
        <v>36</v>
      </c>
    </row>
    <row r="308" spans="1:16" x14ac:dyDescent="0.25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>
        <v>21</v>
      </c>
      <c r="J308" s="3">
        <v>15848.47</v>
      </c>
      <c r="K308" s="2">
        <v>14.34</v>
      </c>
      <c r="L308" s="3">
        <v>285091.78999999998</v>
      </c>
      <c r="M308">
        <v>46127</v>
      </c>
      <c r="N308" s="1" t="s">
        <v>24</v>
      </c>
      <c r="O308" s="1" t="s">
        <v>59</v>
      </c>
      <c r="P308" s="1" t="s">
        <v>36</v>
      </c>
    </row>
    <row r="309" spans="1:16" x14ac:dyDescent="0.25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>
        <v>3</v>
      </c>
      <c r="J309" s="3">
        <v>5869.66</v>
      </c>
      <c r="K309" s="2">
        <v>14.07</v>
      </c>
      <c r="L309" s="3">
        <v>15131.4</v>
      </c>
      <c r="M309">
        <v>46202</v>
      </c>
      <c r="N309" s="1" t="s">
        <v>45</v>
      </c>
      <c r="O309" s="1" t="s">
        <v>35</v>
      </c>
      <c r="P309" s="1" t="s">
        <v>53</v>
      </c>
    </row>
    <row r="310" spans="1:16" x14ac:dyDescent="0.25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>
        <v>6</v>
      </c>
      <c r="J310" s="3">
        <v>28405.119999999999</v>
      </c>
      <c r="K310" s="2">
        <v>15.19</v>
      </c>
      <c r="L310" s="3">
        <v>144542.29</v>
      </c>
      <c r="M310">
        <v>46291</v>
      </c>
      <c r="N310" s="1" t="s">
        <v>68</v>
      </c>
      <c r="O310" s="1" t="s">
        <v>25</v>
      </c>
      <c r="P310" s="1" t="s">
        <v>53</v>
      </c>
    </row>
    <row r="311" spans="1:16" x14ac:dyDescent="0.25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>
        <v>3</v>
      </c>
      <c r="J311" s="3">
        <v>31766.86</v>
      </c>
      <c r="K311" s="2">
        <v>0.15</v>
      </c>
      <c r="L311" s="3">
        <v>95157.63</v>
      </c>
      <c r="M311">
        <v>46132</v>
      </c>
      <c r="N311" s="1" t="s">
        <v>68</v>
      </c>
      <c r="O311" s="1" t="s">
        <v>35</v>
      </c>
      <c r="P311" s="1" t="s">
        <v>36</v>
      </c>
    </row>
    <row r="312" spans="1:16" x14ac:dyDescent="0.25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>
        <v>38</v>
      </c>
      <c r="J312" s="3">
        <v>47620.31</v>
      </c>
      <c r="K312" s="2">
        <v>13.96</v>
      </c>
      <c r="L312" s="3">
        <v>1556955.56</v>
      </c>
      <c r="M312">
        <v>46292</v>
      </c>
      <c r="N312" s="1" t="s">
        <v>68</v>
      </c>
      <c r="O312" s="1" t="s">
        <v>35</v>
      </c>
      <c r="P312" s="1" t="s">
        <v>53</v>
      </c>
    </row>
    <row r="313" spans="1:16" x14ac:dyDescent="0.25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>
        <v>4</v>
      </c>
      <c r="J313" s="3">
        <v>29680.66</v>
      </c>
      <c r="K313" s="2">
        <v>8.8000000000000007</v>
      </c>
      <c r="L313" s="3">
        <v>108275.05</v>
      </c>
      <c r="M313">
        <v>46069</v>
      </c>
      <c r="N313" s="1" t="s">
        <v>45</v>
      </c>
      <c r="O313" s="1" t="s">
        <v>25</v>
      </c>
      <c r="P313" s="1" t="s">
        <v>26</v>
      </c>
    </row>
    <row r="314" spans="1:16" x14ac:dyDescent="0.25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>
        <v>34</v>
      </c>
      <c r="J314" s="3">
        <v>4992.13</v>
      </c>
      <c r="K314" s="2">
        <v>2.64</v>
      </c>
      <c r="L314" s="3">
        <v>165251.48000000001</v>
      </c>
      <c r="M314">
        <v>46335</v>
      </c>
      <c r="N314" s="1" t="s">
        <v>45</v>
      </c>
      <c r="O314" s="1" t="s">
        <v>25</v>
      </c>
      <c r="P314" s="1" t="s">
        <v>53</v>
      </c>
    </row>
    <row r="315" spans="1:16" x14ac:dyDescent="0.25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>
        <v>33</v>
      </c>
      <c r="J315" s="3">
        <v>9742.7099999999991</v>
      </c>
      <c r="K315" s="2">
        <v>14.91</v>
      </c>
      <c r="L315" s="3">
        <v>273572.37</v>
      </c>
      <c r="M315">
        <v>46354</v>
      </c>
      <c r="N315" s="1" t="s">
        <v>24</v>
      </c>
      <c r="O315" s="1" t="s">
        <v>59</v>
      </c>
      <c r="P315" s="1" t="s">
        <v>53</v>
      </c>
    </row>
    <row r="316" spans="1:16" x14ac:dyDescent="0.25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>
        <v>43</v>
      </c>
      <c r="J316" s="3">
        <v>40039.75</v>
      </c>
      <c r="K316" s="2">
        <v>6.72</v>
      </c>
      <c r="L316" s="3">
        <v>1606010.39</v>
      </c>
      <c r="M316">
        <v>46166</v>
      </c>
      <c r="N316" s="1" t="s">
        <v>45</v>
      </c>
      <c r="O316" s="1" t="s">
        <v>35</v>
      </c>
      <c r="P316" s="1" t="s">
        <v>53</v>
      </c>
    </row>
    <row r="317" spans="1:16" x14ac:dyDescent="0.25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>
        <v>42</v>
      </c>
      <c r="J317" s="3">
        <v>34076.410000000003</v>
      </c>
      <c r="K317" s="2">
        <v>6.9</v>
      </c>
      <c r="L317" s="3">
        <v>1332455.78</v>
      </c>
      <c r="M317">
        <v>46353</v>
      </c>
      <c r="N317" s="1" t="s">
        <v>68</v>
      </c>
      <c r="O317" s="1" t="s">
        <v>35</v>
      </c>
      <c r="P317" s="1" t="s">
        <v>53</v>
      </c>
    </row>
    <row r="318" spans="1:16" x14ac:dyDescent="0.25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>
        <v>31</v>
      </c>
      <c r="J318" s="3">
        <v>40255.82</v>
      </c>
      <c r="K318" s="2">
        <v>1.24</v>
      </c>
      <c r="L318" s="3">
        <v>1232456.08</v>
      </c>
      <c r="M318">
        <v>46324</v>
      </c>
      <c r="N318" s="1" t="s">
        <v>68</v>
      </c>
      <c r="O318" s="1" t="s">
        <v>35</v>
      </c>
      <c r="P318" s="1" t="s">
        <v>53</v>
      </c>
    </row>
    <row r="319" spans="1:16" x14ac:dyDescent="0.25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>
        <v>37</v>
      </c>
      <c r="J319" s="3">
        <v>27370.58</v>
      </c>
      <c r="K319" s="2">
        <v>16.18</v>
      </c>
      <c r="L319" s="3">
        <v>848854.75</v>
      </c>
      <c r="M319">
        <v>46056</v>
      </c>
      <c r="N319" s="1" t="s">
        <v>24</v>
      </c>
      <c r="O319" s="1" t="s">
        <v>59</v>
      </c>
      <c r="P319" s="1" t="s">
        <v>26</v>
      </c>
    </row>
    <row r="320" spans="1:16" x14ac:dyDescent="0.25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>
        <v>31</v>
      </c>
      <c r="J320" s="3">
        <v>29673.57</v>
      </c>
      <c r="K320" s="2">
        <v>12.41</v>
      </c>
      <c r="L320" s="3">
        <v>805723.48</v>
      </c>
      <c r="M320">
        <v>46311</v>
      </c>
      <c r="N320" s="1" t="s">
        <v>45</v>
      </c>
      <c r="O320" s="1" t="s">
        <v>35</v>
      </c>
      <c r="P320" s="1" t="s">
        <v>36</v>
      </c>
    </row>
    <row r="321" spans="1:16" x14ac:dyDescent="0.25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>
        <v>24</v>
      </c>
      <c r="J321" s="3">
        <v>36264.89</v>
      </c>
      <c r="K321" s="2">
        <v>19.77</v>
      </c>
      <c r="L321" s="3">
        <v>698287.71</v>
      </c>
      <c r="M321">
        <v>46299</v>
      </c>
      <c r="N321" s="1" t="s">
        <v>24</v>
      </c>
      <c r="O321" s="1" t="s">
        <v>35</v>
      </c>
      <c r="P321" s="1" t="s">
        <v>53</v>
      </c>
    </row>
    <row r="322" spans="1:16" x14ac:dyDescent="0.25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>
        <v>24</v>
      </c>
      <c r="J322" s="3">
        <v>20377.169999999998</v>
      </c>
      <c r="K322" s="2">
        <v>8.36</v>
      </c>
      <c r="L322" s="3">
        <v>448167.33</v>
      </c>
      <c r="M322">
        <v>46057</v>
      </c>
      <c r="N322" s="1" t="s">
        <v>68</v>
      </c>
      <c r="O322" s="1" t="s">
        <v>35</v>
      </c>
      <c r="P322" s="1" t="s">
        <v>26</v>
      </c>
    </row>
    <row r="323" spans="1:16" x14ac:dyDescent="0.25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>
        <v>25</v>
      </c>
      <c r="J323" s="3">
        <v>18855.419999999998</v>
      </c>
      <c r="K323" s="2">
        <v>1.63</v>
      </c>
      <c r="L323" s="3">
        <v>463701.92</v>
      </c>
      <c r="M323">
        <v>46374</v>
      </c>
      <c r="N323" s="1" t="s">
        <v>113</v>
      </c>
      <c r="O323" s="1" t="s">
        <v>25</v>
      </c>
      <c r="P323" s="1" t="s">
        <v>26</v>
      </c>
    </row>
    <row r="324" spans="1:16" x14ac:dyDescent="0.25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>
        <v>43</v>
      </c>
      <c r="J324" s="3">
        <v>47187.97</v>
      </c>
      <c r="K324" s="2">
        <v>12.71</v>
      </c>
      <c r="L324" s="3">
        <v>1771186.3</v>
      </c>
      <c r="M324">
        <v>46036</v>
      </c>
      <c r="N324" s="1" t="s">
        <v>45</v>
      </c>
      <c r="O324" s="1" t="s">
        <v>35</v>
      </c>
      <c r="P324" s="1" t="s">
        <v>26</v>
      </c>
    </row>
    <row r="325" spans="1:16" x14ac:dyDescent="0.25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>
        <v>45</v>
      </c>
      <c r="J325" s="3">
        <v>39696.050000000003</v>
      </c>
      <c r="K325" s="2">
        <v>12.33</v>
      </c>
      <c r="L325" s="3">
        <v>1566068.72</v>
      </c>
      <c r="M325">
        <v>46077</v>
      </c>
      <c r="N325" s="1" t="s">
        <v>68</v>
      </c>
      <c r="O325" s="1" t="s">
        <v>35</v>
      </c>
      <c r="P325" s="1" t="s">
        <v>36</v>
      </c>
    </row>
    <row r="326" spans="1:16" x14ac:dyDescent="0.25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>
        <v>33</v>
      </c>
      <c r="J326" s="3">
        <v>12914.17</v>
      </c>
      <c r="K326" s="2">
        <v>4</v>
      </c>
      <c r="L326" s="3">
        <v>409120.91</v>
      </c>
      <c r="M326">
        <v>46077</v>
      </c>
      <c r="N326" s="1" t="s">
        <v>24</v>
      </c>
      <c r="O326" s="1" t="s">
        <v>35</v>
      </c>
      <c r="P326" s="1" t="s">
        <v>26</v>
      </c>
    </row>
    <row r="327" spans="1:16" x14ac:dyDescent="0.25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>
        <v>12</v>
      </c>
      <c r="J327" s="3">
        <v>36810.559999999998</v>
      </c>
      <c r="K327" s="2">
        <v>18.68</v>
      </c>
      <c r="L327" s="3">
        <v>359212.17</v>
      </c>
      <c r="M327">
        <v>46201</v>
      </c>
      <c r="N327" s="1" t="s">
        <v>58</v>
      </c>
      <c r="O327" s="1" t="s">
        <v>35</v>
      </c>
      <c r="P327" s="1" t="s">
        <v>36</v>
      </c>
    </row>
    <row r="328" spans="1:16" x14ac:dyDescent="0.25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>
        <v>41</v>
      </c>
      <c r="J328" s="3">
        <v>21221.64</v>
      </c>
      <c r="K328" s="2">
        <v>15.38</v>
      </c>
      <c r="L328" s="3">
        <v>736267.82</v>
      </c>
      <c r="M328">
        <v>46076</v>
      </c>
      <c r="N328" s="1" t="s">
        <v>45</v>
      </c>
      <c r="O328" s="1" t="s">
        <v>25</v>
      </c>
      <c r="P328" s="1" t="s">
        <v>53</v>
      </c>
    </row>
    <row r="329" spans="1:16" x14ac:dyDescent="0.25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>
        <v>45</v>
      </c>
      <c r="J329" s="3">
        <v>15964.28</v>
      </c>
      <c r="K329" s="2">
        <v>4.62</v>
      </c>
      <c r="L329" s="3">
        <v>685202.86</v>
      </c>
      <c r="M329">
        <v>46364</v>
      </c>
      <c r="N329" s="1" t="s">
        <v>45</v>
      </c>
      <c r="O329" s="1" t="s">
        <v>35</v>
      </c>
      <c r="P329" s="1" t="s">
        <v>26</v>
      </c>
    </row>
    <row r="330" spans="1:16" x14ac:dyDescent="0.25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>
        <v>4</v>
      </c>
      <c r="J330" s="3">
        <v>39878.35</v>
      </c>
      <c r="K330" s="2">
        <v>17.03</v>
      </c>
      <c r="L330" s="3">
        <v>132348.26999999999</v>
      </c>
      <c r="M330">
        <v>46382</v>
      </c>
      <c r="N330" s="1" t="s">
        <v>58</v>
      </c>
      <c r="O330" s="1" t="s">
        <v>35</v>
      </c>
      <c r="P330" s="1" t="s">
        <v>26</v>
      </c>
    </row>
    <row r="331" spans="1:16" x14ac:dyDescent="0.25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>
        <v>10</v>
      </c>
      <c r="J331" s="3">
        <v>7206.95</v>
      </c>
      <c r="K331" s="2">
        <v>5.57</v>
      </c>
      <c r="L331" s="3">
        <v>68055.23</v>
      </c>
      <c r="M331">
        <v>46245</v>
      </c>
      <c r="N331" s="1" t="s">
        <v>58</v>
      </c>
      <c r="O331" s="1" t="s">
        <v>35</v>
      </c>
      <c r="P331" s="1" t="s">
        <v>26</v>
      </c>
    </row>
    <row r="332" spans="1:16" x14ac:dyDescent="0.25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>
        <v>15</v>
      </c>
      <c r="J332" s="3">
        <v>43766.95</v>
      </c>
      <c r="K332" s="2">
        <v>16.45</v>
      </c>
      <c r="L332" s="3">
        <v>548509.30000000005</v>
      </c>
      <c r="M332">
        <v>46080</v>
      </c>
      <c r="N332" s="1" t="s">
        <v>24</v>
      </c>
      <c r="O332" s="1" t="s">
        <v>35</v>
      </c>
      <c r="P332" s="1" t="s">
        <v>26</v>
      </c>
    </row>
    <row r="333" spans="1:16" x14ac:dyDescent="0.25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>
        <v>19</v>
      </c>
      <c r="J333" s="3">
        <v>12964.84</v>
      </c>
      <c r="K333" s="2">
        <v>3.74</v>
      </c>
      <c r="L333" s="3">
        <v>237119.14</v>
      </c>
      <c r="M333">
        <v>46329</v>
      </c>
      <c r="N333" s="1" t="s">
        <v>45</v>
      </c>
      <c r="O333" s="1" t="s">
        <v>35</v>
      </c>
      <c r="P333" s="1" t="s">
        <v>53</v>
      </c>
    </row>
    <row r="334" spans="1:16" x14ac:dyDescent="0.25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>
        <v>14</v>
      </c>
      <c r="J334" s="3">
        <v>26986.080000000002</v>
      </c>
      <c r="K334" s="2">
        <v>3.11</v>
      </c>
      <c r="L334" s="3">
        <v>366055.38</v>
      </c>
      <c r="M334">
        <v>46088</v>
      </c>
      <c r="N334" s="1" t="s">
        <v>113</v>
      </c>
      <c r="O334" s="1" t="s">
        <v>59</v>
      </c>
      <c r="P334" s="1" t="s">
        <v>53</v>
      </c>
    </row>
    <row r="335" spans="1:16" x14ac:dyDescent="0.25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>
        <v>40</v>
      </c>
      <c r="J335" s="3">
        <v>11676.05</v>
      </c>
      <c r="K335" s="2">
        <v>12.16</v>
      </c>
      <c r="L335" s="3">
        <v>410249.69</v>
      </c>
      <c r="M335">
        <v>46201</v>
      </c>
      <c r="N335" s="1" t="s">
        <v>68</v>
      </c>
      <c r="O335" s="1" t="s">
        <v>35</v>
      </c>
      <c r="P335" s="1" t="s">
        <v>26</v>
      </c>
    </row>
    <row r="336" spans="1:16" x14ac:dyDescent="0.25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>
        <v>8</v>
      </c>
      <c r="J336" s="3">
        <v>5263.1</v>
      </c>
      <c r="K336" s="2">
        <v>10.52</v>
      </c>
      <c r="L336" s="3">
        <v>37675.379999999997</v>
      </c>
      <c r="M336">
        <v>46095</v>
      </c>
      <c r="N336" s="1" t="s">
        <v>113</v>
      </c>
      <c r="O336" s="1" t="s">
        <v>35</v>
      </c>
      <c r="P336" s="1" t="s">
        <v>36</v>
      </c>
    </row>
    <row r="337" spans="1:16" x14ac:dyDescent="0.25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>
        <v>49</v>
      </c>
      <c r="J337" s="3">
        <v>9599.68</v>
      </c>
      <c r="K337" s="2">
        <v>13.82</v>
      </c>
      <c r="L337" s="3">
        <v>405377.21</v>
      </c>
      <c r="M337">
        <v>46080</v>
      </c>
      <c r="N337" s="1" t="s">
        <v>58</v>
      </c>
      <c r="O337" s="1" t="s">
        <v>35</v>
      </c>
      <c r="P337" s="1" t="s">
        <v>53</v>
      </c>
    </row>
    <row r="338" spans="1:16" x14ac:dyDescent="0.25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>
        <v>21</v>
      </c>
      <c r="J338" s="3">
        <v>21554.01</v>
      </c>
      <c r="K338" s="2">
        <v>3.61</v>
      </c>
      <c r="L338" s="3">
        <v>436294.12</v>
      </c>
      <c r="M338">
        <v>46187</v>
      </c>
      <c r="N338" s="1" t="s">
        <v>45</v>
      </c>
      <c r="O338" s="1" t="s">
        <v>35</v>
      </c>
      <c r="P338" s="1" t="s">
        <v>36</v>
      </c>
    </row>
    <row r="339" spans="1:16" x14ac:dyDescent="0.25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>
        <v>36</v>
      </c>
      <c r="J339" s="3">
        <v>3359.24</v>
      </c>
      <c r="K339" s="2">
        <v>1.1100000000000001</v>
      </c>
      <c r="L339" s="3">
        <v>119590.29</v>
      </c>
      <c r="M339">
        <v>46318</v>
      </c>
      <c r="N339" s="1" t="s">
        <v>113</v>
      </c>
      <c r="O339" s="1" t="s">
        <v>35</v>
      </c>
      <c r="P339" s="1" t="s">
        <v>36</v>
      </c>
    </row>
    <row r="340" spans="1:16" x14ac:dyDescent="0.25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>
        <v>23</v>
      </c>
      <c r="J340" s="3">
        <v>14343.18</v>
      </c>
      <c r="K340" s="2">
        <v>16.79</v>
      </c>
      <c r="L340" s="3">
        <v>274504.08</v>
      </c>
      <c r="M340">
        <v>46344</v>
      </c>
      <c r="N340" s="1" t="s">
        <v>113</v>
      </c>
      <c r="O340" s="1" t="s">
        <v>35</v>
      </c>
      <c r="P340" s="1" t="s">
        <v>53</v>
      </c>
    </row>
    <row r="341" spans="1:16" x14ac:dyDescent="0.25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>
        <v>34</v>
      </c>
      <c r="J341" s="3">
        <v>40017.919999999998</v>
      </c>
      <c r="K341" s="2">
        <v>7.48</v>
      </c>
      <c r="L341" s="3">
        <v>1258835.71</v>
      </c>
      <c r="M341">
        <v>46305</v>
      </c>
      <c r="N341" s="1" t="s">
        <v>45</v>
      </c>
      <c r="O341" s="1" t="s">
        <v>35</v>
      </c>
      <c r="P341" s="1" t="s">
        <v>36</v>
      </c>
    </row>
    <row r="342" spans="1:16" x14ac:dyDescent="0.25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>
        <v>36</v>
      </c>
      <c r="J342" s="3">
        <v>10471.530000000001</v>
      </c>
      <c r="K342" s="2">
        <v>11.32</v>
      </c>
      <c r="L342" s="3">
        <v>334301.5</v>
      </c>
      <c r="M342">
        <v>46278</v>
      </c>
      <c r="N342" s="1" t="s">
        <v>24</v>
      </c>
      <c r="O342" s="1" t="s">
        <v>35</v>
      </c>
      <c r="P342" s="1" t="s">
        <v>53</v>
      </c>
    </row>
    <row r="343" spans="1:16" x14ac:dyDescent="0.25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>
        <v>26</v>
      </c>
      <c r="J343" s="3">
        <v>1035.6400000000001</v>
      </c>
      <c r="K343" s="2">
        <v>14.86</v>
      </c>
      <c r="L343" s="3">
        <v>22925.34</v>
      </c>
      <c r="M343">
        <v>46106</v>
      </c>
      <c r="N343" s="1" t="s">
        <v>58</v>
      </c>
      <c r="O343" s="1" t="s">
        <v>35</v>
      </c>
      <c r="P343" s="1" t="s">
        <v>53</v>
      </c>
    </row>
    <row r="344" spans="1:16" x14ac:dyDescent="0.25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>
        <v>28</v>
      </c>
      <c r="J344" s="3">
        <v>11176.9</v>
      </c>
      <c r="K344" s="2">
        <v>17.98</v>
      </c>
      <c r="L344" s="3">
        <v>256684.21</v>
      </c>
      <c r="M344">
        <v>46340</v>
      </c>
      <c r="N344" s="1" t="s">
        <v>113</v>
      </c>
      <c r="O344" s="1" t="s">
        <v>35</v>
      </c>
      <c r="P344" s="1" t="s">
        <v>36</v>
      </c>
    </row>
    <row r="345" spans="1:16" x14ac:dyDescent="0.25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>
        <v>20</v>
      </c>
      <c r="J345" s="3">
        <v>9052.98</v>
      </c>
      <c r="K345" s="2">
        <v>4.3899999999999997</v>
      </c>
      <c r="L345" s="3">
        <v>173111.08</v>
      </c>
      <c r="M345">
        <v>46051</v>
      </c>
      <c r="N345" s="1" t="s">
        <v>24</v>
      </c>
      <c r="O345" s="1" t="s">
        <v>35</v>
      </c>
      <c r="P345" s="1" t="s">
        <v>26</v>
      </c>
    </row>
    <row r="346" spans="1:16" x14ac:dyDescent="0.25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>
        <v>19</v>
      </c>
      <c r="J346" s="3">
        <v>31420.78</v>
      </c>
      <c r="K346" s="2">
        <v>12.67</v>
      </c>
      <c r="L346" s="3">
        <v>521355.58</v>
      </c>
      <c r="M346">
        <v>46246</v>
      </c>
      <c r="N346" s="1" t="s">
        <v>68</v>
      </c>
      <c r="O346" s="1" t="s">
        <v>35</v>
      </c>
      <c r="P346" s="1" t="s">
        <v>26</v>
      </c>
    </row>
    <row r="347" spans="1:16" x14ac:dyDescent="0.25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>
        <v>9</v>
      </c>
      <c r="J347" s="3">
        <v>31653.88</v>
      </c>
      <c r="K347" s="2">
        <v>7.43</v>
      </c>
      <c r="L347" s="3">
        <v>263717.96999999997</v>
      </c>
      <c r="M347">
        <v>46362</v>
      </c>
      <c r="N347" s="1" t="s">
        <v>68</v>
      </c>
      <c r="O347" s="1" t="s">
        <v>25</v>
      </c>
      <c r="P347" s="1" t="s">
        <v>53</v>
      </c>
    </row>
    <row r="348" spans="1:16" x14ac:dyDescent="0.25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>
        <v>43</v>
      </c>
      <c r="J348" s="3">
        <v>25754.81</v>
      </c>
      <c r="K348" s="2">
        <v>14.83</v>
      </c>
      <c r="L348" s="3">
        <v>943220.98</v>
      </c>
      <c r="M348">
        <v>46076</v>
      </c>
      <c r="N348" s="1" t="s">
        <v>68</v>
      </c>
      <c r="O348" s="1" t="s">
        <v>35</v>
      </c>
      <c r="P348" s="1" t="s">
        <v>53</v>
      </c>
    </row>
    <row r="349" spans="1:16" x14ac:dyDescent="0.25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>
        <v>45</v>
      </c>
      <c r="J349" s="3">
        <v>26932.14</v>
      </c>
      <c r="K349" s="2">
        <v>17.21</v>
      </c>
      <c r="L349" s="3">
        <v>1003370.34</v>
      </c>
      <c r="M349">
        <v>46080</v>
      </c>
      <c r="N349" s="1" t="s">
        <v>113</v>
      </c>
      <c r="O349" s="1" t="s">
        <v>35</v>
      </c>
      <c r="P349" s="1" t="s">
        <v>36</v>
      </c>
    </row>
    <row r="350" spans="1:16" x14ac:dyDescent="0.25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>
        <v>27</v>
      </c>
      <c r="J350" s="3">
        <v>29570.1</v>
      </c>
      <c r="K350" s="2">
        <v>9.9499999999999993</v>
      </c>
      <c r="L350" s="3">
        <v>718952.63</v>
      </c>
      <c r="M350">
        <v>46289</v>
      </c>
      <c r="N350" s="1" t="s">
        <v>58</v>
      </c>
      <c r="O350" s="1" t="s">
        <v>59</v>
      </c>
      <c r="P350" s="1" t="s">
        <v>36</v>
      </c>
    </row>
    <row r="351" spans="1:16" x14ac:dyDescent="0.25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>
        <v>36</v>
      </c>
      <c r="J351" s="3">
        <v>33905.660000000003</v>
      </c>
      <c r="K351" s="2">
        <v>19.66</v>
      </c>
      <c r="L351" s="3">
        <v>980633.06</v>
      </c>
      <c r="M351">
        <v>46106</v>
      </c>
      <c r="N351" s="1" t="s">
        <v>113</v>
      </c>
      <c r="O351" s="1" t="s">
        <v>35</v>
      </c>
      <c r="P351" s="1" t="s">
        <v>26</v>
      </c>
    </row>
    <row r="352" spans="1:16" x14ac:dyDescent="0.25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>
        <v>42</v>
      </c>
      <c r="J352" s="3">
        <v>38890.769999999997</v>
      </c>
      <c r="K352" s="2">
        <v>12.32</v>
      </c>
      <c r="L352" s="3">
        <v>1432175.94</v>
      </c>
      <c r="M352">
        <v>46027</v>
      </c>
      <c r="N352" s="1" t="s">
        <v>68</v>
      </c>
      <c r="O352" s="1" t="s">
        <v>35</v>
      </c>
      <c r="P352" s="1" t="s">
        <v>36</v>
      </c>
    </row>
    <row r="353" spans="1:16" x14ac:dyDescent="0.25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>
        <v>47</v>
      </c>
      <c r="J353" s="3">
        <v>11859.3</v>
      </c>
      <c r="K353" s="2">
        <v>19.66</v>
      </c>
      <c r="L353" s="3">
        <v>447804.8</v>
      </c>
      <c r="M353">
        <v>46334</v>
      </c>
      <c r="N353" s="1" t="s">
        <v>24</v>
      </c>
      <c r="O353" s="1" t="s">
        <v>35</v>
      </c>
      <c r="P353" s="1" t="s">
        <v>36</v>
      </c>
    </row>
    <row r="354" spans="1:16" x14ac:dyDescent="0.25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>
        <v>20</v>
      </c>
      <c r="J354" s="3">
        <v>37679.82</v>
      </c>
      <c r="K354" s="2">
        <v>15.84</v>
      </c>
      <c r="L354" s="3">
        <v>634226.73</v>
      </c>
      <c r="M354">
        <v>46138</v>
      </c>
      <c r="N354" s="1" t="s">
        <v>68</v>
      </c>
      <c r="O354" s="1" t="s">
        <v>35</v>
      </c>
      <c r="P354" s="1" t="s">
        <v>26</v>
      </c>
    </row>
    <row r="355" spans="1:16" x14ac:dyDescent="0.25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>
        <v>27</v>
      </c>
      <c r="J355" s="3">
        <v>30929.57</v>
      </c>
      <c r="K355" s="2">
        <v>3.76</v>
      </c>
      <c r="L355" s="3">
        <v>803698.69</v>
      </c>
      <c r="M355">
        <v>46377</v>
      </c>
      <c r="N355" s="1" t="s">
        <v>58</v>
      </c>
      <c r="O355" s="1" t="s">
        <v>35</v>
      </c>
      <c r="P355" s="1" t="s">
        <v>36</v>
      </c>
    </row>
    <row r="356" spans="1:16" x14ac:dyDescent="0.25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>
        <v>19</v>
      </c>
      <c r="J356" s="3">
        <v>48264.75</v>
      </c>
      <c r="K356" s="2">
        <v>8.07</v>
      </c>
      <c r="L356" s="3">
        <v>843025.91</v>
      </c>
      <c r="M356">
        <v>46328</v>
      </c>
      <c r="N356" s="1" t="s">
        <v>68</v>
      </c>
      <c r="O356" s="1" t="s">
        <v>35</v>
      </c>
      <c r="P356" s="1" t="s">
        <v>26</v>
      </c>
    </row>
    <row r="357" spans="1:16" x14ac:dyDescent="0.25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>
        <v>23</v>
      </c>
      <c r="J357" s="3">
        <v>12694.34</v>
      </c>
      <c r="K357" s="2">
        <v>2.0499999999999998</v>
      </c>
      <c r="L357" s="3">
        <v>285984.44</v>
      </c>
      <c r="M357">
        <v>46034</v>
      </c>
      <c r="N357" s="1" t="s">
        <v>45</v>
      </c>
      <c r="O357" s="1" t="s">
        <v>35</v>
      </c>
      <c r="P357" s="1" t="s">
        <v>26</v>
      </c>
    </row>
    <row r="358" spans="1:16" x14ac:dyDescent="0.25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>
        <v>49</v>
      </c>
      <c r="J358" s="3">
        <v>22101.55</v>
      </c>
      <c r="K358" s="2">
        <v>19.57</v>
      </c>
      <c r="L358" s="3">
        <v>871037.56</v>
      </c>
      <c r="M358">
        <v>46034</v>
      </c>
      <c r="N358" s="1" t="s">
        <v>113</v>
      </c>
      <c r="O358" s="1" t="s">
        <v>35</v>
      </c>
      <c r="P358" s="1" t="s">
        <v>53</v>
      </c>
    </row>
    <row r="359" spans="1:16" x14ac:dyDescent="0.25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>
        <v>23</v>
      </c>
      <c r="J359" s="3">
        <v>38627.06</v>
      </c>
      <c r="K359" s="2">
        <v>1.33</v>
      </c>
      <c r="L359" s="3">
        <v>876606.36</v>
      </c>
      <c r="M359">
        <v>46075</v>
      </c>
      <c r="N359" s="1" t="s">
        <v>58</v>
      </c>
      <c r="O359" s="1" t="s">
        <v>35</v>
      </c>
      <c r="P359" s="1" t="s">
        <v>53</v>
      </c>
    </row>
    <row r="360" spans="1:16" x14ac:dyDescent="0.25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>
        <v>29</v>
      </c>
      <c r="J360" s="3">
        <v>10659.04</v>
      </c>
      <c r="K360" s="2">
        <v>11.09</v>
      </c>
      <c r="L360" s="3">
        <v>274831.62</v>
      </c>
      <c r="M360">
        <v>46300</v>
      </c>
      <c r="N360" s="1" t="s">
        <v>45</v>
      </c>
      <c r="O360" s="1" t="s">
        <v>35</v>
      </c>
      <c r="P360" s="1" t="s">
        <v>26</v>
      </c>
    </row>
    <row r="361" spans="1:16" x14ac:dyDescent="0.25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>
        <v>13</v>
      </c>
      <c r="J361" s="3">
        <v>11247.49</v>
      </c>
      <c r="K361" s="2">
        <v>5.57</v>
      </c>
      <c r="L361" s="3">
        <v>138073.06</v>
      </c>
      <c r="M361">
        <v>46071</v>
      </c>
      <c r="N361" s="1" t="s">
        <v>24</v>
      </c>
      <c r="O361" s="1" t="s">
        <v>35</v>
      </c>
      <c r="P361" s="1" t="s">
        <v>26</v>
      </c>
    </row>
    <row r="362" spans="1:16" x14ac:dyDescent="0.25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>
        <v>10</v>
      </c>
      <c r="J362" s="3">
        <v>33367.1</v>
      </c>
      <c r="K362" s="2">
        <v>16.03</v>
      </c>
      <c r="L362" s="3">
        <v>280183.53999999998</v>
      </c>
      <c r="M362">
        <v>46153</v>
      </c>
      <c r="N362" s="1" t="s">
        <v>68</v>
      </c>
      <c r="O362" s="1" t="s">
        <v>25</v>
      </c>
      <c r="P362" s="1" t="s">
        <v>26</v>
      </c>
    </row>
    <row r="363" spans="1:16" x14ac:dyDescent="0.25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>
        <v>6</v>
      </c>
      <c r="J363" s="3">
        <v>18581.3</v>
      </c>
      <c r="K363" s="2">
        <v>10.65</v>
      </c>
      <c r="L363" s="3">
        <v>99614.35</v>
      </c>
      <c r="M363">
        <v>46309</v>
      </c>
      <c r="N363" s="1" t="s">
        <v>45</v>
      </c>
      <c r="O363" s="1" t="s">
        <v>25</v>
      </c>
      <c r="P363" s="1" t="s">
        <v>36</v>
      </c>
    </row>
    <row r="364" spans="1:16" x14ac:dyDescent="0.25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>
        <v>47</v>
      </c>
      <c r="J364" s="3">
        <v>36572.03</v>
      </c>
      <c r="K364" s="2">
        <v>4.67</v>
      </c>
      <c r="L364" s="3">
        <v>1638613.46</v>
      </c>
      <c r="M364">
        <v>46385</v>
      </c>
      <c r="N364" s="1" t="s">
        <v>58</v>
      </c>
      <c r="O364" s="1" t="s">
        <v>25</v>
      </c>
      <c r="P364" s="1" t="s">
        <v>26</v>
      </c>
    </row>
    <row r="365" spans="1:16" x14ac:dyDescent="0.25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>
        <v>35</v>
      </c>
      <c r="J365" s="3">
        <v>47742.93</v>
      </c>
      <c r="K365" s="2">
        <v>1.94</v>
      </c>
      <c r="L365" s="3">
        <v>1638585.1</v>
      </c>
      <c r="M365">
        <v>46146</v>
      </c>
      <c r="N365" s="1" t="s">
        <v>58</v>
      </c>
      <c r="O365" s="1" t="s">
        <v>35</v>
      </c>
      <c r="P365" s="1" t="s">
        <v>53</v>
      </c>
    </row>
    <row r="366" spans="1:16" x14ac:dyDescent="0.25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>
        <v>5</v>
      </c>
      <c r="J366" s="3">
        <v>5691.48</v>
      </c>
      <c r="K366" s="2">
        <v>4.79</v>
      </c>
      <c r="L366" s="3">
        <v>27094.29</v>
      </c>
      <c r="M366">
        <v>46373</v>
      </c>
      <c r="N366" s="1" t="s">
        <v>58</v>
      </c>
      <c r="O366" s="1" t="s">
        <v>35</v>
      </c>
      <c r="P366" s="1" t="s">
        <v>36</v>
      </c>
    </row>
    <row r="367" spans="1:16" x14ac:dyDescent="0.25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>
        <v>44</v>
      </c>
      <c r="J367" s="3">
        <v>45537.03</v>
      </c>
      <c r="K367" s="2">
        <v>4.3499999999999996</v>
      </c>
      <c r="L367" s="3">
        <v>1916471.44</v>
      </c>
      <c r="M367">
        <v>46292</v>
      </c>
      <c r="N367" s="1" t="s">
        <v>58</v>
      </c>
      <c r="O367" s="1" t="s">
        <v>35</v>
      </c>
      <c r="P367" s="1" t="s">
        <v>36</v>
      </c>
    </row>
    <row r="368" spans="1:16" x14ac:dyDescent="0.25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>
        <v>38</v>
      </c>
      <c r="J368" s="3">
        <v>49725.51</v>
      </c>
      <c r="K368" s="2">
        <v>14.17</v>
      </c>
      <c r="L368" s="3">
        <v>1621817.4</v>
      </c>
      <c r="M368">
        <v>46039</v>
      </c>
      <c r="N368" s="1" t="s">
        <v>113</v>
      </c>
      <c r="O368" s="1" t="s">
        <v>59</v>
      </c>
      <c r="P368" s="1" t="s">
        <v>53</v>
      </c>
    </row>
    <row r="369" spans="1:16" x14ac:dyDescent="0.25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>
        <v>32</v>
      </c>
      <c r="J369" s="3">
        <v>14568.69</v>
      </c>
      <c r="K369" s="2">
        <v>16.64</v>
      </c>
      <c r="L369" s="3">
        <v>388622.72</v>
      </c>
      <c r="M369">
        <v>46342</v>
      </c>
      <c r="N369" s="1" t="s">
        <v>45</v>
      </c>
      <c r="O369" s="1" t="s">
        <v>35</v>
      </c>
      <c r="P369" s="1" t="s">
        <v>26</v>
      </c>
    </row>
    <row r="370" spans="1:16" x14ac:dyDescent="0.25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>
        <v>16</v>
      </c>
      <c r="J370" s="3">
        <v>5482.04</v>
      </c>
      <c r="K370" s="2">
        <v>15.07</v>
      </c>
      <c r="L370" s="3">
        <v>74494.350000000006</v>
      </c>
      <c r="M370">
        <v>46379</v>
      </c>
      <c r="N370" s="1" t="s">
        <v>24</v>
      </c>
      <c r="O370" s="1" t="s">
        <v>35</v>
      </c>
      <c r="P370" s="1" t="s">
        <v>36</v>
      </c>
    </row>
    <row r="371" spans="1:16" x14ac:dyDescent="0.25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>
        <v>13</v>
      </c>
      <c r="J371" s="3">
        <v>43786.080000000002</v>
      </c>
      <c r="K371" s="2">
        <v>19.12</v>
      </c>
      <c r="L371" s="3">
        <v>460384.36</v>
      </c>
      <c r="M371">
        <v>46262</v>
      </c>
      <c r="N371" s="1" t="s">
        <v>24</v>
      </c>
      <c r="O371" s="1" t="s">
        <v>35</v>
      </c>
      <c r="P371" s="1" t="s">
        <v>53</v>
      </c>
    </row>
    <row r="372" spans="1:16" x14ac:dyDescent="0.25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>
        <v>5</v>
      </c>
      <c r="J372" s="3">
        <v>21712.32</v>
      </c>
      <c r="K372" s="2">
        <v>9.5</v>
      </c>
      <c r="L372" s="3">
        <v>98248.25</v>
      </c>
      <c r="M372">
        <v>46368</v>
      </c>
      <c r="N372" s="1" t="s">
        <v>58</v>
      </c>
      <c r="O372" s="1" t="s">
        <v>35</v>
      </c>
      <c r="P372" s="1" t="s">
        <v>36</v>
      </c>
    </row>
    <row r="373" spans="1:16" x14ac:dyDescent="0.25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>
        <v>25</v>
      </c>
      <c r="J373" s="3">
        <v>15655.34</v>
      </c>
      <c r="K373" s="2">
        <v>7.64</v>
      </c>
      <c r="L373" s="3">
        <v>361481.8</v>
      </c>
      <c r="M373">
        <v>46178</v>
      </c>
      <c r="N373" s="1" t="s">
        <v>58</v>
      </c>
      <c r="O373" s="1" t="s">
        <v>25</v>
      </c>
      <c r="P373" s="1" t="s">
        <v>36</v>
      </c>
    </row>
    <row r="374" spans="1:16" x14ac:dyDescent="0.25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>
        <v>1</v>
      </c>
      <c r="J374" s="3">
        <v>21148.04</v>
      </c>
      <c r="K374" s="2">
        <v>17.54</v>
      </c>
      <c r="L374" s="3">
        <v>17438.669999999998</v>
      </c>
      <c r="M374">
        <v>46246</v>
      </c>
      <c r="N374" s="1" t="s">
        <v>68</v>
      </c>
      <c r="O374" s="1" t="s">
        <v>35</v>
      </c>
      <c r="P374" s="1" t="s">
        <v>53</v>
      </c>
    </row>
    <row r="375" spans="1:16" x14ac:dyDescent="0.25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>
        <v>6</v>
      </c>
      <c r="J375" s="3">
        <v>16085.62</v>
      </c>
      <c r="K375" s="2">
        <v>1.21</v>
      </c>
      <c r="L375" s="3">
        <v>95345.9</v>
      </c>
      <c r="M375">
        <v>46294</v>
      </c>
      <c r="N375" s="1" t="s">
        <v>45</v>
      </c>
      <c r="O375" s="1" t="s">
        <v>25</v>
      </c>
      <c r="P375" s="1" t="s">
        <v>53</v>
      </c>
    </row>
    <row r="376" spans="1:16" x14ac:dyDescent="0.25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>
        <v>33</v>
      </c>
      <c r="J376" s="3">
        <v>29810.39</v>
      </c>
      <c r="K376" s="2">
        <v>15.17</v>
      </c>
      <c r="L376" s="3">
        <v>834509.08</v>
      </c>
      <c r="M376">
        <v>46327</v>
      </c>
      <c r="N376" s="1" t="s">
        <v>45</v>
      </c>
      <c r="O376" s="1" t="s">
        <v>35</v>
      </c>
      <c r="P376" s="1" t="s">
        <v>26</v>
      </c>
    </row>
    <row r="377" spans="1:16" x14ac:dyDescent="0.25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>
        <v>4</v>
      </c>
      <c r="J377" s="3">
        <v>21357.55</v>
      </c>
      <c r="K377" s="2">
        <v>11.45</v>
      </c>
      <c r="L377" s="3">
        <v>75648.44</v>
      </c>
      <c r="M377">
        <v>46039</v>
      </c>
      <c r="N377" s="1" t="s">
        <v>113</v>
      </c>
      <c r="O377" s="1" t="s">
        <v>35</v>
      </c>
      <c r="P377" s="1" t="s">
        <v>36</v>
      </c>
    </row>
    <row r="378" spans="1:16" x14ac:dyDescent="0.25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>
        <v>26</v>
      </c>
      <c r="J378" s="3">
        <v>43714.59</v>
      </c>
      <c r="K378" s="2">
        <v>7.69</v>
      </c>
      <c r="L378" s="3">
        <v>1049176.3899999999</v>
      </c>
      <c r="M378">
        <v>46075</v>
      </c>
      <c r="N378" s="1" t="s">
        <v>24</v>
      </c>
      <c r="O378" s="1" t="s">
        <v>59</v>
      </c>
      <c r="P378" s="1" t="s">
        <v>53</v>
      </c>
    </row>
    <row r="379" spans="1:16" x14ac:dyDescent="0.25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>
        <v>34</v>
      </c>
      <c r="J379" s="3">
        <v>3226.32</v>
      </c>
      <c r="K379" s="2">
        <v>10.91</v>
      </c>
      <c r="L379" s="3">
        <v>97727.17</v>
      </c>
      <c r="M379">
        <v>46266</v>
      </c>
      <c r="N379" s="1" t="s">
        <v>58</v>
      </c>
      <c r="O379" s="1" t="s">
        <v>35</v>
      </c>
      <c r="P379" s="1" t="s">
        <v>53</v>
      </c>
    </row>
    <row r="380" spans="1:16" x14ac:dyDescent="0.25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>
        <v>24</v>
      </c>
      <c r="J380" s="3">
        <v>34068.06</v>
      </c>
      <c r="K380" s="2">
        <v>2.16</v>
      </c>
      <c r="L380" s="3">
        <v>799972.56</v>
      </c>
      <c r="M380">
        <v>46361</v>
      </c>
      <c r="N380" s="1" t="s">
        <v>68</v>
      </c>
      <c r="O380" s="1" t="s">
        <v>35</v>
      </c>
      <c r="P380" s="1" t="s">
        <v>26</v>
      </c>
    </row>
    <row r="381" spans="1:16" x14ac:dyDescent="0.25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>
        <v>44</v>
      </c>
      <c r="J381" s="3">
        <v>8759.9</v>
      </c>
      <c r="K381" s="2">
        <v>13.58</v>
      </c>
      <c r="L381" s="3">
        <v>333093.45</v>
      </c>
      <c r="M381">
        <v>46091</v>
      </c>
      <c r="N381" s="1" t="s">
        <v>45</v>
      </c>
      <c r="O381" s="1" t="s">
        <v>35</v>
      </c>
      <c r="P381" s="1" t="s">
        <v>53</v>
      </c>
    </row>
    <row r="382" spans="1:16" x14ac:dyDescent="0.25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>
        <v>10</v>
      </c>
      <c r="J382" s="3">
        <v>17300.54</v>
      </c>
      <c r="K382" s="2">
        <v>6.57</v>
      </c>
      <c r="L382" s="3">
        <v>161638.95000000001</v>
      </c>
      <c r="M382">
        <v>46154</v>
      </c>
      <c r="N382" s="1" t="s">
        <v>68</v>
      </c>
      <c r="O382" s="1" t="s">
        <v>35</v>
      </c>
      <c r="P382" s="1" t="s">
        <v>53</v>
      </c>
    </row>
    <row r="383" spans="1:16" x14ac:dyDescent="0.25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>
        <v>23</v>
      </c>
      <c r="J383" s="3">
        <v>25680.48</v>
      </c>
      <c r="K383" s="2">
        <v>17.97</v>
      </c>
      <c r="L383" s="3">
        <v>484511.05</v>
      </c>
      <c r="M383">
        <v>46078</v>
      </c>
      <c r="N383" s="1" t="s">
        <v>45</v>
      </c>
      <c r="O383" s="1" t="s">
        <v>35</v>
      </c>
      <c r="P383" s="1" t="s">
        <v>53</v>
      </c>
    </row>
    <row r="384" spans="1:16" x14ac:dyDescent="0.25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>
        <v>46</v>
      </c>
      <c r="J384" s="3">
        <v>28821.42</v>
      </c>
      <c r="K384" s="2">
        <v>13.68</v>
      </c>
      <c r="L384" s="3">
        <v>1144417.8899999999</v>
      </c>
      <c r="M384">
        <v>46379</v>
      </c>
      <c r="N384" s="1" t="s">
        <v>68</v>
      </c>
      <c r="O384" s="1" t="s">
        <v>35</v>
      </c>
      <c r="P384" s="1" t="s">
        <v>53</v>
      </c>
    </row>
    <row r="385" spans="1:16" x14ac:dyDescent="0.25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>
        <v>49</v>
      </c>
      <c r="J385" s="3">
        <v>47380.24</v>
      </c>
      <c r="K385" s="2">
        <v>14.98</v>
      </c>
      <c r="L385" s="3">
        <v>1973851.32</v>
      </c>
      <c r="M385">
        <v>46269</v>
      </c>
      <c r="N385" s="1" t="s">
        <v>113</v>
      </c>
      <c r="O385" s="1" t="s">
        <v>35</v>
      </c>
      <c r="P385" s="1" t="s">
        <v>53</v>
      </c>
    </row>
    <row r="386" spans="1:16" x14ac:dyDescent="0.25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>
        <v>16</v>
      </c>
      <c r="J386" s="3">
        <v>1989.06</v>
      </c>
      <c r="K386" s="2">
        <v>9.85</v>
      </c>
      <c r="L386" s="3">
        <v>28690.2</v>
      </c>
      <c r="M386">
        <v>46231</v>
      </c>
      <c r="N386" s="1" t="s">
        <v>68</v>
      </c>
      <c r="O386" s="1" t="s">
        <v>35</v>
      </c>
      <c r="P386" s="1" t="s">
        <v>26</v>
      </c>
    </row>
    <row r="387" spans="1:16" x14ac:dyDescent="0.25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>
        <v>31</v>
      </c>
      <c r="J387" s="3">
        <v>36771.19</v>
      </c>
      <c r="K387" s="2">
        <v>6.81</v>
      </c>
      <c r="L387" s="3">
        <v>1062279.23</v>
      </c>
      <c r="M387">
        <v>46114</v>
      </c>
      <c r="N387" s="1" t="s">
        <v>68</v>
      </c>
      <c r="O387" s="1" t="s">
        <v>35</v>
      </c>
      <c r="P387" s="1" t="s">
        <v>53</v>
      </c>
    </row>
    <row r="388" spans="1:16" x14ac:dyDescent="0.25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>
        <v>29</v>
      </c>
      <c r="J388" s="3">
        <v>16002.14</v>
      </c>
      <c r="K388" s="2">
        <v>12.71</v>
      </c>
      <c r="L388" s="3">
        <v>405079.77</v>
      </c>
      <c r="M388">
        <v>46096</v>
      </c>
      <c r="N388" s="1" t="s">
        <v>45</v>
      </c>
      <c r="O388" s="1" t="s">
        <v>35</v>
      </c>
      <c r="P388" s="1" t="s">
        <v>26</v>
      </c>
    </row>
    <row r="389" spans="1:16" x14ac:dyDescent="0.25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>
        <v>22</v>
      </c>
      <c r="J389" s="3">
        <v>11529.42</v>
      </c>
      <c r="K389" s="2">
        <v>8.1</v>
      </c>
      <c r="L389" s="3">
        <v>233101.81</v>
      </c>
      <c r="M389">
        <v>46231</v>
      </c>
      <c r="N389" s="1" t="s">
        <v>24</v>
      </c>
      <c r="O389" s="1" t="s">
        <v>25</v>
      </c>
      <c r="P389" s="1" t="s">
        <v>36</v>
      </c>
    </row>
    <row r="390" spans="1:16" x14ac:dyDescent="0.25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>
        <v>21</v>
      </c>
      <c r="J390" s="3">
        <v>41243.65</v>
      </c>
      <c r="K390" s="2">
        <v>5.83</v>
      </c>
      <c r="L390" s="3">
        <v>815622.05</v>
      </c>
      <c r="M390">
        <v>46155</v>
      </c>
      <c r="N390" s="1" t="s">
        <v>58</v>
      </c>
      <c r="O390" s="1" t="s">
        <v>35</v>
      </c>
      <c r="P390" s="1" t="s">
        <v>53</v>
      </c>
    </row>
    <row r="391" spans="1:16" x14ac:dyDescent="0.25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>
        <v>24</v>
      </c>
      <c r="J391" s="3">
        <v>29018.99</v>
      </c>
      <c r="K391" s="2">
        <v>4.41</v>
      </c>
      <c r="L391" s="3">
        <v>665742.06000000006</v>
      </c>
      <c r="M391">
        <v>46211</v>
      </c>
      <c r="N391" s="1" t="s">
        <v>24</v>
      </c>
      <c r="O391" s="1" t="s">
        <v>35</v>
      </c>
      <c r="P391" s="1" t="s">
        <v>26</v>
      </c>
    </row>
    <row r="392" spans="1:16" x14ac:dyDescent="0.25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>
        <v>28</v>
      </c>
      <c r="J392" s="3">
        <v>47523.46</v>
      </c>
      <c r="K392" s="2">
        <v>15.41</v>
      </c>
      <c r="L392" s="3">
        <v>1125602.6499999999</v>
      </c>
      <c r="M392">
        <v>46036</v>
      </c>
      <c r="N392" s="1" t="s">
        <v>68</v>
      </c>
      <c r="O392" s="1" t="s">
        <v>25</v>
      </c>
      <c r="P392" s="1" t="s">
        <v>53</v>
      </c>
    </row>
    <row r="393" spans="1:16" x14ac:dyDescent="0.25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>
        <v>50</v>
      </c>
      <c r="J393" s="3">
        <v>8897.1</v>
      </c>
      <c r="K393" s="2">
        <v>6.37</v>
      </c>
      <c r="L393" s="3">
        <v>416517.74</v>
      </c>
      <c r="M393">
        <v>46146</v>
      </c>
      <c r="N393" s="1" t="s">
        <v>24</v>
      </c>
      <c r="O393" s="1" t="s">
        <v>35</v>
      </c>
      <c r="P393" s="1" t="s">
        <v>36</v>
      </c>
    </row>
    <row r="394" spans="1:16" x14ac:dyDescent="0.25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>
        <v>16</v>
      </c>
      <c r="J394" s="3">
        <v>47492.43</v>
      </c>
      <c r="K394" s="2">
        <v>4.82</v>
      </c>
      <c r="L394" s="3">
        <v>723252.72</v>
      </c>
      <c r="M394">
        <v>46260</v>
      </c>
      <c r="N394" s="1" t="s">
        <v>24</v>
      </c>
      <c r="O394" s="1" t="s">
        <v>25</v>
      </c>
      <c r="P394" s="1" t="s">
        <v>26</v>
      </c>
    </row>
    <row r="395" spans="1:16" x14ac:dyDescent="0.25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>
        <v>47</v>
      </c>
      <c r="J395" s="3">
        <v>6501.79</v>
      </c>
      <c r="K395" s="2">
        <v>19.38</v>
      </c>
      <c r="L395" s="3">
        <v>246361.93</v>
      </c>
      <c r="M395">
        <v>46241</v>
      </c>
      <c r="N395" s="1" t="s">
        <v>68</v>
      </c>
      <c r="O395" s="1" t="s">
        <v>35</v>
      </c>
      <c r="P395" s="1" t="s">
        <v>53</v>
      </c>
    </row>
    <row r="396" spans="1:16" x14ac:dyDescent="0.25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>
        <v>14</v>
      </c>
      <c r="J396" s="3">
        <v>16092.2</v>
      </c>
      <c r="K396" s="2">
        <v>18.72</v>
      </c>
      <c r="L396" s="3">
        <v>183116.36</v>
      </c>
      <c r="M396">
        <v>46068</v>
      </c>
      <c r="N396" s="1" t="s">
        <v>113</v>
      </c>
      <c r="O396" s="1" t="s">
        <v>35</v>
      </c>
      <c r="P396" s="1" t="s">
        <v>26</v>
      </c>
    </row>
    <row r="397" spans="1:16" x14ac:dyDescent="0.25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>
        <v>15</v>
      </c>
      <c r="J397" s="3">
        <v>12232.18</v>
      </c>
      <c r="K397" s="2">
        <v>8.73</v>
      </c>
      <c r="L397" s="3">
        <v>167464.66</v>
      </c>
      <c r="M397">
        <v>46049</v>
      </c>
      <c r="N397" s="1" t="s">
        <v>24</v>
      </c>
      <c r="O397" s="1" t="s">
        <v>35</v>
      </c>
      <c r="P397" s="1" t="s">
        <v>36</v>
      </c>
    </row>
    <row r="398" spans="1:16" x14ac:dyDescent="0.25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>
        <v>45</v>
      </c>
      <c r="J398" s="3">
        <v>46368.54</v>
      </c>
      <c r="K398" s="2">
        <v>18.97</v>
      </c>
      <c r="L398" s="3">
        <v>1690759.26</v>
      </c>
      <c r="M398">
        <v>46085</v>
      </c>
      <c r="N398" s="1" t="s">
        <v>68</v>
      </c>
      <c r="O398" s="1" t="s">
        <v>35</v>
      </c>
      <c r="P398" s="1" t="s">
        <v>36</v>
      </c>
    </row>
    <row r="399" spans="1:16" x14ac:dyDescent="0.25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>
        <v>46</v>
      </c>
      <c r="J399" s="3">
        <v>17730.12</v>
      </c>
      <c r="K399" s="2">
        <v>8.7200000000000006</v>
      </c>
      <c r="L399" s="3">
        <v>744466.46</v>
      </c>
      <c r="M399">
        <v>46314</v>
      </c>
      <c r="N399" s="1" t="s">
        <v>58</v>
      </c>
      <c r="O399" s="1" t="s">
        <v>35</v>
      </c>
      <c r="P399" s="1" t="s">
        <v>26</v>
      </c>
    </row>
    <row r="400" spans="1:16" x14ac:dyDescent="0.25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>
        <v>22</v>
      </c>
      <c r="J400" s="3">
        <v>38409.730000000003</v>
      </c>
      <c r="K400" s="2">
        <v>16.100000000000001</v>
      </c>
      <c r="L400" s="3">
        <v>708966.8</v>
      </c>
      <c r="M400">
        <v>46282</v>
      </c>
      <c r="N400" s="1" t="s">
        <v>45</v>
      </c>
      <c r="O400" s="1" t="s">
        <v>35</v>
      </c>
      <c r="P400" s="1" t="s">
        <v>53</v>
      </c>
    </row>
    <row r="401" spans="1:16" x14ac:dyDescent="0.25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>
        <v>12</v>
      </c>
      <c r="J401" s="3">
        <v>32012.34</v>
      </c>
      <c r="K401" s="2">
        <v>17.68</v>
      </c>
      <c r="L401" s="3">
        <v>316230.7</v>
      </c>
      <c r="M401">
        <v>46131</v>
      </c>
      <c r="N401" s="1" t="s">
        <v>45</v>
      </c>
      <c r="O401" s="1" t="s">
        <v>35</v>
      </c>
      <c r="P401" s="1" t="s">
        <v>26</v>
      </c>
    </row>
    <row r="402" spans="1:16" x14ac:dyDescent="0.25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>
        <v>2</v>
      </c>
      <c r="J402" s="3">
        <v>15042.44</v>
      </c>
      <c r="K402" s="2">
        <v>2.95</v>
      </c>
      <c r="L402" s="3">
        <v>29197.38</v>
      </c>
      <c r="M402">
        <v>46251</v>
      </c>
      <c r="N402" s="1" t="s">
        <v>68</v>
      </c>
      <c r="O402" s="1" t="s">
        <v>35</v>
      </c>
      <c r="P402" s="1" t="s">
        <v>26</v>
      </c>
    </row>
    <row r="403" spans="1:16" x14ac:dyDescent="0.25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>
        <v>36</v>
      </c>
      <c r="J403" s="3">
        <v>6762.96</v>
      </c>
      <c r="K403" s="2">
        <v>10.48</v>
      </c>
      <c r="L403" s="3">
        <v>217951.26</v>
      </c>
      <c r="M403">
        <v>46112</v>
      </c>
      <c r="N403" s="1" t="s">
        <v>68</v>
      </c>
      <c r="O403" s="1" t="s">
        <v>35</v>
      </c>
      <c r="P403" s="1" t="s">
        <v>53</v>
      </c>
    </row>
    <row r="404" spans="1:16" x14ac:dyDescent="0.25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>
        <v>6</v>
      </c>
      <c r="J404" s="3">
        <v>35141.26</v>
      </c>
      <c r="K404" s="2">
        <v>15.99</v>
      </c>
      <c r="L404" s="3">
        <v>177133.04</v>
      </c>
      <c r="M404">
        <v>46079</v>
      </c>
      <c r="N404" s="1" t="s">
        <v>58</v>
      </c>
      <c r="O404" s="1" t="s">
        <v>35</v>
      </c>
      <c r="P404" s="1" t="s">
        <v>36</v>
      </c>
    </row>
    <row r="405" spans="1:16" x14ac:dyDescent="0.25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>
        <v>27</v>
      </c>
      <c r="J405" s="3">
        <v>49428.56</v>
      </c>
      <c r="K405" s="2">
        <v>11.59</v>
      </c>
      <c r="L405" s="3">
        <v>1179894.33</v>
      </c>
      <c r="M405">
        <v>46176</v>
      </c>
      <c r="N405" s="1" t="s">
        <v>45</v>
      </c>
      <c r="O405" s="1" t="s">
        <v>35</v>
      </c>
      <c r="P405" s="1" t="s">
        <v>26</v>
      </c>
    </row>
    <row r="406" spans="1:16" x14ac:dyDescent="0.25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>
        <v>28</v>
      </c>
      <c r="J406" s="3">
        <v>11899.91</v>
      </c>
      <c r="K406" s="2">
        <v>17.559999999999999</v>
      </c>
      <c r="L406" s="3">
        <v>274688</v>
      </c>
      <c r="M406">
        <v>46233</v>
      </c>
      <c r="N406" s="1" t="s">
        <v>113</v>
      </c>
      <c r="O406" s="1" t="s">
        <v>35</v>
      </c>
      <c r="P406" s="1" t="s">
        <v>36</v>
      </c>
    </row>
    <row r="407" spans="1:16" x14ac:dyDescent="0.25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>
        <v>44</v>
      </c>
      <c r="J407" s="3">
        <v>21653.87</v>
      </c>
      <c r="K407" s="2">
        <v>14</v>
      </c>
      <c r="L407" s="3">
        <v>819382.44</v>
      </c>
      <c r="M407">
        <v>46271</v>
      </c>
      <c r="N407" s="1" t="s">
        <v>45</v>
      </c>
      <c r="O407" s="1" t="s">
        <v>35</v>
      </c>
      <c r="P407" s="1" t="s">
        <v>26</v>
      </c>
    </row>
    <row r="408" spans="1:16" x14ac:dyDescent="0.25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>
        <v>13</v>
      </c>
      <c r="J408" s="3">
        <v>7798.07</v>
      </c>
      <c r="K408" s="2">
        <v>4.54</v>
      </c>
      <c r="L408" s="3">
        <v>96772.49</v>
      </c>
      <c r="M408">
        <v>46322</v>
      </c>
      <c r="N408" s="1" t="s">
        <v>113</v>
      </c>
      <c r="O408" s="1" t="s">
        <v>35</v>
      </c>
      <c r="P408" s="1" t="s">
        <v>36</v>
      </c>
    </row>
    <row r="409" spans="1:16" x14ac:dyDescent="0.25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>
        <v>40</v>
      </c>
      <c r="J409" s="3">
        <v>46787.199999999997</v>
      </c>
      <c r="K409" s="2">
        <v>13.21</v>
      </c>
      <c r="L409" s="3">
        <v>1624264.44</v>
      </c>
      <c r="M409">
        <v>46097</v>
      </c>
      <c r="N409" s="1" t="s">
        <v>68</v>
      </c>
      <c r="O409" s="1" t="s">
        <v>35</v>
      </c>
      <c r="P409" s="1" t="s">
        <v>53</v>
      </c>
    </row>
    <row r="410" spans="1:16" x14ac:dyDescent="0.25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>
        <v>44</v>
      </c>
      <c r="J410" s="3">
        <v>27291.88</v>
      </c>
      <c r="K410" s="2">
        <v>14.49</v>
      </c>
      <c r="L410" s="3">
        <v>1026840.61</v>
      </c>
      <c r="M410">
        <v>46361</v>
      </c>
      <c r="N410" s="1" t="s">
        <v>45</v>
      </c>
      <c r="O410" s="1" t="s">
        <v>35</v>
      </c>
      <c r="P410" s="1" t="s">
        <v>26</v>
      </c>
    </row>
    <row r="411" spans="1:16" x14ac:dyDescent="0.25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>
        <v>16</v>
      </c>
      <c r="J411" s="3">
        <v>2691.94</v>
      </c>
      <c r="K411" s="2">
        <v>11.86</v>
      </c>
      <c r="L411" s="3">
        <v>37962.81</v>
      </c>
      <c r="M411">
        <v>46287</v>
      </c>
      <c r="N411" s="1" t="s">
        <v>24</v>
      </c>
      <c r="O411" s="1" t="s">
        <v>35</v>
      </c>
      <c r="P411" s="1" t="s">
        <v>53</v>
      </c>
    </row>
    <row r="412" spans="1:16" x14ac:dyDescent="0.25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>
        <v>24</v>
      </c>
      <c r="J412" s="3">
        <v>42518.2</v>
      </c>
      <c r="K412" s="2">
        <v>1.59</v>
      </c>
      <c r="L412" s="3">
        <v>1004211.85</v>
      </c>
      <c r="M412">
        <v>46221</v>
      </c>
      <c r="N412" s="1" t="s">
        <v>58</v>
      </c>
      <c r="O412" s="1" t="s">
        <v>35</v>
      </c>
      <c r="P412" s="1" t="s">
        <v>53</v>
      </c>
    </row>
    <row r="413" spans="1:16" x14ac:dyDescent="0.25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>
        <v>19</v>
      </c>
      <c r="J413" s="3">
        <v>38310.32</v>
      </c>
      <c r="K413" s="2">
        <v>18.690000000000001</v>
      </c>
      <c r="L413" s="3">
        <v>591852.30000000005</v>
      </c>
      <c r="M413">
        <v>46297</v>
      </c>
      <c r="N413" s="1" t="s">
        <v>45</v>
      </c>
      <c r="O413" s="1" t="s">
        <v>35</v>
      </c>
      <c r="P413" s="1" t="s">
        <v>26</v>
      </c>
    </row>
    <row r="414" spans="1:16" x14ac:dyDescent="0.25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>
        <v>23</v>
      </c>
      <c r="J414" s="3">
        <v>38377.25</v>
      </c>
      <c r="K414" s="2">
        <v>0.82</v>
      </c>
      <c r="L414" s="3">
        <v>875438.8</v>
      </c>
      <c r="M414">
        <v>46086</v>
      </c>
      <c r="N414" s="1" t="s">
        <v>58</v>
      </c>
      <c r="O414" s="1" t="s">
        <v>35</v>
      </c>
      <c r="P414" s="1" t="s">
        <v>53</v>
      </c>
    </row>
    <row r="415" spans="1:16" x14ac:dyDescent="0.25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>
        <v>33</v>
      </c>
      <c r="J415" s="3">
        <v>8506.42</v>
      </c>
      <c r="K415" s="2">
        <v>7.23</v>
      </c>
      <c r="L415" s="3">
        <v>260416.39</v>
      </c>
      <c r="M415">
        <v>46167</v>
      </c>
      <c r="N415" s="1" t="s">
        <v>58</v>
      </c>
      <c r="O415" s="1" t="s">
        <v>35</v>
      </c>
      <c r="P415" s="1" t="s">
        <v>36</v>
      </c>
    </row>
    <row r="416" spans="1:16" x14ac:dyDescent="0.25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>
        <v>7</v>
      </c>
      <c r="J416" s="3">
        <v>31356.25</v>
      </c>
      <c r="K416" s="2">
        <v>18.420000000000002</v>
      </c>
      <c r="L416" s="3">
        <v>179063</v>
      </c>
      <c r="M416">
        <v>46290</v>
      </c>
      <c r="N416" s="1" t="s">
        <v>68</v>
      </c>
      <c r="O416" s="1" t="s">
        <v>35</v>
      </c>
      <c r="P416" s="1" t="s">
        <v>53</v>
      </c>
    </row>
    <row r="417" spans="1:16" x14ac:dyDescent="0.25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>
        <v>26</v>
      </c>
      <c r="J417" s="3">
        <v>47922.95</v>
      </c>
      <c r="K417" s="2">
        <v>6.9</v>
      </c>
      <c r="L417" s="3">
        <v>1160022.93</v>
      </c>
      <c r="M417">
        <v>46136</v>
      </c>
      <c r="N417" s="1" t="s">
        <v>24</v>
      </c>
      <c r="O417" s="1" t="s">
        <v>35</v>
      </c>
      <c r="P417" s="1" t="s">
        <v>26</v>
      </c>
    </row>
    <row r="418" spans="1:16" x14ac:dyDescent="0.25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>
        <v>11</v>
      </c>
      <c r="J418" s="3">
        <v>7121.81</v>
      </c>
      <c r="K418" s="2">
        <v>12.97</v>
      </c>
      <c r="L418" s="3">
        <v>68179.22</v>
      </c>
      <c r="M418">
        <v>46097</v>
      </c>
      <c r="N418" s="1" t="s">
        <v>68</v>
      </c>
      <c r="O418" s="1" t="s">
        <v>25</v>
      </c>
      <c r="P418" s="1" t="s">
        <v>36</v>
      </c>
    </row>
    <row r="419" spans="1:16" x14ac:dyDescent="0.25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>
        <v>25</v>
      </c>
      <c r="J419" s="3">
        <v>48030.96</v>
      </c>
      <c r="K419" s="2">
        <v>13.76</v>
      </c>
      <c r="L419" s="3">
        <v>1035547.5</v>
      </c>
      <c r="M419">
        <v>46378</v>
      </c>
      <c r="N419" s="1" t="s">
        <v>45</v>
      </c>
      <c r="O419" s="1" t="s">
        <v>35</v>
      </c>
      <c r="P419" s="1" t="s">
        <v>36</v>
      </c>
    </row>
    <row r="420" spans="1:16" x14ac:dyDescent="0.25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>
        <v>8</v>
      </c>
      <c r="J420" s="3">
        <v>24512.43</v>
      </c>
      <c r="K420" s="2">
        <v>17.3</v>
      </c>
      <c r="L420" s="3">
        <v>162174.24</v>
      </c>
      <c r="M420">
        <v>46107</v>
      </c>
      <c r="N420" s="1" t="s">
        <v>45</v>
      </c>
      <c r="O420" s="1" t="s">
        <v>35</v>
      </c>
      <c r="P420" s="1" t="s">
        <v>36</v>
      </c>
    </row>
    <row r="421" spans="1:16" x14ac:dyDescent="0.25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>
        <v>12</v>
      </c>
      <c r="J421" s="3">
        <v>29131.97</v>
      </c>
      <c r="K421" s="2">
        <v>12.57</v>
      </c>
      <c r="L421" s="3">
        <v>305640.98</v>
      </c>
      <c r="M421">
        <v>46192</v>
      </c>
      <c r="N421" s="1" t="s">
        <v>68</v>
      </c>
      <c r="O421" s="1" t="s">
        <v>25</v>
      </c>
      <c r="P421" s="1" t="s">
        <v>36</v>
      </c>
    </row>
    <row r="422" spans="1:16" x14ac:dyDescent="0.25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>
        <v>9</v>
      </c>
      <c r="J422" s="3">
        <v>17493.86</v>
      </c>
      <c r="K422" s="2">
        <v>10.6</v>
      </c>
      <c r="L422" s="3">
        <v>140755.6</v>
      </c>
      <c r="M422">
        <v>46126</v>
      </c>
      <c r="N422" s="1" t="s">
        <v>113</v>
      </c>
      <c r="O422" s="1" t="s">
        <v>35</v>
      </c>
      <c r="P422" s="1" t="s">
        <v>36</v>
      </c>
    </row>
    <row r="423" spans="1:16" x14ac:dyDescent="0.25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>
        <v>38</v>
      </c>
      <c r="J423" s="3">
        <v>40621.760000000002</v>
      </c>
      <c r="K423" s="2">
        <v>11.03</v>
      </c>
      <c r="L423" s="3">
        <v>1373364.84</v>
      </c>
      <c r="M423">
        <v>46194</v>
      </c>
      <c r="N423" s="1" t="s">
        <v>68</v>
      </c>
      <c r="O423" s="1" t="s">
        <v>35</v>
      </c>
      <c r="P423" s="1" t="s">
        <v>26</v>
      </c>
    </row>
    <row r="424" spans="1:16" x14ac:dyDescent="0.25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>
        <v>12</v>
      </c>
      <c r="J424" s="3">
        <v>12956.49</v>
      </c>
      <c r="K424" s="2">
        <v>4.8099999999999996</v>
      </c>
      <c r="L424" s="3">
        <v>147999.39000000001</v>
      </c>
      <c r="M424">
        <v>46383</v>
      </c>
      <c r="N424" s="1" t="s">
        <v>45</v>
      </c>
      <c r="O424" s="1" t="s">
        <v>35</v>
      </c>
      <c r="P424" s="1" t="s">
        <v>36</v>
      </c>
    </row>
    <row r="425" spans="1:16" x14ac:dyDescent="0.25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>
        <v>29</v>
      </c>
      <c r="J425" s="3">
        <v>36241.56</v>
      </c>
      <c r="K425" s="2">
        <v>12.37</v>
      </c>
      <c r="L425" s="3">
        <v>920995.89</v>
      </c>
      <c r="M425">
        <v>46148</v>
      </c>
      <c r="N425" s="1" t="s">
        <v>68</v>
      </c>
      <c r="O425" s="1" t="s">
        <v>35</v>
      </c>
      <c r="P425" s="1" t="s">
        <v>53</v>
      </c>
    </row>
    <row r="426" spans="1:16" x14ac:dyDescent="0.25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>
        <v>13</v>
      </c>
      <c r="J426" s="3">
        <v>40848.080000000002</v>
      </c>
      <c r="K426" s="2">
        <v>4.79</v>
      </c>
      <c r="L426" s="3">
        <v>505588.94</v>
      </c>
      <c r="M426">
        <v>46106</v>
      </c>
      <c r="N426" s="1" t="s">
        <v>24</v>
      </c>
      <c r="O426" s="1" t="s">
        <v>35</v>
      </c>
      <c r="P426" s="1" t="s">
        <v>36</v>
      </c>
    </row>
    <row r="427" spans="1:16" x14ac:dyDescent="0.25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>
        <v>4</v>
      </c>
      <c r="J427" s="3">
        <v>30654.62</v>
      </c>
      <c r="K427" s="2">
        <v>0.2</v>
      </c>
      <c r="L427" s="3">
        <v>122373.24</v>
      </c>
      <c r="M427">
        <v>46233</v>
      </c>
      <c r="N427" s="1" t="s">
        <v>68</v>
      </c>
      <c r="O427" s="1" t="s">
        <v>35</v>
      </c>
      <c r="P427" s="1" t="s">
        <v>53</v>
      </c>
    </row>
    <row r="428" spans="1:16" x14ac:dyDescent="0.25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>
        <v>47</v>
      </c>
      <c r="J428" s="3">
        <v>42733.83</v>
      </c>
      <c r="K428" s="2">
        <v>10.07</v>
      </c>
      <c r="L428" s="3">
        <v>1806235.07</v>
      </c>
      <c r="M428">
        <v>46094</v>
      </c>
      <c r="N428" s="1" t="s">
        <v>68</v>
      </c>
      <c r="O428" s="1" t="s">
        <v>35</v>
      </c>
      <c r="P428" s="1" t="s">
        <v>53</v>
      </c>
    </row>
    <row r="429" spans="1:16" x14ac:dyDescent="0.25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>
        <v>40</v>
      </c>
      <c r="J429" s="3">
        <v>16260.04</v>
      </c>
      <c r="K429" s="2">
        <v>2.2599999999999998</v>
      </c>
      <c r="L429" s="3">
        <v>635702.52</v>
      </c>
      <c r="M429">
        <v>46104</v>
      </c>
      <c r="N429" s="1" t="s">
        <v>68</v>
      </c>
      <c r="O429" s="1" t="s">
        <v>35</v>
      </c>
      <c r="P429" s="1" t="s">
        <v>26</v>
      </c>
    </row>
    <row r="430" spans="1:16" x14ac:dyDescent="0.25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>
        <v>27</v>
      </c>
      <c r="J430" s="3">
        <v>16741.87</v>
      </c>
      <c r="K430" s="2">
        <v>2.1</v>
      </c>
      <c r="L430" s="3">
        <v>442537.85</v>
      </c>
      <c r="M430">
        <v>46214</v>
      </c>
      <c r="N430" s="1" t="s">
        <v>58</v>
      </c>
      <c r="O430" s="1" t="s">
        <v>35</v>
      </c>
      <c r="P430" s="1" t="s">
        <v>26</v>
      </c>
    </row>
    <row r="431" spans="1:16" x14ac:dyDescent="0.25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>
        <v>16</v>
      </c>
      <c r="J431" s="3">
        <v>8881.57</v>
      </c>
      <c r="K431" s="2">
        <v>11.04</v>
      </c>
      <c r="L431" s="3">
        <v>126416.71</v>
      </c>
      <c r="M431">
        <v>46358</v>
      </c>
      <c r="N431" s="1" t="s">
        <v>58</v>
      </c>
      <c r="O431" s="1" t="s">
        <v>35</v>
      </c>
      <c r="P431" s="1" t="s">
        <v>53</v>
      </c>
    </row>
    <row r="432" spans="1:16" x14ac:dyDescent="0.25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>
        <v>31</v>
      </c>
      <c r="J432" s="3">
        <v>16608.38</v>
      </c>
      <c r="K432" s="2">
        <v>13.81</v>
      </c>
      <c r="L432" s="3">
        <v>443757.64</v>
      </c>
      <c r="M432">
        <v>46370</v>
      </c>
      <c r="N432" s="1" t="s">
        <v>68</v>
      </c>
      <c r="O432" s="1" t="s">
        <v>35</v>
      </c>
      <c r="P432" s="1" t="s">
        <v>26</v>
      </c>
    </row>
    <row r="433" spans="1:16" x14ac:dyDescent="0.25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>
        <v>33</v>
      </c>
      <c r="J433" s="3">
        <v>43765.72</v>
      </c>
      <c r="K433" s="2">
        <v>17.600000000000001</v>
      </c>
      <c r="L433" s="3">
        <v>1190077.46</v>
      </c>
      <c r="M433">
        <v>46250</v>
      </c>
      <c r="N433" s="1" t="s">
        <v>113</v>
      </c>
      <c r="O433" s="1" t="s">
        <v>35</v>
      </c>
      <c r="P433" s="1" t="s">
        <v>26</v>
      </c>
    </row>
    <row r="434" spans="1:16" x14ac:dyDescent="0.25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>
        <v>47</v>
      </c>
      <c r="J434" s="3">
        <v>33328.93</v>
      </c>
      <c r="K434" s="2">
        <v>14.86</v>
      </c>
      <c r="L434" s="3">
        <v>1333683.8</v>
      </c>
      <c r="M434">
        <v>46315</v>
      </c>
      <c r="N434" s="1" t="s">
        <v>45</v>
      </c>
      <c r="O434" s="1" t="s">
        <v>35</v>
      </c>
      <c r="P434" s="1" t="s">
        <v>26</v>
      </c>
    </row>
    <row r="435" spans="1:16" x14ac:dyDescent="0.25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>
        <v>16</v>
      </c>
      <c r="J435" s="3">
        <v>25635.16</v>
      </c>
      <c r="K435" s="2">
        <v>16.329999999999998</v>
      </c>
      <c r="L435" s="3">
        <v>343183.01</v>
      </c>
      <c r="M435">
        <v>46057</v>
      </c>
      <c r="N435" s="1" t="s">
        <v>24</v>
      </c>
      <c r="O435" s="1" t="s">
        <v>35</v>
      </c>
      <c r="P435" s="1" t="s">
        <v>53</v>
      </c>
    </row>
    <row r="436" spans="1:16" x14ac:dyDescent="0.25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>
        <v>15</v>
      </c>
      <c r="J436" s="3">
        <v>35948.01</v>
      </c>
      <c r="K436" s="2">
        <v>9.3699999999999992</v>
      </c>
      <c r="L436" s="3">
        <v>488695.22</v>
      </c>
      <c r="M436">
        <v>46166</v>
      </c>
      <c r="N436" s="1" t="s">
        <v>113</v>
      </c>
      <c r="O436" s="1" t="s">
        <v>25</v>
      </c>
      <c r="P436" s="1" t="s">
        <v>26</v>
      </c>
    </row>
    <row r="437" spans="1:16" x14ac:dyDescent="0.25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>
        <v>21</v>
      </c>
      <c r="J437" s="3">
        <v>48467.31</v>
      </c>
      <c r="K437" s="2">
        <v>18.309999999999999</v>
      </c>
      <c r="L437" s="3">
        <v>831451.86</v>
      </c>
      <c r="M437">
        <v>46257</v>
      </c>
      <c r="N437" s="1" t="s">
        <v>45</v>
      </c>
      <c r="O437" s="1" t="s">
        <v>35</v>
      </c>
      <c r="P437" s="1" t="s">
        <v>26</v>
      </c>
    </row>
    <row r="438" spans="1:16" x14ac:dyDescent="0.25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>
        <v>43</v>
      </c>
      <c r="J438" s="3">
        <v>35573.53</v>
      </c>
      <c r="K438" s="2">
        <v>3.78</v>
      </c>
      <c r="L438" s="3">
        <v>1471840.57</v>
      </c>
      <c r="M438">
        <v>46250</v>
      </c>
      <c r="N438" s="1" t="s">
        <v>58</v>
      </c>
      <c r="O438" s="1" t="s">
        <v>35</v>
      </c>
      <c r="P438" s="1" t="s">
        <v>36</v>
      </c>
    </row>
    <row r="439" spans="1:16" x14ac:dyDescent="0.25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>
        <v>33</v>
      </c>
      <c r="J439" s="3">
        <v>30193.7</v>
      </c>
      <c r="K439" s="2">
        <v>2.0499999999999998</v>
      </c>
      <c r="L439" s="3">
        <v>975966.06</v>
      </c>
      <c r="M439">
        <v>46054</v>
      </c>
      <c r="N439" s="1" t="s">
        <v>24</v>
      </c>
      <c r="O439" s="1" t="s">
        <v>35</v>
      </c>
      <c r="P439" s="1" t="s">
        <v>53</v>
      </c>
    </row>
    <row r="440" spans="1:16" x14ac:dyDescent="0.25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>
        <v>9</v>
      </c>
      <c r="J440" s="3">
        <v>34124.53</v>
      </c>
      <c r="K440" s="2">
        <v>1.5</v>
      </c>
      <c r="L440" s="3">
        <v>302513.96000000002</v>
      </c>
      <c r="M440">
        <v>46109</v>
      </c>
      <c r="N440" s="1" t="s">
        <v>45</v>
      </c>
      <c r="O440" s="1" t="s">
        <v>25</v>
      </c>
      <c r="P440" s="1" t="s">
        <v>36</v>
      </c>
    </row>
    <row r="441" spans="1:16" x14ac:dyDescent="0.25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>
        <v>27</v>
      </c>
      <c r="J441" s="3">
        <v>39031.480000000003</v>
      </c>
      <c r="K441" s="2">
        <v>6.91</v>
      </c>
      <c r="L441" s="3">
        <v>981028.93</v>
      </c>
      <c r="M441">
        <v>46031</v>
      </c>
      <c r="N441" s="1" t="s">
        <v>68</v>
      </c>
      <c r="O441" s="1" t="s">
        <v>35</v>
      </c>
      <c r="P441" s="1" t="s">
        <v>36</v>
      </c>
    </row>
    <row r="442" spans="1:16" x14ac:dyDescent="0.25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>
        <v>30</v>
      </c>
      <c r="J442" s="3">
        <v>12331.06</v>
      </c>
      <c r="K442" s="2">
        <v>0.74</v>
      </c>
      <c r="L442" s="3">
        <v>367194.3</v>
      </c>
      <c r="M442">
        <v>46351</v>
      </c>
      <c r="N442" s="1" t="s">
        <v>24</v>
      </c>
      <c r="O442" s="1" t="s">
        <v>35</v>
      </c>
      <c r="P442" s="1" t="s">
        <v>26</v>
      </c>
    </row>
    <row r="443" spans="1:16" x14ac:dyDescent="0.25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>
        <v>41</v>
      </c>
      <c r="J443" s="3">
        <v>21912.98</v>
      </c>
      <c r="K443" s="2">
        <v>13.46</v>
      </c>
      <c r="L443" s="3">
        <v>777503.21</v>
      </c>
      <c r="M443">
        <v>46190</v>
      </c>
      <c r="N443" s="1" t="s">
        <v>58</v>
      </c>
      <c r="O443" s="1" t="s">
        <v>25</v>
      </c>
      <c r="P443" s="1" t="s">
        <v>53</v>
      </c>
    </row>
    <row r="444" spans="1:16" x14ac:dyDescent="0.25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>
        <v>50</v>
      </c>
      <c r="J444" s="3">
        <v>23969.89</v>
      </c>
      <c r="K444" s="2">
        <v>18.09</v>
      </c>
      <c r="L444" s="3">
        <v>981686.84</v>
      </c>
      <c r="M444">
        <v>46069</v>
      </c>
      <c r="N444" s="1" t="s">
        <v>58</v>
      </c>
      <c r="O444" s="1" t="s">
        <v>35</v>
      </c>
      <c r="P444" s="1" t="s">
        <v>36</v>
      </c>
    </row>
    <row r="445" spans="1:16" x14ac:dyDescent="0.25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>
        <v>43</v>
      </c>
      <c r="J445" s="3">
        <v>19450.759999999998</v>
      </c>
      <c r="K445" s="2">
        <v>8.07</v>
      </c>
      <c r="L445" s="3">
        <v>768886.6</v>
      </c>
      <c r="M445">
        <v>46349</v>
      </c>
      <c r="N445" s="1" t="s">
        <v>58</v>
      </c>
      <c r="O445" s="1" t="s">
        <v>35</v>
      </c>
      <c r="P445" s="1" t="s">
        <v>53</v>
      </c>
    </row>
    <row r="446" spans="1:16" x14ac:dyDescent="0.25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>
        <v>34</v>
      </c>
      <c r="J446" s="3">
        <v>46403.519999999997</v>
      </c>
      <c r="K446" s="2">
        <v>14.38</v>
      </c>
      <c r="L446" s="3">
        <v>1350843.59</v>
      </c>
      <c r="M446">
        <v>46347</v>
      </c>
      <c r="N446" s="1" t="s">
        <v>58</v>
      </c>
      <c r="O446" s="1" t="s">
        <v>25</v>
      </c>
      <c r="P446" s="1" t="s">
        <v>26</v>
      </c>
    </row>
    <row r="447" spans="1:16" x14ac:dyDescent="0.25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>
        <v>50</v>
      </c>
      <c r="J447" s="3">
        <v>16506.46</v>
      </c>
      <c r="K447" s="2">
        <v>1.64</v>
      </c>
      <c r="L447" s="3">
        <v>811787.7</v>
      </c>
      <c r="M447">
        <v>46251</v>
      </c>
      <c r="N447" s="1" t="s">
        <v>68</v>
      </c>
      <c r="O447" s="1" t="s">
        <v>35</v>
      </c>
      <c r="P447" s="1" t="s">
        <v>53</v>
      </c>
    </row>
    <row r="448" spans="1:16" x14ac:dyDescent="0.25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>
        <v>39</v>
      </c>
      <c r="J448" s="3">
        <v>42896.28</v>
      </c>
      <c r="K448" s="2">
        <v>2.8</v>
      </c>
      <c r="L448" s="3">
        <v>1626112.18</v>
      </c>
      <c r="M448">
        <v>46163</v>
      </c>
      <c r="N448" s="1" t="s">
        <v>24</v>
      </c>
      <c r="O448" s="1" t="s">
        <v>35</v>
      </c>
      <c r="P448" s="1" t="s">
        <v>26</v>
      </c>
    </row>
    <row r="449" spans="1:16" x14ac:dyDescent="0.25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>
        <v>24</v>
      </c>
      <c r="J449" s="3">
        <v>24816.69</v>
      </c>
      <c r="K449" s="2">
        <v>3.27</v>
      </c>
      <c r="L449" s="3">
        <v>576124.42000000004</v>
      </c>
      <c r="M449">
        <v>46316</v>
      </c>
      <c r="N449" s="1" t="s">
        <v>45</v>
      </c>
      <c r="O449" s="1" t="s">
        <v>35</v>
      </c>
      <c r="P449" s="1" t="s">
        <v>53</v>
      </c>
    </row>
    <row r="450" spans="1:16" x14ac:dyDescent="0.25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>
        <v>9</v>
      </c>
      <c r="J450" s="3">
        <v>28768.02</v>
      </c>
      <c r="K450" s="2">
        <v>10.45</v>
      </c>
      <c r="L450" s="3">
        <v>231855.86</v>
      </c>
      <c r="M450">
        <v>46347</v>
      </c>
      <c r="N450" s="1" t="s">
        <v>58</v>
      </c>
      <c r="O450" s="1" t="s">
        <v>35</v>
      </c>
      <c r="P450" s="1" t="s">
        <v>36</v>
      </c>
    </row>
    <row r="451" spans="1:16" x14ac:dyDescent="0.25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>
        <v>41</v>
      </c>
      <c r="J451" s="3">
        <v>18919.310000000001</v>
      </c>
      <c r="K451" s="2">
        <v>1.08</v>
      </c>
      <c r="L451" s="3">
        <v>767314.24</v>
      </c>
      <c r="M451">
        <v>46351</v>
      </c>
      <c r="N451" s="1" t="s">
        <v>45</v>
      </c>
      <c r="O451" s="1" t="s">
        <v>35</v>
      </c>
      <c r="P451" s="1" t="s">
        <v>53</v>
      </c>
    </row>
    <row r="452" spans="1:16" x14ac:dyDescent="0.25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>
        <v>49</v>
      </c>
      <c r="J452" s="3">
        <v>2344.5100000000002</v>
      </c>
      <c r="K452" s="2">
        <v>10.1</v>
      </c>
      <c r="L452" s="3">
        <v>103278.01</v>
      </c>
      <c r="M452">
        <v>46025</v>
      </c>
      <c r="N452" s="1" t="s">
        <v>113</v>
      </c>
      <c r="O452" s="1" t="s">
        <v>35</v>
      </c>
      <c r="P452" s="1" t="s">
        <v>53</v>
      </c>
    </row>
    <row r="453" spans="1:16" x14ac:dyDescent="0.25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>
        <v>14</v>
      </c>
      <c r="J453" s="3">
        <v>20574.150000000001</v>
      </c>
      <c r="K453" s="2">
        <v>6.11</v>
      </c>
      <c r="L453" s="3">
        <v>270438.96999999997</v>
      </c>
      <c r="M453">
        <v>46239</v>
      </c>
      <c r="N453" s="1" t="s">
        <v>24</v>
      </c>
      <c r="O453" s="1" t="s">
        <v>35</v>
      </c>
      <c r="P453" s="1" t="s">
        <v>26</v>
      </c>
    </row>
    <row r="454" spans="1:16" x14ac:dyDescent="0.25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>
        <v>38</v>
      </c>
      <c r="J454" s="3">
        <v>49066.25</v>
      </c>
      <c r="K454" s="2">
        <v>18.88</v>
      </c>
      <c r="L454" s="3">
        <v>1512496.6</v>
      </c>
      <c r="M454">
        <v>46100</v>
      </c>
      <c r="N454" s="1" t="s">
        <v>68</v>
      </c>
      <c r="O454" s="1" t="s">
        <v>35</v>
      </c>
      <c r="P454" s="1" t="s">
        <v>53</v>
      </c>
    </row>
    <row r="455" spans="1:16" x14ac:dyDescent="0.25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>
        <v>30</v>
      </c>
      <c r="J455" s="3">
        <v>15808.64</v>
      </c>
      <c r="K455" s="2">
        <v>12.76</v>
      </c>
      <c r="L455" s="3">
        <v>413743.73</v>
      </c>
      <c r="M455">
        <v>46256</v>
      </c>
      <c r="N455" s="1" t="s">
        <v>58</v>
      </c>
      <c r="O455" s="1" t="s">
        <v>25</v>
      </c>
      <c r="P455" s="1" t="s">
        <v>26</v>
      </c>
    </row>
    <row r="456" spans="1:16" x14ac:dyDescent="0.25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>
        <v>5</v>
      </c>
      <c r="J456" s="3">
        <v>11371.35</v>
      </c>
      <c r="K456" s="2">
        <v>19.13</v>
      </c>
      <c r="L456" s="3">
        <v>45980.05</v>
      </c>
      <c r="M456">
        <v>46301</v>
      </c>
      <c r="N456" s="1" t="s">
        <v>113</v>
      </c>
      <c r="O456" s="1" t="s">
        <v>35</v>
      </c>
      <c r="P456" s="1" t="s">
        <v>53</v>
      </c>
    </row>
    <row r="457" spans="1:16" x14ac:dyDescent="0.25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>
        <v>33</v>
      </c>
      <c r="J457" s="3">
        <v>41271.760000000002</v>
      </c>
      <c r="K457" s="2">
        <v>11.91</v>
      </c>
      <c r="L457" s="3">
        <v>1199757.68</v>
      </c>
      <c r="M457">
        <v>46349</v>
      </c>
      <c r="N457" s="1" t="s">
        <v>68</v>
      </c>
      <c r="O457" s="1" t="s">
        <v>35</v>
      </c>
      <c r="P457" s="1" t="s">
        <v>53</v>
      </c>
    </row>
    <row r="458" spans="1:16" x14ac:dyDescent="0.25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>
        <v>10</v>
      </c>
      <c r="J458" s="3">
        <v>26606.67</v>
      </c>
      <c r="K458" s="2">
        <v>10.47</v>
      </c>
      <c r="L458" s="3">
        <v>238209.52</v>
      </c>
      <c r="M458">
        <v>46276</v>
      </c>
      <c r="N458" s="1" t="s">
        <v>68</v>
      </c>
      <c r="O458" s="1" t="s">
        <v>35</v>
      </c>
      <c r="P458" s="1" t="s">
        <v>36</v>
      </c>
    </row>
    <row r="459" spans="1:16" x14ac:dyDescent="0.25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>
        <v>43</v>
      </c>
      <c r="J459" s="3">
        <v>22613.11</v>
      </c>
      <c r="K459" s="2">
        <v>3.83</v>
      </c>
      <c r="L459" s="3">
        <v>935122.2</v>
      </c>
      <c r="M459">
        <v>46326</v>
      </c>
      <c r="N459" s="1" t="s">
        <v>58</v>
      </c>
      <c r="O459" s="1" t="s">
        <v>35</v>
      </c>
      <c r="P459" s="1" t="s">
        <v>53</v>
      </c>
    </row>
    <row r="460" spans="1:16" x14ac:dyDescent="0.25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>
        <v>13</v>
      </c>
      <c r="J460" s="3">
        <v>43609.25</v>
      </c>
      <c r="K460" s="2">
        <v>2.76</v>
      </c>
      <c r="L460" s="3">
        <v>551273.25</v>
      </c>
      <c r="M460">
        <v>46169</v>
      </c>
      <c r="N460" s="1" t="s">
        <v>24</v>
      </c>
      <c r="O460" s="1" t="s">
        <v>35</v>
      </c>
      <c r="P460" s="1" t="s">
        <v>26</v>
      </c>
    </row>
    <row r="461" spans="1:16" x14ac:dyDescent="0.25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>
        <v>8</v>
      </c>
      <c r="J461" s="3">
        <v>41252.68</v>
      </c>
      <c r="K461" s="2">
        <v>18.989999999999998</v>
      </c>
      <c r="L461" s="3">
        <v>267350.37</v>
      </c>
      <c r="M461">
        <v>46173</v>
      </c>
      <c r="N461" s="1" t="s">
        <v>58</v>
      </c>
      <c r="O461" s="1" t="s">
        <v>35</v>
      </c>
      <c r="P461" s="1" t="s">
        <v>53</v>
      </c>
    </row>
    <row r="462" spans="1:16" x14ac:dyDescent="0.25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>
        <v>49</v>
      </c>
      <c r="J462" s="3">
        <v>18293.04</v>
      </c>
      <c r="K462" s="2">
        <v>2.63</v>
      </c>
      <c r="L462" s="3">
        <v>872784.72</v>
      </c>
      <c r="M462">
        <v>46169</v>
      </c>
      <c r="N462" s="1" t="s">
        <v>58</v>
      </c>
      <c r="O462" s="1" t="s">
        <v>35</v>
      </c>
      <c r="P462" s="1" t="s">
        <v>26</v>
      </c>
    </row>
    <row r="463" spans="1:16" x14ac:dyDescent="0.25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>
        <v>33</v>
      </c>
      <c r="J463" s="3">
        <v>18054.169999999998</v>
      </c>
      <c r="K463" s="2">
        <v>16.91</v>
      </c>
      <c r="L463" s="3">
        <v>495039.93</v>
      </c>
      <c r="M463">
        <v>46368</v>
      </c>
      <c r="N463" s="1" t="s">
        <v>113</v>
      </c>
      <c r="O463" s="1" t="s">
        <v>25</v>
      </c>
      <c r="P463" s="1" t="s">
        <v>53</v>
      </c>
    </row>
    <row r="464" spans="1:16" x14ac:dyDescent="0.25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>
        <v>14</v>
      </c>
      <c r="J464" s="3">
        <v>932.45</v>
      </c>
      <c r="K464" s="2">
        <v>2.54</v>
      </c>
      <c r="L464" s="3">
        <v>12722.72</v>
      </c>
      <c r="M464">
        <v>46371</v>
      </c>
      <c r="N464" s="1" t="s">
        <v>113</v>
      </c>
      <c r="O464" s="1" t="s">
        <v>35</v>
      </c>
      <c r="P464" s="1" t="s">
        <v>26</v>
      </c>
    </row>
    <row r="465" spans="1:16" x14ac:dyDescent="0.25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>
        <v>25</v>
      </c>
      <c r="J465" s="3">
        <v>36487.39</v>
      </c>
      <c r="K465" s="2">
        <v>7.22</v>
      </c>
      <c r="L465" s="3">
        <v>846325.01</v>
      </c>
      <c r="M465">
        <v>46223</v>
      </c>
      <c r="N465" s="1" t="s">
        <v>58</v>
      </c>
      <c r="O465" s="1" t="s">
        <v>35</v>
      </c>
      <c r="P465" s="1" t="s">
        <v>26</v>
      </c>
    </row>
    <row r="466" spans="1:16" x14ac:dyDescent="0.25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>
        <v>15</v>
      </c>
      <c r="J466" s="3">
        <v>40698.019999999997</v>
      </c>
      <c r="K466" s="2">
        <v>0.1</v>
      </c>
      <c r="L466" s="3">
        <v>609859.82999999996</v>
      </c>
      <c r="M466">
        <v>46368</v>
      </c>
      <c r="N466" s="1" t="s">
        <v>58</v>
      </c>
      <c r="O466" s="1" t="s">
        <v>35</v>
      </c>
      <c r="P466" s="1" t="s">
        <v>36</v>
      </c>
    </row>
    <row r="467" spans="1:16" x14ac:dyDescent="0.25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>
        <v>5</v>
      </c>
      <c r="J467" s="3">
        <v>47477.71</v>
      </c>
      <c r="K467" s="2">
        <v>0.6</v>
      </c>
      <c r="L467" s="3">
        <v>235964.22</v>
      </c>
      <c r="M467">
        <v>46267</v>
      </c>
      <c r="N467" s="1" t="s">
        <v>24</v>
      </c>
      <c r="O467" s="1" t="s">
        <v>35</v>
      </c>
      <c r="P467" s="1" t="s">
        <v>53</v>
      </c>
    </row>
    <row r="468" spans="1:16" x14ac:dyDescent="0.25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>
        <v>26</v>
      </c>
      <c r="J468" s="3">
        <v>5176.6099999999997</v>
      </c>
      <c r="K468" s="2">
        <v>3.67</v>
      </c>
      <c r="L468" s="3">
        <v>129652.34</v>
      </c>
      <c r="M468">
        <v>46216</v>
      </c>
      <c r="N468" s="1" t="s">
        <v>113</v>
      </c>
      <c r="O468" s="1" t="s">
        <v>35</v>
      </c>
      <c r="P468" s="1" t="s">
        <v>36</v>
      </c>
    </row>
    <row r="469" spans="1:16" x14ac:dyDescent="0.25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>
        <v>50</v>
      </c>
      <c r="J469" s="3">
        <v>14703.83</v>
      </c>
      <c r="K469" s="2">
        <v>17.78</v>
      </c>
      <c r="L469" s="3">
        <v>604474.44999999995</v>
      </c>
      <c r="M469">
        <v>46052</v>
      </c>
      <c r="N469" s="1" t="s">
        <v>45</v>
      </c>
      <c r="O469" s="1" t="s">
        <v>59</v>
      </c>
      <c r="P469" s="1" t="s">
        <v>53</v>
      </c>
    </row>
    <row r="470" spans="1:16" x14ac:dyDescent="0.25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>
        <v>32</v>
      </c>
      <c r="J470" s="3">
        <v>49678.99</v>
      </c>
      <c r="K470" s="2">
        <v>5.34</v>
      </c>
      <c r="L470" s="3">
        <v>1504836.22</v>
      </c>
      <c r="M470">
        <v>46295</v>
      </c>
      <c r="N470" s="1" t="s">
        <v>24</v>
      </c>
      <c r="O470" s="1" t="s">
        <v>35</v>
      </c>
      <c r="P470" s="1" t="s">
        <v>53</v>
      </c>
    </row>
    <row r="471" spans="1:16" x14ac:dyDescent="0.25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>
        <v>40</v>
      </c>
      <c r="J471" s="3">
        <v>28757.1</v>
      </c>
      <c r="K471" s="2">
        <v>3.91</v>
      </c>
      <c r="L471" s="3">
        <v>1105307.8999999999</v>
      </c>
      <c r="M471">
        <v>46375</v>
      </c>
      <c r="N471" s="1" t="s">
        <v>113</v>
      </c>
      <c r="O471" s="1" t="s">
        <v>35</v>
      </c>
      <c r="P471" s="1" t="s">
        <v>26</v>
      </c>
    </row>
    <row r="472" spans="1:16" x14ac:dyDescent="0.25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>
        <v>2</v>
      </c>
      <c r="J472" s="3">
        <v>35444.43</v>
      </c>
      <c r="K472" s="2">
        <v>16.8</v>
      </c>
      <c r="L472" s="3">
        <v>58979.53</v>
      </c>
      <c r="M472">
        <v>46136</v>
      </c>
      <c r="N472" s="1" t="s">
        <v>24</v>
      </c>
      <c r="O472" s="1" t="s">
        <v>35</v>
      </c>
      <c r="P472" s="1" t="s">
        <v>26</v>
      </c>
    </row>
    <row r="473" spans="1:16" x14ac:dyDescent="0.25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>
        <v>5</v>
      </c>
      <c r="J473" s="3">
        <v>18898.419999999998</v>
      </c>
      <c r="K473" s="2">
        <v>12.06</v>
      </c>
      <c r="L473" s="3">
        <v>83096.350000000006</v>
      </c>
      <c r="M473">
        <v>46296</v>
      </c>
      <c r="N473" s="1" t="s">
        <v>45</v>
      </c>
      <c r="O473" s="1" t="s">
        <v>59</v>
      </c>
      <c r="P473" s="1" t="s">
        <v>36</v>
      </c>
    </row>
    <row r="474" spans="1:16" x14ac:dyDescent="0.25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>
        <v>7</v>
      </c>
      <c r="J474" s="3">
        <v>30979.83</v>
      </c>
      <c r="K474" s="2">
        <v>10.24</v>
      </c>
      <c r="L474" s="3">
        <v>194652.47</v>
      </c>
      <c r="M474">
        <v>46249</v>
      </c>
      <c r="N474" s="1" t="s">
        <v>24</v>
      </c>
      <c r="O474" s="1" t="s">
        <v>35</v>
      </c>
      <c r="P474" s="1" t="s">
        <v>53</v>
      </c>
    </row>
    <row r="475" spans="1:16" x14ac:dyDescent="0.25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>
        <v>1</v>
      </c>
      <c r="J475" s="3">
        <v>44965.3</v>
      </c>
      <c r="K475" s="2">
        <v>19.8</v>
      </c>
      <c r="L475" s="3">
        <v>36062.17</v>
      </c>
      <c r="M475">
        <v>46083</v>
      </c>
      <c r="N475" s="1" t="s">
        <v>24</v>
      </c>
      <c r="O475" s="1" t="s">
        <v>35</v>
      </c>
      <c r="P475" s="1" t="s">
        <v>26</v>
      </c>
    </row>
    <row r="476" spans="1:16" x14ac:dyDescent="0.25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>
        <v>12</v>
      </c>
      <c r="J476" s="3">
        <v>1254.52</v>
      </c>
      <c r="K476" s="2">
        <v>17.02</v>
      </c>
      <c r="L476" s="3">
        <v>12492.01</v>
      </c>
      <c r="M476">
        <v>46142</v>
      </c>
      <c r="N476" s="1" t="s">
        <v>113</v>
      </c>
      <c r="O476" s="1" t="s">
        <v>35</v>
      </c>
      <c r="P476" s="1" t="s">
        <v>26</v>
      </c>
    </row>
    <row r="477" spans="1:16" x14ac:dyDescent="0.25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>
        <v>26</v>
      </c>
      <c r="J477" s="3">
        <v>35021.1</v>
      </c>
      <c r="K477" s="2">
        <v>8.4</v>
      </c>
      <c r="L477" s="3">
        <v>834062.52</v>
      </c>
      <c r="M477">
        <v>46062</v>
      </c>
      <c r="N477" s="1" t="s">
        <v>68</v>
      </c>
      <c r="O477" s="1" t="s">
        <v>35</v>
      </c>
      <c r="P477" s="1" t="s">
        <v>53</v>
      </c>
    </row>
    <row r="478" spans="1:16" x14ac:dyDescent="0.25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>
        <v>15</v>
      </c>
      <c r="J478" s="3">
        <v>48107.01</v>
      </c>
      <c r="K478" s="2">
        <v>11.96</v>
      </c>
      <c r="L478" s="3">
        <v>635301.17000000004</v>
      </c>
      <c r="M478">
        <v>46154</v>
      </c>
      <c r="N478" s="1" t="s">
        <v>24</v>
      </c>
      <c r="O478" s="1" t="s">
        <v>35</v>
      </c>
      <c r="P478" s="1" t="s">
        <v>53</v>
      </c>
    </row>
    <row r="479" spans="1:16" x14ac:dyDescent="0.25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>
        <v>49</v>
      </c>
      <c r="J479" s="3">
        <v>39027.32</v>
      </c>
      <c r="K479" s="2">
        <v>10.36</v>
      </c>
      <c r="L479" s="3">
        <v>1714220.39</v>
      </c>
      <c r="M479">
        <v>46080</v>
      </c>
      <c r="N479" s="1" t="s">
        <v>58</v>
      </c>
      <c r="O479" s="1" t="s">
        <v>35</v>
      </c>
      <c r="P479" s="1" t="s">
        <v>53</v>
      </c>
    </row>
    <row r="480" spans="1:16" x14ac:dyDescent="0.25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>
        <v>4</v>
      </c>
      <c r="J480" s="3">
        <v>47325.919999999998</v>
      </c>
      <c r="K480" s="2">
        <v>18.36</v>
      </c>
      <c r="L480" s="3">
        <v>154547.51999999999</v>
      </c>
      <c r="M480">
        <v>46326</v>
      </c>
      <c r="N480" s="1" t="s">
        <v>24</v>
      </c>
      <c r="O480" s="1" t="s">
        <v>35</v>
      </c>
      <c r="P480" s="1" t="s">
        <v>36</v>
      </c>
    </row>
    <row r="481" spans="1:16" x14ac:dyDescent="0.25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>
        <v>12</v>
      </c>
      <c r="J481" s="3">
        <v>22904.69</v>
      </c>
      <c r="K481" s="2">
        <v>0.71</v>
      </c>
      <c r="L481" s="3">
        <v>272904.8</v>
      </c>
      <c r="M481">
        <v>46102</v>
      </c>
      <c r="N481" s="1" t="s">
        <v>24</v>
      </c>
      <c r="O481" s="1" t="s">
        <v>35</v>
      </c>
      <c r="P481" s="1" t="s">
        <v>26</v>
      </c>
    </row>
    <row r="482" spans="1:16" x14ac:dyDescent="0.25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>
        <v>36</v>
      </c>
      <c r="J482" s="3">
        <v>28359.11</v>
      </c>
      <c r="K482" s="2">
        <v>17.82</v>
      </c>
      <c r="L482" s="3">
        <v>838998.6</v>
      </c>
      <c r="M482">
        <v>46299</v>
      </c>
      <c r="N482" s="1" t="s">
        <v>24</v>
      </c>
      <c r="O482" s="1" t="s">
        <v>35</v>
      </c>
      <c r="P482" s="1" t="s">
        <v>26</v>
      </c>
    </row>
    <row r="483" spans="1:16" x14ac:dyDescent="0.25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>
        <v>40</v>
      </c>
      <c r="J483" s="3">
        <v>18761.04</v>
      </c>
      <c r="K483" s="2">
        <v>5.09</v>
      </c>
      <c r="L483" s="3">
        <v>712244.12</v>
      </c>
      <c r="M483">
        <v>46046</v>
      </c>
      <c r="N483" s="1" t="s">
        <v>113</v>
      </c>
      <c r="O483" s="1" t="s">
        <v>35</v>
      </c>
      <c r="P483" s="1" t="s">
        <v>36</v>
      </c>
    </row>
    <row r="484" spans="1:16" x14ac:dyDescent="0.25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>
        <v>45</v>
      </c>
      <c r="J484" s="3">
        <v>18152.849999999999</v>
      </c>
      <c r="K484" s="2">
        <v>17.8</v>
      </c>
      <c r="L484" s="3">
        <v>671473.92</v>
      </c>
      <c r="M484">
        <v>46243</v>
      </c>
      <c r="N484" s="1" t="s">
        <v>24</v>
      </c>
      <c r="O484" s="1" t="s">
        <v>35</v>
      </c>
      <c r="P484" s="1" t="s">
        <v>36</v>
      </c>
    </row>
    <row r="485" spans="1:16" x14ac:dyDescent="0.25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>
        <v>33</v>
      </c>
      <c r="J485" s="3">
        <v>40138.74</v>
      </c>
      <c r="K485" s="2">
        <v>14.68</v>
      </c>
      <c r="L485" s="3">
        <v>1130130.31</v>
      </c>
      <c r="M485">
        <v>46024</v>
      </c>
      <c r="N485" s="1" t="s">
        <v>58</v>
      </c>
      <c r="O485" s="1" t="s">
        <v>35</v>
      </c>
      <c r="P485" s="1" t="s">
        <v>36</v>
      </c>
    </row>
    <row r="486" spans="1:16" x14ac:dyDescent="0.25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>
        <v>3</v>
      </c>
      <c r="J486" s="3">
        <v>3486.13</v>
      </c>
      <c r="K486" s="2">
        <v>13.62</v>
      </c>
      <c r="L486" s="3">
        <v>9033.9599999999991</v>
      </c>
      <c r="M486">
        <v>46104</v>
      </c>
      <c r="N486" s="1" t="s">
        <v>24</v>
      </c>
      <c r="O486" s="1" t="s">
        <v>35</v>
      </c>
      <c r="P486" s="1" t="s">
        <v>53</v>
      </c>
    </row>
    <row r="487" spans="1:16" x14ac:dyDescent="0.25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>
        <v>31</v>
      </c>
      <c r="J487" s="3">
        <v>14977.84</v>
      </c>
      <c r="K487" s="2">
        <v>5.3</v>
      </c>
      <c r="L487" s="3">
        <v>439704.45</v>
      </c>
      <c r="M487">
        <v>46171</v>
      </c>
      <c r="N487" s="1" t="s">
        <v>58</v>
      </c>
      <c r="O487" s="1" t="s">
        <v>59</v>
      </c>
      <c r="P487" s="1" t="s">
        <v>36</v>
      </c>
    </row>
    <row r="488" spans="1:16" x14ac:dyDescent="0.25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>
        <v>18</v>
      </c>
      <c r="J488" s="3">
        <v>48678.62</v>
      </c>
      <c r="K488" s="2">
        <v>7.09</v>
      </c>
      <c r="L488" s="3">
        <v>814091.51</v>
      </c>
      <c r="M488">
        <v>46271</v>
      </c>
      <c r="N488" s="1" t="s">
        <v>45</v>
      </c>
      <c r="O488" s="1" t="s">
        <v>35</v>
      </c>
      <c r="P488" s="1" t="s">
        <v>53</v>
      </c>
    </row>
    <row r="489" spans="1:16" x14ac:dyDescent="0.25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>
        <v>40</v>
      </c>
      <c r="J489" s="3">
        <v>8790.0499999999993</v>
      </c>
      <c r="K489" s="2">
        <v>4.32</v>
      </c>
      <c r="L489" s="3">
        <v>336412.79</v>
      </c>
      <c r="M489">
        <v>46075</v>
      </c>
      <c r="N489" s="1" t="s">
        <v>58</v>
      </c>
      <c r="O489" s="1" t="s">
        <v>35</v>
      </c>
      <c r="P489" s="1" t="s">
        <v>53</v>
      </c>
    </row>
    <row r="490" spans="1:16" x14ac:dyDescent="0.25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>
        <v>27</v>
      </c>
      <c r="J490" s="3">
        <v>31876.87</v>
      </c>
      <c r="K490" s="2">
        <v>2.3199999999999998</v>
      </c>
      <c r="L490" s="3">
        <v>840707.82</v>
      </c>
      <c r="M490">
        <v>46367</v>
      </c>
      <c r="N490" s="1" t="s">
        <v>113</v>
      </c>
      <c r="O490" s="1" t="s">
        <v>35</v>
      </c>
      <c r="P490" s="1" t="s">
        <v>26</v>
      </c>
    </row>
    <row r="491" spans="1:16" x14ac:dyDescent="0.25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>
        <v>9</v>
      </c>
      <c r="J491" s="3">
        <v>24499.93</v>
      </c>
      <c r="K491" s="2">
        <v>19.21</v>
      </c>
      <c r="L491" s="3">
        <v>178141.44</v>
      </c>
      <c r="M491">
        <v>46147</v>
      </c>
      <c r="N491" s="1" t="s">
        <v>24</v>
      </c>
      <c r="O491" s="1" t="s">
        <v>35</v>
      </c>
      <c r="P491" s="1" t="s">
        <v>36</v>
      </c>
    </row>
    <row r="492" spans="1:16" x14ac:dyDescent="0.25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>
        <v>26</v>
      </c>
      <c r="J492" s="3">
        <v>15697.55</v>
      </c>
      <c r="K492" s="2">
        <v>14.94</v>
      </c>
      <c r="L492" s="3">
        <v>347160.74</v>
      </c>
      <c r="M492">
        <v>46314</v>
      </c>
      <c r="N492" s="1" t="s">
        <v>68</v>
      </c>
      <c r="O492" s="1" t="s">
        <v>35</v>
      </c>
      <c r="P492" s="1" t="s">
        <v>36</v>
      </c>
    </row>
    <row r="493" spans="1:16" x14ac:dyDescent="0.25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>
        <v>29</v>
      </c>
      <c r="J493" s="3">
        <v>19958.009999999998</v>
      </c>
      <c r="K493" s="2">
        <v>1.79</v>
      </c>
      <c r="L493" s="3">
        <v>568422.09</v>
      </c>
      <c r="M493">
        <v>46289</v>
      </c>
      <c r="N493" s="1" t="s">
        <v>68</v>
      </c>
      <c r="O493" s="1" t="s">
        <v>35</v>
      </c>
      <c r="P493" s="1" t="s">
        <v>53</v>
      </c>
    </row>
    <row r="494" spans="1:16" x14ac:dyDescent="0.25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>
        <v>32</v>
      </c>
      <c r="J494" s="3">
        <v>6693.7</v>
      </c>
      <c r="K494" s="2">
        <v>18.309999999999999</v>
      </c>
      <c r="L494" s="3">
        <v>174978.67</v>
      </c>
      <c r="M494">
        <v>46331</v>
      </c>
      <c r="N494" s="1" t="s">
        <v>113</v>
      </c>
      <c r="O494" s="1" t="s">
        <v>35</v>
      </c>
      <c r="P494" s="1" t="s">
        <v>26</v>
      </c>
    </row>
    <row r="495" spans="1:16" x14ac:dyDescent="0.25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>
        <v>33</v>
      </c>
      <c r="J495" s="3">
        <v>36090.86</v>
      </c>
      <c r="K495" s="2">
        <v>14.31</v>
      </c>
      <c r="L495" s="3">
        <v>1020566.51</v>
      </c>
      <c r="M495">
        <v>46212</v>
      </c>
      <c r="N495" s="1" t="s">
        <v>68</v>
      </c>
      <c r="O495" s="1" t="s">
        <v>59</v>
      </c>
      <c r="P495" s="1" t="s">
        <v>53</v>
      </c>
    </row>
    <row r="496" spans="1:16" x14ac:dyDescent="0.25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>
        <v>19</v>
      </c>
      <c r="J496" s="3">
        <v>9911.01</v>
      </c>
      <c r="K496" s="2">
        <v>9.66</v>
      </c>
      <c r="L496" s="3">
        <v>170118.52</v>
      </c>
      <c r="M496">
        <v>46130</v>
      </c>
      <c r="N496" s="1" t="s">
        <v>58</v>
      </c>
      <c r="O496" s="1" t="s">
        <v>35</v>
      </c>
      <c r="P496" s="1" t="s">
        <v>53</v>
      </c>
    </row>
    <row r="497" spans="1:16" x14ac:dyDescent="0.25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>
        <v>39</v>
      </c>
      <c r="J497" s="3">
        <v>42321.51</v>
      </c>
      <c r="K497" s="2">
        <v>13.65</v>
      </c>
      <c r="L497" s="3">
        <v>1425240.33</v>
      </c>
      <c r="M497">
        <v>46263</v>
      </c>
      <c r="N497" s="1" t="s">
        <v>45</v>
      </c>
      <c r="O497" s="1" t="s">
        <v>25</v>
      </c>
      <c r="P497" s="1" t="s">
        <v>26</v>
      </c>
    </row>
    <row r="498" spans="1:16" x14ac:dyDescent="0.25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>
        <v>32</v>
      </c>
      <c r="J498" s="3">
        <v>49102.75</v>
      </c>
      <c r="K498" s="2">
        <v>5.89</v>
      </c>
      <c r="L498" s="3">
        <v>1478739.14</v>
      </c>
      <c r="M498">
        <v>46358</v>
      </c>
      <c r="N498" s="1" t="s">
        <v>45</v>
      </c>
      <c r="O498" s="1" t="s">
        <v>25</v>
      </c>
      <c r="P498" s="1" t="s">
        <v>36</v>
      </c>
    </row>
    <row r="499" spans="1:16" x14ac:dyDescent="0.25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>
        <v>1</v>
      </c>
      <c r="J499" s="3">
        <v>10340.83</v>
      </c>
      <c r="K499" s="2">
        <v>4.49</v>
      </c>
      <c r="L499" s="3">
        <v>9876.5300000000007</v>
      </c>
      <c r="M499">
        <v>46363</v>
      </c>
      <c r="N499" s="1" t="s">
        <v>45</v>
      </c>
      <c r="O499" s="1" t="s">
        <v>35</v>
      </c>
      <c r="P499" s="1" t="s">
        <v>53</v>
      </c>
    </row>
    <row r="500" spans="1:16" x14ac:dyDescent="0.25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>
        <v>40</v>
      </c>
      <c r="J500" s="3">
        <v>22449.93</v>
      </c>
      <c r="K500" s="2">
        <v>18.190000000000001</v>
      </c>
      <c r="L500" s="3">
        <v>734651.51</v>
      </c>
      <c r="M500">
        <v>46313</v>
      </c>
      <c r="N500" s="1" t="s">
        <v>113</v>
      </c>
      <c r="O500" s="1" t="s">
        <v>35</v>
      </c>
      <c r="P500" s="1" t="s">
        <v>53</v>
      </c>
    </row>
    <row r="501" spans="1:16" x14ac:dyDescent="0.25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>
        <v>4</v>
      </c>
      <c r="J501" s="3">
        <v>47027.45</v>
      </c>
      <c r="K501" s="2">
        <v>7.07</v>
      </c>
      <c r="L501" s="3">
        <v>174810.44</v>
      </c>
      <c r="M501">
        <v>46120</v>
      </c>
      <c r="N501" s="1" t="s">
        <v>58</v>
      </c>
      <c r="O501" s="1" t="s">
        <v>35</v>
      </c>
      <c r="P501" s="1" t="s">
        <v>36</v>
      </c>
    </row>
    <row r="502" spans="1:16" x14ac:dyDescent="0.25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>
        <v>43</v>
      </c>
      <c r="J502" s="3">
        <v>46606.85</v>
      </c>
      <c r="K502" s="2">
        <v>12.69</v>
      </c>
      <c r="L502" s="3">
        <v>1749774.95</v>
      </c>
      <c r="M502">
        <v>46235</v>
      </c>
      <c r="N502" s="1" t="s">
        <v>113</v>
      </c>
      <c r="O502" s="1" t="s">
        <v>35</v>
      </c>
      <c r="P502" s="1" t="s">
        <v>53</v>
      </c>
    </row>
    <row r="503" spans="1:16" x14ac:dyDescent="0.25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>
        <v>26</v>
      </c>
      <c r="J503" s="3">
        <v>43139.79</v>
      </c>
      <c r="K503" s="2">
        <v>1.35</v>
      </c>
      <c r="L503" s="3">
        <v>1106492.47</v>
      </c>
      <c r="M503">
        <v>46222</v>
      </c>
      <c r="N503" s="1" t="s">
        <v>45</v>
      </c>
      <c r="O503" s="1" t="s">
        <v>35</v>
      </c>
      <c r="P503" s="1" t="s">
        <v>53</v>
      </c>
    </row>
    <row r="504" spans="1:16" x14ac:dyDescent="0.25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>
        <v>24</v>
      </c>
      <c r="J504" s="3">
        <v>11615.47</v>
      </c>
      <c r="K504" s="2">
        <v>12.83</v>
      </c>
      <c r="L504" s="3">
        <v>243004.92</v>
      </c>
      <c r="M504">
        <v>46387</v>
      </c>
      <c r="N504" s="1" t="s">
        <v>45</v>
      </c>
      <c r="O504" s="1" t="s">
        <v>35</v>
      </c>
      <c r="P504" s="1" t="s">
        <v>53</v>
      </c>
    </row>
    <row r="505" spans="1:16" x14ac:dyDescent="0.25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>
        <v>40</v>
      </c>
      <c r="J505" s="3">
        <v>34111.620000000003</v>
      </c>
      <c r="K505" s="2">
        <v>17.66</v>
      </c>
      <c r="L505" s="3">
        <v>1123500.32</v>
      </c>
      <c r="M505">
        <v>46365</v>
      </c>
      <c r="N505" s="1" t="s">
        <v>45</v>
      </c>
      <c r="O505" s="1" t="s">
        <v>35</v>
      </c>
      <c r="P505" s="1" t="s">
        <v>53</v>
      </c>
    </row>
    <row r="506" spans="1:16" x14ac:dyDescent="0.25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>
        <v>30</v>
      </c>
      <c r="J506" s="3">
        <v>12847.56</v>
      </c>
      <c r="K506" s="2">
        <v>13.22</v>
      </c>
      <c r="L506" s="3">
        <v>334473.38</v>
      </c>
      <c r="M506">
        <v>46321</v>
      </c>
      <c r="N506" s="1" t="s">
        <v>24</v>
      </c>
      <c r="O506" s="1" t="s">
        <v>25</v>
      </c>
      <c r="P506" s="1" t="s">
        <v>53</v>
      </c>
    </row>
    <row r="507" spans="1:16" x14ac:dyDescent="0.25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>
        <v>1</v>
      </c>
      <c r="J507" s="3">
        <v>9019.43</v>
      </c>
      <c r="K507" s="2">
        <v>17.829999999999998</v>
      </c>
      <c r="L507" s="3">
        <v>7411.27</v>
      </c>
      <c r="M507">
        <v>46133</v>
      </c>
      <c r="N507" s="1" t="s">
        <v>113</v>
      </c>
      <c r="O507" s="1" t="s">
        <v>35</v>
      </c>
      <c r="P507" s="1" t="s">
        <v>36</v>
      </c>
    </row>
    <row r="508" spans="1:16" x14ac:dyDescent="0.25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>
        <v>50</v>
      </c>
      <c r="J508" s="3">
        <v>18807.21</v>
      </c>
      <c r="K508" s="2">
        <v>12.05</v>
      </c>
      <c r="L508" s="3">
        <v>827047.06</v>
      </c>
      <c r="M508">
        <v>46272</v>
      </c>
      <c r="N508" s="1" t="s">
        <v>58</v>
      </c>
      <c r="O508" s="1" t="s">
        <v>35</v>
      </c>
      <c r="P508" s="1" t="s">
        <v>26</v>
      </c>
    </row>
    <row r="509" spans="1:16" x14ac:dyDescent="0.25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>
        <v>1</v>
      </c>
      <c r="J509" s="3">
        <v>1260.8699999999999</v>
      </c>
      <c r="K509" s="2">
        <v>11.26</v>
      </c>
      <c r="L509" s="3">
        <v>1118.9000000000001</v>
      </c>
      <c r="M509">
        <v>46304</v>
      </c>
      <c r="N509" s="1" t="s">
        <v>24</v>
      </c>
      <c r="O509" s="1" t="s">
        <v>59</v>
      </c>
      <c r="P509" s="1" t="s">
        <v>53</v>
      </c>
    </row>
    <row r="510" spans="1:16" x14ac:dyDescent="0.25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>
        <v>44</v>
      </c>
      <c r="J510" s="3">
        <v>8240.68</v>
      </c>
      <c r="K510" s="2">
        <v>5.93</v>
      </c>
      <c r="L510" s="3">
        <v>341088.34</v>
      </c>
      <c r="M510">
        <v>46296</v>
      </c>
      <c r="N510" s="1" t="s">
        <v>68</v>
      </c>
      <c r="O510" s="1" t="s">
        <v>25</v>
      </c>
      <c r="P510" s="1" t="s">
        <v>26</v>
      </c>
    </row>
    <row r="511" spans="1:16" x14ac:dyDescent="0.25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>
        <v>4</v>
      </c>
      <c r="J511" s="3">
        <v>15757.37</v>
      </c>
      <c r="K511" s="2">
        <v>1.45</v>
      </c>
      <c r="L511" s="3">
        <v>62115.55</v>
      </c>
      <c r="M511">
        <v>46096</v>
      </c>
      <c r="N511" s="1" t="s">
        <v>58</v>
      </c>
      <c r="O511" s="1" t="s">
        <v>35</v>
      </c>
      <c r="P511" s="1" t="s">
        <v>53</v>
      </c>
    </row>
    <row r="512" spans="1:16" x14ac:dyDescent="0.25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>
        <v>4</v>
      </c>
      <c r="J512" s="3">
        <v>43203.46</v>
      </c>
      <c r="K512" s="2">
        <v>13.21</v>
      </c>
      <c r="L512" s="3">
        <v>149985.13</v>
      </c>
      <c r="M512">
        <v>46381</v>
      </c>
      <c r="N512" s="1" t="s">
        <v>24</v>
      </c>
      <c r="O512" s="1" t="s">
        <v>25</v>
      </c>
      <c r="P512" s="1" t="s">
        <v>26</v>
      </c>
    </row>
    <row r="513" spans="1:16" x14ac:dyDescent="0.25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>
        <v>36</v>
      </c>
      <c r="J513" s="3">
        <v>14123.42</v>
      </c>
      <c r="K513" s="2">
        <v>2.0299999999999998</v>
      </c>
      <c r="L513" s="3">
        <v>498121.72</v>
      </c>
      <c r="M513">
        <v>46044</v>
      </c>
      <c r="N513" s="1" t="s">
        <v>113</v>
      </c>
      <c r="O513" s="1" t="s">
        <v>25</v>
      </c>
      <c r="P513" s="1" t="s">
        <v>53</v>
      </c>
    </row>
    <row r="514" spans="1:16" x14ac:dyDescent="0.25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>
        <v>27</v>
      </c>
      <c r="J514" s="3">
        <v>49917.03</v>
      </c>
      <c r="K514" s="2">
        <v>11.58</v>
      </c>
      <c r="L514" s="3">
        <v>1191689.22</v>
      </c>
      <c r="M514">
        <v>46033</v>
      </c>
      <c r="N514" s="1" t="s">
        <v>58</v>
      </c>
      <c r="O514" s="1" t="s">
        <v>35</v>
      </c>
      <c r="P514" s="1" t="s">
        <v>26</v>
      </c>
    </row>
    <row r="515" spans="1:16" x14ac:dyDescent="0.25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>
        <v>13</v>
      </c>
      <c r="J515" s="3">
        <v>32962.94</v>
      </c>
      <c r="K515" s="2">
        <v>18.940000000000001</v>
      </c>
      <c r="L515" s="3">
        <v>347356.87</v>
      </c>
      <c r="M515">
        <v>46332</v>
      </c>
      <c r="N515" s="1" t="s">
        <v>24</v>
      </c>
      <c r="O515" s="1" t="s">
        <v>35</v>
      </c>
      <c r="P515" s="1" t="s">
        <v>53</v>
      </c>
    </row>
    <row r="516" spans="1:16" x14ac:dyDescent="0.25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>
        <v>49</v>
      </c>
      <c r="J516" s="3">
        <v>31702.99</v>
      </c>
      <c r="K516" s="2">
        <v>15.51</v>
      </c>
      <c r="L516" s="3">
        <v>1312506.96</v>
      </c>
      <c r="M516">
        <v>46278</v>
      </c>
      <c r="N516" s="1" t="s">
        <v>68</v>
      </c>
      <c r="O516" s="1" t="s">
        <v>35</v>
      </c>
      <c r="P516" s="1" t="s">
        <v>26</v>
      </c>
    </row>
    <row r="517" spans="1:16" x14ac:dyDescent="0.25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>
        <v>31</v>
      </c>
      <c r="J517" s="3">
        <v>27154.67</v>
      </c>
      <c r="K517" s="2">
        <v>13.72</v>
      </c>
      <c r="L517" s="3">
        <v>726300.53</v>
      </c>
      <c r="M517">
        <v>46082</v>
      </c>
      <c r="N517" s="1" t="s">
        <v>58</v>
      </c>
      <c r="O517" s="1" t="s">
        <v>35</v>
      </c>
      <c r="P517" s="1" t="s">
        <v>36</v>
      </c>
    </row>
    <row r="518" spans="1:16" x14ac:dyDescent="0.25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>
        <v>8</v>
      </c>
      <c r="J518" s="3">
        <v>13266.81</v>
      </c>
      <c r="K518" s="2">
        <v>8.82</v>
      </c>
      <c r="L518" s="3">
        <v>96773.42</v>
      </c>
      <c r="M518">
        <v>46028</v>
      </c>
      <c r="N518" s="1" t="s">
        <v>68</v>
      </c>
      <c r="O518" s="1" t="s">
        <v>35</v>
      </c>
      <c r="P518" s="1" t="s">
        <v>53</v>
      </c>
    </row>
    <row r="519" spans="1:16" x14ac:dyDescent="0.25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>
        <v>30</v>
      </c>
      <c r="J519" s="3">
        <v>43948.3</v>
      </c>
      <c r="K519" s="2">
        <v>8.8800000000000008</v>
      </c>
      <c r="L519" s="3">
        <v>1201370.73</v>
      </c>
      <c r="M519">
        <v>46256</v>
      </c>
      <c r="N519" s="1" t="s">
        <v>68</v>
      </c>
      <c r="O519" s="1" t="s">
        <v>35</v>
      </c>
      <c r="P519" s="1" t="s">
        <v>36</v>
      </c>
    </row>
    <row r="520" spans="1:16" x14ac:dyDescent="0.25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>
        <v>37</v>
      </c>
      <c r="J520" s="3">
        <v>17603.740000000002</v>
      </c>
      <c r="K520" s="2">
        <v>9.9700000000000006</v>
      </c>
      <c r="L520" s="3">
        <v>586399.93999999994</v>
      </c>
      <c r="M520">
        <v>46095</v>
      </c>
      <c r="N520" s="1" t="s">
        <v>24</v>
      </c>
      <c r="O520" s="1" t="s">
        <v>25</v>
      </c>
      <c r="P520" s="1" t="s">
        <v>53</v>
      </c>
    </row>
    <row r="521" spans="1:16" x14ac:dyDescent="0.25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>
        <v>14</v>
      </c>
      <c r="J521" s="3">
        <v>46745.84</v>
      </c>
      <c r="K521" s="2">
        <v>4.0599999999999996</v>
      </c>
      <c r="L521" s="3">
        <v>627871.42000000004</v>
      </c>
      <c r="M521">
        <v>46212</v>
      </c>
      <c r="N521" s="1" t="s">
        <v>24</v>
      </c>
      <c r="O521" s="1" t="s">
        <v>35</v>
      </c>
      <c r="P521" s="1" t="s">
        <v>26</v>
      </c>
    </row>
    <row r="522" spans="1:16" x14ac:dyDescent="0.25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>
        <v>18</v>
      </c>
      <c r="J522" s="3">
        <v>20135.72</v>
      </c>
      <c r="K522" s="2">
        <v>19.88</v>
      </c>
      <c r="L522" s="3">
        <v>290389.3</v>
      </c>
      <c r="M522">
        <v>46273</v>
      </c>
      <c r="N522" s="1" t="s">
        <v>68</v>
      </c>
      <c r="O522" s="1" t="s">
        <v>35</v>
      </c>
      <c r="P522" s="1" t="s">
        <v>53</v>
      </c>
    </row>
    <row r="523" spans="1:16" x14ac:dyDescent="0.25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>
        <v>38</v>
      </c>
      <c r="J523" s="3">
        <v>5695.1</v>
      </c>
      <c r="K523" s="2">
        <v>4.5199999999999996</v>
      </c>
      <c r="L523" s="3">
        <v>206631.9</v>
      </c>
      <c r="M523">
        <v>46216</v>
      </c>
      <c r="N523" s="1" t="s">
        <v>68</v>
      </c>
      <c r="O523" s="1" t="s">
        <v>35</v>
      </c>
      <c r="P523" s="1" t="s">
        <v>53</v>
      </c>
    </row>
    <row r="524" spans="1:16" x14ac:dyDescent="0.25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>
        <v>26</v>
      </c>
      <c r="J524" s="3">
        <v>48630.13</v>
      </c>
      <c r="K524" s="2">
        <v>4.05</v>
      </c>
      <c r="L524" s="3">
        <v>1213175.8500000001</v>
      </c>
      <c r="M524">
        <v>46297</v>
      </c>
      <c r="N524" s="1" t="s">
        <v>58</v>
      </c>
      <c r="O524" s="1" t="s">
        <v>35</v>
      </c>
      <c r="P524" s="1" t="s">
        <v>26</v>
      </c>
    </row>
    <row r="525" spans="1:16" x14ac:dyDescent="0.25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>
        <v>48</v>
      </c>
      <c r="J525" s="3">
        <v>30788.12</v>
      </c>
      <c r="K525" s="2">
        <v>18.95</v>
      </c>
      <c r="L525" s="3">
        <v>1197781.02</v>
      </c>
      <c r="M525">
        <v>46384</v>
      </c>
      <c r="N525" s="1" t="s">
        <v>45</v>
      </c>
      <c r="O525" s="1" t="s">
        <v>35</v>
      </c>
      <c r="P525" s="1" t="s">
        <v>36</v>
      </c>
    </row>
    <row r="526" spans="1:16" x14ac:dyDescent="0.25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>
        <v>9</v>
      </c>
      <c r="J526" s="3">
        <v>49642.21</v>
      </c>
      <c r="K526" s="2">
        <v>6.36</v>
      </c>
      <c r="L526" s="3">
        <v>418364.69</v>
      </c>
      <c r="M526">
        <v>46266</v>
      </c>
      <c r="N526" s="1" t="s">
        <v>68</v>
      </c>
      <c r="O526" s="1" t="s">
        <v>35</v>
      </c>
      <c r="P526" s="1" t="s">
        <v>53</v>
      </c>
    </row>
    <row r="527" spans="1:16" x14ac:dyDescent="0.25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>
        <v>16</v>
      </c>
      <c r="J527" s="3">
        <v>44258.559999999998</v>
      </c>
      <c r="K527" s="2">
        <v>11.4</v>
      </c>
      <c r="L527" s="3">
        <v>627409.35</v>
      </c>
      <c r="M527">
        <v>46028</v>
      </c>
      <c r="N527" s="1" t="s">
        <v>45</v>
      </c>
      <c r="O527" s="1" t="s">
        <v>35</v>
      </c>
      <c r="P527" s="1" t="s">
        <v>36</v>
      </c>
    </row>
    <row r="528" spans="1:16" x14ac:dyDescent="0.25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>
        <v>49</v>
      </c>
      <c r="J528" s="3">
        <v>20156.830000000002</v>
      </c>
      <c r="K528" s="2">
        <v>0</v>
      </c>
      <c r="L528" s="3">
        <v>987684.67</v>
      </c>
      <c r="M528">
        <v>46115</v>
      </c>
      <c r="N528" s="1" t="s">
        <v>68</v>
      </c>
      <c r="O528" s="1" t="s">
        <v>35</v>
      </c>
      <c r="P528" s="1" t="s">
        <v>53</v>
      </c>
    </row>
    <row r="529" spans="1:16" x14ac:dyDescent="0.25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>
        <v>6</v>
      </c>
      <c r="J529" s="3">
        <v>35330.94</v>
      </c>
      <c r="K529" s="2">
        <v>6.44</v>
      </c>
      <c r="L529" s="3">
        <v>198333.76</v>
      </c>
      <c r="M529">
        <v>46033</v>
      </c>
      <c r="N529" s="1" t="s">
        <v>58</v>
      </c>
      <c r="O529" s="1" t="s">
        <v>35</v>
      </c>
      <c r="P529" s="1" t="s">
        <v>53</v>
      </c>
    </row>
    <row r="530" spans="1:16" x14ac:dyDescent="0.25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>
        <v>27</v>
      </c>
      <c r="J530" s="3">
        <v>8077.29</v>
      </c>
      <c r="K530" s="2">
        <v>1.67</v>
      </c>
      <c r="L530" s="3">
        <v>214444.78</v>
      </c>
      <c r="M530">
        <v>46349</v>
      </c>
      <c r="N530" s="1" t="s">
        <v>113</v>
      </c>
      <c r="O530" s="1" t="s">
        <v>59</v>
      </c>
      <c r="P530" s="1" t="s">
        <v>36</v>
      </c>
    </row>
    <row r="531" spans="1:16" x14ac:dyDescent="0.25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>
        <v>44</v>
      </c>
      <c r="J531" s="3">
        <v>7406.57</v>
      </c>
      <c r="K531" s="2">
        <v>14.83</v>
      </c>
      <c r="L531" s="3">
        <v>277559.73</v>
      </c>
      <c r="M531">
        <v>46301</v>
      </c>
      <c r="N531" s="1" t="s">
        <v>68</v>
      </c>
      <c r="O531" s="1" t="s">
        <v>35</v>
      </c>
      <c r="P531" s="1" t="s">
        <v>26</v>
      </c>
    </row>
    <row r="532" spans="1:16" x14ac:dyDescent="0.25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>
        <v>13</v>
      </c>
      <c r="J532" s="3">
        <v>45448.480000000003</v>
      </c>
      <c r="K532" s="2">
        <v>13.15</v>
      </c>
      <c r="L532" s="3">
        <v>513136.06</v>
      </c>
      <c r="M532">
        <v>46106</v>
      </c>
      <c r="N532" s="1" t="s">
        <v>24</v>
      </c>
      <c r="O532" s="1" t="s">
        <v>35</v>
      </c>
      <c r="P532" s="1" t="s">
        <v>26</v>
      </c>
    </row>
    <row r="533" spans="1:16" x14ac:dyDescent="0.25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>
        <v>44</v>
      </c>
      <c r="J533" s="3">
        <v>46473.03</v>
      </c>
      <c r="K533" s="2">
        <v>19.649999999999999</v>
      </c>
      <c r="L533" s="3">
        <v>1643007.5</v>
      </c>
      <c r="M533">
        <v>46384</v>
      </c>
      <c r="N533" s="1" t="s">
        <v>68</v>
      </c>
      <c r="O533" s="1" t="s">
        <v>35</v>
      </c>
      <c r="P533" s="1" t="s">
        <v>36</v>
      </c>
    </row>
    <row r="534" spans="1:16" x14ac:dyDescent="0.25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>
        <v>11</v>
      </c>
      <c r="J534" s="3">
        <v>35472.160000000003</v>
      </c>
      <c r="K534" s="2">
        <v>1.36</v>
      </c>
      <c r="L534" s="3">
        <v>384887.12</v>
      </c>
      <c r="M534">
        <v>46118</v>
      </c>
      <c r="N534" s="1" t="s">
        <v>24</v>
      </c>
      <c r="O534" s="1" t="s">
        <v>35</v>
      </c>
      <c r="P534" s="1" t="s">
        <v>36</v>
      </c>
    </row>
    <row r="535" spans="1:16" x14ac:dyDescent="0.25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>
        <v>7</v>
      </c>
      <c r="J535" s="3">
        <v>43831.14</v>
      </c>
      <c r="K535" s="2">
        <v>8.85</v>
      </c>
      <c r="L535" s="3">
        <v>279664.59000000003</v>
      </c>
      <c r="M535">
        <v>46346</v>
      </c>
      <c r="N535" s="1" t="s">
        <v>45</v>
      </c>
      <c r="O535" s="1" t="s">
        <v>35</v>
      </c>
      <c r="P535" s="1" t="s">
        <v>53</v>
      </c>
    </row>
    <row r="536" spans="1:16" x14ac:dyDescent="0.25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>
        <v>32</v>
      </c>
      <c r="J536" s="3">
        <v>22113.66</v>
      </c>
      <c r="K536" s="2">
        <v>11.48</v>
      </c>
      <c r="L536" s="3">
        <v>626400.38</v>
      </c>
      <c r="M536">
        <v>46296</v>
      </c>
      <c r="N536" s="1" t="s">
        <v>113</v>
      </c>
      <c r="O536" s="1" t="s">
        <v>35</v>
      </c>
      <c r="P536" s="1" t="s">
        <v>26</v>
      </c>
    </row>
    <row r="537" spans="1:16" x14ac:dyDescent="0.25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>
        <v>43</v>
      </c>
      <c r="J537" s="3">
        <v>9832.7800000000007</v>
      </c>
      <c r="K537" s="2">
        <v>12.53</v>
      </c>
      <c r="L537" s="3">
        <v>369831.5</v>
      </c>
      <c r="M537">
        <v>46038</v>
      </c>
      <c r="N537" s="1" t="s">
        <v>113</v>
      </c>
      <c r="O537" s="1" t="s">
        <v>35</v>
      </c>
      <c r="P537" s="1" t="s">
        <v>36</v>
      </c>
    </row>
    <row r="538" spans="1:16" x14ac:dyDescent="0.25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>
        <v>39</v>
      </c>
      <c r="J538" s="3">
        <v>5754.57</v>
      </c>
      <c r="K538" s="2">
        <v>7.98</v>
      </c>
      <c r="L538" s="3">
        <v>206518.86</v>
      </c>
      <c r="M538">
        <v>46385</v>
      </c>
      <c r="N538" s="1" t="s">
        <v>24</v>
      </c>
      <c r="O538" s="1" t="s">
        <v>35</v>
      </c>
      <c r="P538" s="1" t="s">
        <v>26</v>
      </c>
    </row>
    <row r="539" spans="1:16" x14ac:dyDescent="0.25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>
        <v>46</v>
      </c>
      <c r="J539" s="3">
        <v>25480.86</v>
      </c>
      <c r="K539" s="2">
        <v>3.6</v>
      </c>
      <c r="L539" s="3">
        <v>1129923.26</v>
      </c>
      <c r="M539">
        <v>46063</v>
      </c>
      <c r="N539" s="1" t="s">
        <v>68</v>
      </c>
      <c r="O539" s="1" t="s">
        <v>35</v>
      </c>
      <c r="P539" s="1" t="s">
        <v>26</v>
      </c>
    </row>
    <row r="540" spans="1:16" x14ac:dyDescent="0.25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>
        <v>30</v>
      </c>
      <c r="J540" s="3">
        <v>45307.7</v>
      </c>
      <c r="K540" s="2">
        <v>4.01</v>
      </c>
      <c r="L540" s="3">
        <v>1304725.8400000001</v>
      </c>
      <c r="M540">
        <v>46125</v>
      </c>
      <c r="N540" s="1" t="s">
        <v>58</v>
      </c>
      <c r="O540" s="1" t="s">
        <v>35</v>
      </c>
      <c r="P540" s="1" t="s">
        <v>26</v>
      </c>
    </row>
    <row r="541" spans="1:16" x14ac:dyDescent="0.25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>
        <v>10</v>
      </c>
      <c r="J541" s="3">
        <v>10130.52</v>
      </c>
      <c r="K541" s="2">
        <v>3.9</v>
      </c>
      <c r="L541" s="3">
        <v>97354.3</v>
      </c>
      <c r="M541">
        <v>46183</v>
      </c>
      <c r="N541" s="1" t="s">
        <v>24</v>
      </c>
      <c r="O541" s="1" t="s">
        <v>35</v>
      </c>
      <c r="P541" s="1" t="s">
        <v>53</v>
      </c>
    </row>
    <row r="542" spans="1:16" x14ac:dyDescent="0.25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>
        <v>9</v>
      </c>
      <c r="J542" s="3">
        <v>26358.52</v>
      </c>
      <c r="K542" s="2">
        <v>13.93</v>
      </c>
      <c r="L542" s="3">
        <v>204181</v>
      </c>
      <c r="M542">
        <v>46197</v>
      </c>
      <c r="N542" s="1" t="s">
        <v>58</v>
      </c>
      <c r="O542" s="1" t="s">
        <v>35</v>
      </c>
      <c r="P542" s="1" t="s">
        <v>26</v>
      </c>
    </row>
    <row r="543" spans="1:16" x14ac:dyDescent="0.25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>
        <v>2</v>
      </c>
      <c r="J543" s="3">
        <v>21157.18</v>
      </c>
      <c r="K543" s="2">
        <v>6.62</v>
      </c>
      <c r="L543" s="3">
        <v>39513.15</v>
      </c>
      <c r="M543">
        <v>46100</v>
      </c>
      <c r="N543" s="1" t="s">
        <v>45</v>
      </c>
      <c r="O543" s="1" t="s">
        <v>35</v>
      </c>
      <c r="P543" s="1" t="s">
        <v>26</v>
      </c>
    </row>
    <row r="544" spans="1:16" x14ac:dyDescent="0.25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>
        <v>34</v>
      </c>
      <c r="J544" s="3">
        <v>10274.84</v>
      </c>
      <c r="K544" s="2">
        <v>10.51</v>
      </c>
      <c r="L544" s="3">
        <v>312628.45</v>
      </c>
      <c r="M544">
        <v>46364</v>
      </c>
      <c r="N544" s="1" t="s">
        <v>113</v>
      </c>
      <c r="O544" s="1" t="s">
        <v>35</v>
      </c>
      <c r="P544" s="1" t="s">
        <v>53</v>
      </c>
    </row>
    <row r="545" spans="1:16" x14ac:dyDescent="0.25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>
        <v>21</v>
      </c>
      <c r="J545" s="3">
        <v>15072.18</v>
      </c>
      <c r="K545" s="2">
        <v>5.0999999999999996</v>
      </c>
      <c r="L545" s="3">
        <v>300373.48</v>
      </c>
      <c r="M545">
        <v>46036</v>
      </c>
      <c r="N545" s="1" t="s">
        <v>58</v>
      </c>
      <c r="O545" s="1" t="s">
        <v>25</v>
      </c>
      <c r="P545" s="1" t="s">
        <v>26</v>
      </c>
    </row>
    <row r="546" spans="1:16" x14ac:dyDescent="0.25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>
        <v>23</v>
      </c>
      <c r="J546" s="3">
        <v>1471.59</v>
      </c>
      <c r="K546" s="2">
        <v>17.27</v>
      </c>
      <c r="L546" s="3">
        <v>28001.27</v>
      </c>
      <c r="M546">
        <v>46203</v>
      </c>
      <c r="N546" s="1" t="s">
        <v>58</v>
      </c>
      <c r="O546" s="1" t="s">
        <v>35</v>
      </c>
      <c r="P546" s="1" t="s">
        <v>53</v>
      </c>
    </row>
    <row r="547" spans="1:16" x14ac:dyDescent="0.25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>
        <v>10</v>
      </c>
      <c r="J547" s="3">
        <v>22463</v>
      </c>
      <c r="K547" s="2">
        <v>3.7</v>
      </c>
      <c r="L547" s="3">
        <v>216318.69</v>
      </c>
      <c r="M547">
        <v>46060</v>
      </c>
      <c r="N547" s="1" t="s">
        <v>45</v>
      </c>
      <c r="O547" s="1" t="s">
        <v>35</v>
      </c>
      <c r="P547" s="1" t="s">
        <v>36</v>
      </c>
    </row>
    <row r="548" spans="1:16" x14ac:dyDescent="0.25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>
        <v>49</v>
      </c>
      <c r="J548" s="3">
        <v>40129.35</v>
      </c>
      <c r="K548" s="2">
        <v>5.93</v>
      </c>
      <c r="L548" s="3">
        <v>1849734.3</v>
      </c>
      <c r="M548">
        <v>46293</v>
      </c>
      <c r="N548" s="1" t="s">
        <v>113</v>
      </c>
      <c r="O548" s="1" t="s">
        <v>35</v>
      </c>
      <c r="P548" s="1" t="s">
        <v>36</v>
      </c>
    </row>
    <row r="549" spans="1:16" x14ac:dyDescent="0.25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>
        <v>24</v>
      </c>
      <c r="J549" s="3">
        <v>8581.64</v>
      </c>
      <c r="K549" s="2">
        <v>9.7799999999999994</v>
      </c>
      <c r="L549" s="3">
        <v>185816.53</v>
      </c>
      <c r="M549">
        <v>46234</v>
      </c>
      <c r="N549" s="1" t="s">
        <v>68</v>
      </c>
      <c r="O549" s="1" t="s">
        <v>35</v>
      </c>
      <c r="P549" s="1" t="s">
        <v>53</v>
      </c>
    </row>
    <row r="550" spans="1:16" x14ac:dyDescent="0.25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>
        <v>14</v>
      </c>
      <c r="J550" s="3">
        <v>3775.37</v>
      </c>
      <c r="K550" s="2">
        <v>14.26</v>
      </c>
      <c r="L550" s="3">
        <v>45318.03</v>
      </c>
      <c r="M550">
        <v>46243</v>
      </c>
      <c r="N550" s="1" t="s">
        <v>58</v>
      </c>
      <c r="O550" s="1" t="s">
        <v>25</v>
      </c>
      <c r="P550" s="1" t="s">
        <v>36</v>
      </c>
    </row>
    <row r="551" spans="1:16" x14ac:dyDescent="0.25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>
        <v>47</v>
      </c>
      <c r="J551" s="3">
        <v>26801.78</v>
      </c>
      <c r="K551" s="2">
        <v>12.7</v>
      </c>
      <c r="L551" s="3">
        <v>1099703.8400000001</v>
      </c>
      <c r="M551">
        <v>46230</v>
      </c>
      <c r="N551" s="1" t="s">
        <v>68</v>
      </c>
      <c r="O551" s="1" t="s">
        <v>35</v>
      </c>
      <c r="P551" s="1" t="s">
        <v>53</v>
      </c>
    </row>
    <row r="552" spans="1:16" x14ac:dyDescent="0.25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>
        <v>27</v>
      </c>
      <c r="J552" s="3">
        <v>849.13</v>
      </c>
      <c r="K552" s="2">
        <v>12.33</v>
      </c>
      <c r="L552" s="3">
        <v>20099.669999999998</v>
      </c>
      <c r="M552">
        <v>46106</v>
      </c>
      <c r="N552" s="1" t="s">
        <v>58</v>
      </c>
      <c r="O552" s="1" t="s">
        <v>35</v>
      </c>
      <c r="P552" s="1" t="s">
        <v>53</v>
      </c>
    </row>
    <row r="553" spans="1:16" x14ac:dyDescent="0.25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>
        <v>46</v>
      </c>
      <c r="J553" s="3">
        <v>48390.58</v>
      </c>
      <c r="K553" s="2">
        <v>17.059999999999999</v>
      </c>
      <c r="L553" s="3">
        <v>1846216.76</v>
      </c>
      <c r="M553">
        <v>46099</v>
      </c>
      <c r="N553" s="1" t="s">
        <v>58</v>
      </c>
      <c r="O553" s="1" t="s">
        <v>35</v>
      </c>
      <c r="P553" s="1" t="s">
        <v>26</v>
      </c>
    </row>
    <row r="554" spans="1:16" x14ac:dyDescent="0.25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>
        <v>15</v>
      </c>
      <c r="J554" s="3">
        <v>17050.77</v>
      </c>
      <c r="K554" s="2">
        <v>7.98</v>
      </c>
      <c r="L554" s="3">
        <v>235351.78</v>
      </c>
      <c r="M554">
        <v>46308</v>
      </c>
      <c r="N554" s="1" t="s">
        <v>58</v>
      </c>
      <c r="O554" s="1" t="s">
        <v>35</v>
      </c>
      <c r="P554" s="1" t="s">
        <v>26</v>
      </c>
    </row>
    <row r="555" spans="1:16" x14ac:dyDescent="0.25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>
        <v>28</v>
      </c>
      <c r="J555" s="3">
        <v>46733.69</v>
      </c>
      <c r="K555" s="2">
        <v>17.78</v>
      </c>
      <c r="L555" s="3">
        <v>1075884.32</v>
      </c>
      <c r="M555">
        <v>46277</v>
      </c>
      <c r="N555" s="1" t="s">
        <v>58</v>
      </c>
      <c r="O555" s="1" t="s">
        <v>35</v>
      </c>
      <c r="P555" s="1" t="s">
        <v>26</v>
      </c>
    </row>
    <row r="556" spans="1:16" x14ac:dyDescent="0.25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>
        <v>28</v>
      </c>
      <c r="J556" s="3">
        <v>22102.28</v>
      </c>
      <c r="K556" s="2">
        <v>17.260000000000002</v>
      </c>
      <c r="L556" s="3">
        <v>512047.94</v>
      </c>
      <c r="M556">
        <v>46373</v>
      </c>
      <c r="N556" s="1" t="s">
        <v>45</v>
      </c>
      <c r="O556" s="1" t="s">
        <v>35</v>
      </c>
      <c r="P556" s="1" t="s">
        <v>26</v>
      </c>
    </row>
    <row r="557" spans="1:16" x14ac:dyDescent="0.25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>
        <v>29</v>
      </c>
      <c r="J557" s="3">
        <v>13290.29</v>
      </c>
      <c r="K557" s="2">
        <v>5.29</v>
      </c>
      <c r="L557" s="3">
        <v>365029.78</v>
      </c>
      <c r="M557">
        <v>46239</v>
      </c>
      <c r="N557" s="1" t="s">
        <v>113</v>
      </c>
      <c r="O557" s="1" t="s">
        <v>35</v>
      </c>
      <c r="P557" s="1" t="s">
        <v>53</v>
      </c>
    </row>
    <row r="558" spans="1:16" x14ac:dyDescent="0.25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>
        <v>21</v>
      </c>
      <c r="J558" s="3">
        <v>37982.81</v>
      </c>
      <c r="K558" s="2">
        <v>2.98</v>
      </c>
      <c r="L558" s="3">
        <v>773869.37</v>
      </c>
      <c r="M558">
        <v>46103</v>
      </c>
      <c r="N558" s="1" t="s">
        <v>113</v>
      </c>
      <c r="O558" s="1" t="s">
        <v>25</v>
      </c>
      <c r="P558" s="1" t="s">
        <v>36</v>
      </c>
    </row>
    <row r="559" spans="1:16" x14ac:dyDescent="0.25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>
        <v>26</v>
      </c>
      <c r="J559" s="3">
        <v>45602.07</v>
      </c>
      <c r="K559" s="2">
        <v>18.91</v>
      </c>
      <c r="L559" s="3">
        <v>961446.68</v>
      </c>
      <c r="M559">
        <v>46334</v>
      </c>
      <c r="N559" s="1" t="s">
        <v>24</v>
      </c>
      <c r="O559" s="1" t="s">
        <v>35</v>
      </c>
      <c r="P559" s="1" t="s">
        <v>36</v>
      </c>
    </row>
    <row r="560" spans="1:16" x14ac:dyDescent="0.25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>
        <v>48</v>
      </c>
      <c r="J560" s="3">
        <v>6450.8</v>
      </c>
      <c r="K560" s="2">
        <v>8.98</v>
      </c>
      <c r="L560" s="3">
        <v>281832.87</v>
      </c>
      <c r="M560">
        <v>46137</v>
      </c>
      <c r="N560" s="1" t="s">
        <v>24</v>
      </c>
      <c r="O560" s="1" t="s">
        <v>35</v>
      </c>
      <c r="P560" s="1" t="s">
        <v>36</v>
      </c>
    </row>
    <row r="561" spans="1:16" x14ac:dyDescent="0.25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>
        <v>8</v>
      </c>
      <c r="J561" s="3">
        <v>35803.74</v>
      </c>
      <c r="K561" s="2">
        <v>5.13</v>
      </c>
      <c r="L561" s="3">
        <v>271736.07</v>
      </c>
      <c r="M561">
        <v>46088</v>
      </c>
      <c r="N561" s="1" t="s">
        <v>45</v>
      </c>
      <c r="O561" s="1" t="s">
        <v>35</v>
      </c>
      <c r="P561" s="1" t="s">
        <v>53</v>
      </c>
    </row>
    <row r="562" spans="1:16" x14ac:dyDescent="0.25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>
        <v>21</v>
      </c>
      <c r="J562" s="3">
        <v>28825.69</v>
      </c>
      <c r="K562" s="2">
        <v>5.13</v>
      </c>
      <c r="L562" s="3">
        <v>574285.56999999995</v>
      </c>
      <c r="M562">
        <v>46280</v>
      </c>
      <c r="N562" s="1" t="s">
        <v>58</v>
      </c>
      <c r="O562" s="1" t="s">
        <v>35</v>
      </c>
      <c r="P562" s="1" t="s">
        <v>53</v>
      </c>
    </row>
    <row r="563" spans="1:16" x14ac:dyDescent="0.25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>
        <v>45</v>
      </c>
      <c r="J563" s="3">
        <v>45575.63</v>
      </c>
      <c r="K563" s="2">
        <v>5.9</v>
      </c>
      <c r="L563" s="3">
        <v>1929900.05</v>
      </c>
      <c r="M563">
        <v>46109</v>
      </c>
      <c r="N563" s="1" t="s">
        <v>24</v>
      </c>
      <c r="O563" s="1" t="s">
        <v>35</v>
      </c>
      <c r="P563" s="1" t="s">
        <v>26</v>
      </c>
    </row>
    <row r="564" spans="1:16" x14ac:dyDescent="0.25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>
        <v>3</v>
      </c>
      <c r="J564" s="3">
        <v>31527.11</v>
      </c>
      <c r="K564" s="2">
        <v>14.38</v>
      </c>
      <c r="L564" s="3">
        <v>80980.53</v>
      </c>
      <c r="M564">
        <v>46054</v>
      </c>
      <c r="N564" s="1" t="s">
        <v>113</v>
      </c>
      <c r="O564" s="1" t="s">
        <v>35</v>
      </c>
      <c r="P564" s="1" t="s">
        <v>26</v>
      </c>
    </row>
    <row r="565" spans="1:16" x14ac:dyDescent="0.25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>
        <v>42</v>
      </c>
      <c r="J565" s="3">
        <v>29250.52</v>
      </c>
      <c r="K565" s="2">
        <v>18.2</v>
      </c>
      <c r="L565" s="3">
        <v>1004930.87</v>
      </c>
      <c r="M565">
        <v>46376</v>
      </c>
      <c r="N565" s="1" t="s">
        <v>45</v>
      </c>
      <c r="O565" s="1" t="s">
        <v>35</v>
      </c>
      <c r="P565" s="1" t="s">
        <v>26</v>
      </c>
    </row>
    <row r="566" spans="1:16" x14ac:dyDescent="0.25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>
        <v>9</v>
      </c>
      <c r="J566" s="3">
        <v>2917.85</v>
      </c>
      <c r="K566" s="2">
        <v>0.22</v>
      </c>
      <c r="L566" s="3">
        <v>26202.880000000001</v>
      </c>
      <c r="M566">
        <v>46307</v>
      </c>
      <c r="N566" s="1" t="s">
        <v>58</v>
      </c>
      <c r="O566" s="1" t="s">
        <v>35</v>
      </c>
      <c r="P566" s="1" t="s">
        <v>53</v>
      </c>
    </row>
    <row r="567" spans="1:16" x14ac:dyDescent="0.25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>
        <v>38</v>
      </c>
      <c r="J567" s="3">
        <v>35012.68</v>
      </c>
      <c r="K567" s="2">
        <v>19.579999999999998</v>
      </c>
      <c r="L567" s="3">
        <v>1069973.5</v>
      </c>
      <c r="M567">
        <v>46059</v>
      </c>
      <c r="N567" s="1" t="s">
        <v>58</v>
      </c>
      <c r="O567" s="1" t="s">
        <v>35</v>
      </c>
      <c r="P567" s="1" t="s">
        <v>53</v>
      </c>
    </row>
    <row r="568" spans="1:16" x14ac:dyDescent="0.25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>
        <v>14</v>
      </c>
      <c r="J568" s="3">
        <v>29583.31</v>
      </c>
      <c r="K568" s="2">
        <v>14.39</v>
      </c>
      <c r="L568" s="3">
        <v>354567.8</v>
      </c>
      <c r="M568">
        <v>46383</v>
      </c>
      <c r="N568" s="1" t="s">
        <v>45</v>
      </c>
      <c r="O568" s="1" t="s">
        <v>35</v>
      </c>
      <c r="P568" s="1" t="s">
        <v>26</v>
      </c>
    </row>
    <row r="569" spans="1:16" x14ac:dyDescent="0.25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>
        <v>13</v>
      </c>
      <c r="J569" s="3">
        <v>42846.2</v>
      </c>
      <c r="K569" s="2">
        <v>9.65</v>
      </c>
      <c r="L569" s="3">
        <v>503250.04</v>
      </c>
      <c r="M569">
        <v>46210</v>
      </c>
      <c r="N569" s="1" t="s">
        <v>24</v>
      </c>
      <c r="O569" s="1" t="s">
        <v>35</v>
      </c>
      <c r="P569" s="1" t="s">
        <v>53</v>
      </c>
    </row>
    <row r="570" spans="1:16" x14ac:dyDescent="0.25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>
        <v>6</v>
      </c>
      <c r="J570" s="3">
        <v>43471.64</v>
      </c>
      <c r="K570" s="2">
        <v>17.850000000000001</v>
      </c>
      <c r="L570" s="3">
        <v>214271.71</v>
      </c>
      <c r="M570">
        <v>46359</v>
      </c>
      <c r="N570" s="1" t="s">
        <v>113</v>
      </c>
      <c r="O570" s="1" t="s">
        <v>35</v>
      </c>
      <c r="P570" s="1" t="s">
        <v>53</v>
      </c>
    </row>
    <row r="571" spans="1:16" x14ac:dyDescent="0.25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>
        <v>28</v>
      </c>
      <c r="J571" s="3">
        <v>3713.12</v>
      </c>
      <c r="K571" s="2">
        <v>4.6399999999999997</v>
      </c>
      <c r="L571" s="3">
        <v>99143.27</v>
      </c>
      <c r="M571">
        <v>46206</v>
      </c>
      <c r="N571" s="1" t="s">
        <v>58</v>
      </c>
      <c r="O571" s="1" t="s">
        <v>25</v>
      </c>
      <c r="P571" s="1" t="s">
        <v>53</v>
      </c>
    </row>
    <row r="572" spans="1:16" x14ac:dyDescent="0.25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>
        <v>15</v>
      </c>
      <c r="J572" s="3">
        <v>42241.55</v>
      </c>
      <c r="K572" s="2">
        <v>5.13</v>
      </c>
      <c r="L572" s="3">
        <v>601118.38</v>
      </c>
      <c r="M572">
        <v>46159</v>
      </c>
      <c r="N572" s="1" t="s">
        <v>68</v>
      </c>
      <c r="O572" s="1" t="s">
        <v>35</v>
      </c>
      <c r="P572" s="1" t="s">
        <v>36</v>
      </c>
    </row>
    <row r="573" spans="1:16" x14ac:dyDescent="0.25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>
        <v>47</v>
      </c>
      <c r="J573" s="3">
        <v>34126.51</v>
      </c>
      <c r="K573" s="2">
        <v>6.36</v>
      </c>
      <c r="L573" s="3">
        <v>1501935.01</v>
      </c>
      <c r="M573">
        <v>46373</v>
      </c>
      <c r="N573" s="1" t="s">
        <v>24</v>
      </c>
      <c r="O573" s="1" t="s">
        <v>35</v>
      </c>
      <c r="P573" s="1" t="s">
        <v>53</v>
      </c>
    </row>
    <row r="574" spans="1:16" x14ac:dyDescent="0.25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>
        <v>23</v>
      </c>
      <c r="J574" s="3">
        <v>19635.34</v>
      </c>
      <c r="K574" s="2">
        <v>12.19</v>
      </c>
      <c r="L574" s="3">
        <v>396561.22</v>
      </c>
      <c r="M574">
        <v>46334</v>
      </c>
      <c r="N574" s="1" t="s">
        <v>68</v>
      </c>
      <c r="O574" s="1" t="s">
        <v>35</v>
      </c>
      <c r="P574" s="1" t="s">
        <v>26</v>
      </c>
    </row>
    <row r="575" spans="1:16" x14ac:dyDescent="0.25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>
        <v>50</v>
      </c>
      <c r="J575" s="3">
        <v>15497.92</v>
      </c>
      <c r="K575" s="2">
        <v>15.18</v>
      </c>
      <c r="L575" s="3">
        <v>657266.79</v>
      </c>
      <c r="M575">
        <v>46066</v>
      </c>
      <c r="N575" s="1" t="s">
        <v>45</v>
      </c>
      <c r="O575" s="1" t="s">
        <v>35</v>
      </c>
      <c r="P575" s="1" t="s">
        <v>26</v>
      </c>
    </row>
    <row r="576" spans="1:16" x14ac:dyDescent="0.25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>
        <v>18</v>
      </c>
      <c r="J576" s="3">
        <v>28012.3</v>
      </c>
      <c r="K576" s="2">
        <v>1.84</v>
      </c>
      <c r="L576" s="3">
        <v>494943.73</v>
      </c>
      <c r="M576">
        <v>46190</v>
      </c>
      <c r="N576" s="1" t="s">
        <v>68</v>
      </c>
      <c r="O576" s="1" t="s">
        <v>35</v>
      </c>
      <c r="P576" s="1" t="s">
        <v>26</v>
      </c>
    </row>
    <row r="577" spans="1:16" x14ac:dyDescent="0.25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>
        <v>42</v>
      </c>
      <c r="J577" s="3">
        <v>23817.68</v>
      </c>
      <c r="K577" s="2">
        <v>0.24</v>
      </c>
      <c r="L577" s="3">
        <v>997941.74</v>
      </c>
      <c r="M577">
        <v>46137</v>
      </c>
      <c r="N577" s="1" t="s">
        <v>58</v>
      </c>
      <c r="O577" s="1" t="s">
        <v>35</v>
      </c>
      <c r="P577" s="1" t="s">
        <v>26</v>
      </c>
    </row>
    <row r="578" spans="1:16" x14ac:dyDescent="0.25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>
        <v>29</v>
      </c>
      <c r="J578" s="3">
        <v>12317.92</v>
      </c>
      <c r="K578" s="2">
        <v>12.89</v>
      </c>
      <c r="L578" s="3">
        <v>311174.06</v>
      </c>
      <c r="M578">
        <v>46033</v>
      </c>
      <c r="N578" s="1" t="s">
        <v>24</v>
      </c>
      <c r="O578" s="1" t="s">
        <v>35</v>
      </c>
      <c r="P578" s="1" t="s">
        <v>26</v>
      </c>
    </row>
    <row r="579" spans="1:16" x14ac:dyDescent="0.25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>
        <v>3</v>
      </c>
      <c r="J579" s="3">
        <v>47645.37</v>
      </c>
      <c r="K579" s="2">
        <v>14.17</v>
      </c>
      <c r="L579" s="3">
        <v>122682.06</v>
      </c>
      <c r="M579">
        <v>46387</v>
      </c>
      <c r="N579" s="1" t="s">
        <v>24</v>
      </c>
      <c r="O579" s="1" t="s">
        <v>35</v>
      </c>
      <c r="P579" s="1" t="s">
        <v>26</v>
      </c>
    </row>
    <row r="580" spans="1:16" x14ac:dyDescent="0.25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>
        <v>25</v>
      </c>
      <c r="J580" s="3">
        <v>41571.03</v>
      </c>
      <c r="K580" s="2">
        <v>2.66</v>
      </c>
      <c r="L580" s="3">
        <v>1011631.02</v>
      </c>
      <c r="M580">
        <v>46344</v>
      </c>
      <c r="N580" s="1" t="s">
        <v>58</v>
      </c>
      <c r="O580" s="1" t="s">
        <v>35</v>
      </c>
      <c r="P580" s="1" t="s">
        <v>36</v>
      </c>
    </row>
    <row r="581" spans="1:16" x14ac:dyDescent="0.25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>
        <v>25</v>
      </c>
      <c r="J581" s="3">
        <v>46798.32</v>
      </c>
      <c r="K581" s="2">
        <v>0.94</v>
      </c>
      <c r="L581" s="3">
        <v>1158960.3899999999</v>
      </c>
      <c r="M581">
        <v>46028</v>
      </c>
      <c r="N581" s="1" t="s">
        <v>68</v>
      </c>
      <c r="O581" s="1" t="s">
        <v>35</v>
      </c>
      <c r="P581" s="1" t="s">
        <v>53</v>
      </c>
    </row>
    <row r="582" spans="1:16" x14ac:dyDescent="0.25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>
        <v>4</v>
      </c>
      <c r="J582" s="3">
        <v>34555.79</v>
      </c>
      <c r="K582" s="2">
        <v>19.79</v>
      </c>
      <c r="L582" s="3">
        <v>110868.8</v>
      </c>
      <c r="M582">
        <v>46347</v>
      </c>
      <c r="N582" s="1" t="s">
        <v>45</v>
      </c>
      <c r="O582" s="1" t="s">
        <v>35</v>
      </c>
      <c r="P582" s="1" t="s">
        <v>36</v>
      </c>
    </row>
    <row r="583" spans="1:16" x14ac:dyDescent="0.25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>
        <v>13</v>
      </c>
      <c r="J583" s="3">
        <v>30472.9</v>
      </c>
      <c r="K583" s="2">
        <v>18.91</v>
      </c>
      <c r="L583" s="3">
        <v>321236.17</v>
      </c>
      <c r="M583">
        <v>46272</v>
      </c>
      <c r="N583" s="1" t="s">
        <v>68</v>
      </c>
      <c r="O583" s="1" t="s">
        <v>35</v>
      </c>
      <c r="P583" s="1" t="s">
        <v>36</v>
      </c>
    </row>
    <row r="584" spans="1:16" x14ac:dyDescent="0.25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>
        <v>35</v>
      </c>
      <c r="J584" s="3">
        <v>30221.7</v>
      </c>
      <c r="K584" s="2">
        <v>18.8</v>
      </c>
      <c r="L584" s="3">
        <v>858900.71</v>
      </c>
      <c r="M584">
        <v>46283</v>
      </c>
      <c r="N584" s="1" t="s">
        <v>113</v>
      </c>
      <c r="O584" s="1" t="s">
        <v>35</v>
      </c>
      <c r="P584" s="1" t="s">
        <v>53</v>
      </c>
    </row>
    <row r="585" spans="1:16" x14ac:dyDescent="0.25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>
        <v>23</v>
      </c>
      <c r="J585" s="3">
        <v>47837.24</v>
      </c>
      <c r="K585" s="2">
        <v>15.85</v>
      </c>
      <c r="L585" s="3">
        <v>925865.86</v>
      </c>
      <c r="M585">
        <v>46247</v>
      </c>
      <c r="N585" s="1" t="s">
        <v>45</v>
      </c>
      <c r="O585" s="1" t="s">
        <v>35</v>
      </c>
      <c r="P585" s="1" t="s">
        <v>26</v>
      </c>
    </row>
    <row r="586" spans="1:16" x14ac:dyDescent="0.25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>
        <v>49</v>
      </c>
      <c r="J586" s="3">
        <v>15918.51</v>
      </c>
      <c r="K586" s="2">
        <v>2.06</v>
      </c>
      <c r="L586" s="3">
        <v>763938.85</v>
      </c>
      <c r="M586">
        <v>46234</v>
      </c>
      <c r="N586" s="1" t="s">
        <v>58</v>
      </c>
      <c r="O586" s="1" t="s">
        <v>35</v>
      </c>
      <c r="P586" s="1" t="s">
        <v>26</v>
      </c>
    </row>
    <row r="587" spans="1:16" x14ac:dyDescent="0.25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>
        <v>40</v>
      </c>
      <c r="J587" s="3">
        <v>47145.599999999999</v>
      </c>
      <c r="K587" s="2">
        <v>11.55</v>
      </c>
      <c r="L587" s="3">
        <v>1668011.33</v>
      </c>
      <c r="M587">
        <v>46295</v>
      </c>
      <c r="N587" s="1" t="s">
        <v>68</v>
      </c>
      <c r="O587" s="1" t="s">
        <v>35</v>
      </c>
      <c r="P587" s="1" t="s">
        <v>53</v>
      </c>
    </row>
    <row r="588" spans="1:16" x14ac:dyDescent="0.25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>
        <v>40</v>
      </c>
      <c r="J588" s="3">
        <v>663.29</v>
      </c>
      <c r="K588" s="2">
        <v>16.71</v>
      </c>
      <c r="L588" s="3">
        <v>22098.17</v>
      </c>
      <c r="M588">
        <v>46138</v>
      </c>
      <c r="N588" s="1" t="s">
        <v>68</v>
      </c>
      <c r="O588" s="1" t="s">
        <v>35</v>
      </c>
      <c r="P588" s="1" t="s">
        <v>26</v>
      </c>
    </row>
    <row r="589" spans="1:16" x14ac:dyDescent="0.25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>
        <v>36</v>
      </c>
      <c r="J589" s="3">
        <v>46953.69</v>
      </c>
      <c r="K589" s="2">
        <v>16.53</v>
      </c>
      <c r="L589" s="3">
        <v>1410920.82</v>
      </c>
      <c r="M589">
        <v>46251</v>
      </c>
      <c r="N589" s="1" t="s">
        <v>24</v>
      </c>
      <c r="O589" s="1" t="s">
        <v>35</v>
      </c>
      <c r="P589" s="1" t="s">
        <v>26</v>
      </c>
    </row>
    <row r="590" spans="1:16" x14ac:dyDescent="0.25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>
        <v>32</v>
      </c>
      <c r="J590" s="3">
        <v>26827.22</v>
      </c>
      <c r="K590" s="2">
        <v>15.54</v>
      </c>
      <c r="L590" s="3">
        <v>725064.64</v>
      </c>
      <c r="M590">
        <v>46211</v>
      </c>
      <c r="N590" s="1" t="s">
        <v>45</v>
      </c>
      <c r="O590" s="1" t="s">
        <v>25</v>
      </c>
      <c r="P590" s="1" t="s">
        <v>36</v>
      </c>
    </row>
    <row r="591" spans="1:16" x14ac:dyDescent="0.25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>
        <v>47</v>
      </c>
      <c r="J591" s="3">
        <v>45865.18</v>
      </c>
      <c r="K591" s="2">
        <v>18.84</v>
      </c>
      <c r="L591" s="3">
        <v>1749536.46</v>
      </c>
      <c r="M591">
        <v>46371</v>
      </c>
      <c r="N591" s="1" t="s">
        <v>24</v>
      </c>
      <c r="O591" s="1" t="s">
        <v>35</v>
      </c>
      <c r="P591" s="1" t="s">
        <v>53</v>
      </c>
    </row>
    <row r="592" spans="1:16" x14ac:dyDescent="0.25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>
        <v>40</v>
      </c>
      <c r="J592" s="3">
        <v>4859.22</v>
      </c>
      <c r="K592" s="2">
        <v>3.21</v>
      </c>
      <c r="L592" s="3">
        <v>188129.56</v>
      </c>
      <c r="M592">
        <v>46282</v>
      </c>
      <c r="N592" s="1" t="s">
        <v>45</v>
      </c>
      <c r="O592" s="1" t="s">
        <v>35</v>
      </c>
      <c r="P592" s="1" t="s">
        <v>36</v>
      </c>
    </row>
    <row r="593" spans="1:16" x14ac:dyDescent="0.25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>
        <v>20</v>
      </c>
      <c r="J593" s="3">
        <v>11822.61</v>
      </c>
      <c r="K593" s="2">
        <v>2.41</v>
      </c>
      <c r="L593" s="3">
        <v>230753.7</v>
      </c>
      <c r="M593">
        <v>46359</v>
      </c>
      <c r="N593" s="1" t="s">
        <v>58</v>
      </c>
      <c r="O593" s="1" t="s">
        <v>35</v>
      </c>
      <c r="P593" s="1" t="s">
        <v>53</v>
      </c>
    </row>
    <row r="594" spans="1:16" x14ac:dyDescent="0.25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>
        <v>1</v>
      </c>
      <c r="J594" s="3">
        <v>9366.77</v>
      </c>
      <c r="K594" s="2">
        <v>1.1100000000000001</v>
      </c>
      <c r="L594" s="3">
        <v>9262.7999999999993</v>
      </c>
      <c r="M594">
        <v>46139</v>
      </c>
      <c r="N594" s="1" t="s">
        <v>24</v>
      </c>
      <c r="O594" s="1" t="s">
        <v>35</v>
      </c>
      <c r="P594" s="1" t="s">
        <v>26</v>
      </c>
    </row>
    <row r="595" spans="1:16" x14ac:dyDescent="0.25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>
        <v>15</v>
      </c>
      <c r="J595" s="3">
        <v>17202.36</v>
      </c>
      <c r="K595" s="2">
        <v>10.09</v>
      </c>
      <c r="L595" s="3">
        <v>231999.63</v>
      </c>
      <c r="M595">
        <v>46328</v>
      </c>
      <c r="N595" s="1" t="s">
        <v>24</v>
      </c>
      <c r="O595" s="1" t="s">
        <v>35</v>
      </c>
      <c r="P595" s="1" t="s">
        <v>36</v>
      </c>
    </row>
    <row r="596" spans="1:16" x14ac:dyDescent="0.25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>
        <v>7</v>
      </c>
      <c r="J596" s="3">
        <v>37639.980000000003</v>
      </c>
      <c r="K596" s="2">
        <v>19.89</v>
      </c>
      <c r="L596" s="3">
        <v>211073.72</v>
      </c>
      <c r="M596">
        <v>46149</v>
      </c>
      <c r="N596" s="1" t="s">
        <v>113</v>
      </c>
      <c r="O596" s="1" t="s">
        <v>35</v>
      </c>
      <c r="P596" s="1" t="s">
        <v>53</v>
      </c>
    </row>
    <row r="597" spans="1:16" x14ac:dyDescent="0.25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>
        <v>15</v>
      </c>
      <c r="J597" s="3">
        <v>29643.61</v>
      </c>
      <c r="K597" s="2">
        <v>4.6900000000000004</v>
      </c>
      <c r="L597" s="3">
        <v>423799.87</v>
      </c>
      <c r="M597">
        <v>46381</v>
      </c>
      <c r="N597" s="1" t="s">
        <v>24</v>
      </c>
      <c r="O597" s="1" t="s">
        <v>35</v>
      </c>
      <c r="P597" s="1" t="s">
        <v>53</v>
      </c>
    </row>
    <row r="598" spans="1:16" x14ac:dyDescent="0.25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>
        <v>48</v>
      </c>
      <c r="J598" s="3">
        <v>10249.290000000001</v>
      </c>
      <c r="K598" s="2">
        <v>4.93</v>
      </c>
      <c r="L598" s="3">
        <v>467712</v>
      </c>
      <c r="M598">
        <v>46376</v>
      </c>
      <c r="N598" s="1" t="s">
        <v>24</v>
      </c>
      <c r="O598" s="1" t="s">
        <v>35</v>
      </c>
      <c r="P598" s="1" t="s">
        <v>53</v>
      </c>
    </row>
    <row r="599" spans="1:16" x14ac:dyDescent="0.25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>
        <v>30</v>
      </c>
      <c r="J599" s="3">
        <v>33605.58</v>
      </c>
      <c r="K599" s="2">
        <v>8.4</v>
      </c>
      <c r="L599" s="3">
        <v>923481.34</v>
      </c>
      <c r="M599">
        <v>46190</v>
      </c>
      <c r="N599" s="1" t="s">
        <v>24</v>
      </c>
      <c r="O599" s="1" t="s">
        <v>35</v>
      </c>
      <c r="P599" s="1" t="s">
        <v>53</v>
      </c>
    </row>
    <row r="600" spans="1:16" x14ac:dyDescent="0.25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>
        <v>21</v>
      </c>
      <c r="J600" s="3">
        <v>31490.400000000001</v>
      </c>
      <c r="K600" s="2">
        <v>6.09</v>
      </c>
      <c r="L600" s="3">
        <v>621025.32999999996</v>
      </c>
      <c r="M600">
        <v>46294</v>
      </c>
      <c r="N600" s="1" t="s">
        <v>58</v>
      </c>
      <c r="O600" s="1" t="s">
        <v>35</v>
      </c>
      <c r="P600" s="1" t="s">
        <v>36</v>
      </c>
    </row>
    <row r="601" spans="1:16" x14ac:dyDescent="0.25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>
        <v>4</v>
      </c>
      <c r="J601" s="3">
        <v>33545.71</v>
      </c>
      <c r="K601" s="2">
        <v>3.63</v>
      </c>
      <c r="L601" s="3">
        <v>129312</v>
      </c>
      <c r="M601">
        <v>46169</v>
      </c>
      <c r="N601" s="1" t="s">
        <v>45</v>
      </c>
      <c r="O601" s="1" t="s">
        <v>35</v>
      </c>
      <c r="P601" s="1" t="s">
        <v>53</v>
      </c>
    </row>
    <row r="602" spans="1:16" x14ac:dyDescent="0.25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>
        <v>17</v>
      </c>
      <c r="J602" s="3">
        <v>37795.199999999997</v>
      </c>
      <c r="K602" s="2">
        <v>14.82</v>
      </c>
      <c r="L602" s="3">
        <v>547297.17000000004</v>
      </c>
      <c r="M602">
        <v>46372</v>
      </c>
      <c r="N602" s="1" t="s">
        <v>24</v>
      </c>
      <c r="O602" s="1" t="s">
        <v>35</v>
      </c>
      <c r="P602" s="1" t="s">
        <v>53</v>
      </c>
    </row>
    <row r="603" spans="1:16" x14ac:dyDescent="0.25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>
        <v>12</v>
      </c>
      <c r="J603" s="3">
        <v>9193.15</v>
      </c>
      <c r="K603" s="2">
        <v>11.99</v>
      </c>
      <c r="L603" s="3">
        <v>97090.7</v>
      </c>
      <c r="M603">
        <v>46028</v>
      </c>
      <c r="N603" s="1" t="s">
        <v>68</v>
      </c>
      <c r="O603" s="1" t="s">
        <v>35</v>
      </c>
      <c r="P603" s="1" t="s">
        <v>53</v>
      </c>
    </row>
    <row r="604" spans="1:16" x14ac:dyDescent="0.25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>
        <v>16</v>
      </c>
      <c r="J604" s="3">
        <v>29535.86</v>
      </c>
      <c r="K604" s="2">
        <v>13.16</v>
      </c>
      <c r="L604" s="3">
        <v>410383.05</v>
      </c>
      <c r="M604">
        <v>46070</v>
      </c>
      <c r="N604" s="1" t="s">
        <v>58</v>
      </c>
      <c r="O604" s="1" t="s">
        <v>35</v>
      </c>
      <c r="P604" s="1" t="s">
        <v>53</v>
      </c>
    </row>
    <row r="605" spans="1:16" x14ac:dyDescent="0.25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>
        <v>18</v>
      </c>
      <c r="J605" s="3">
        <v>47778.45</v>
      </c>
      <c r="K605" s="2">
        <v>16.36</v>
      </c>
      <c r="L605" s="3">
        <v>719314.12</v>
      </c>
      <c r="M605">
        <v>46262</v>
      </c>
      <c r="N605" s="1" t="s">
        <v>113</v>
      </c>
      <c r="O605" s="1" t="s">
        <v>35</v>
      </c>
      <c r="P605" s="1" t="s">
        <v>36</v>
      </c>
    </row>
    <row r="606" spans="1:16" x14ac:dyDescent="0.25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>
        <v>32</v>
      </c>
      <c r="J606" s="3">
        <v>22939.119999999999</v>
      </c>
      <c r="K606" s="2">
        <v>19.010000000000002</v>
      </c>
      <c r="L606" s="3">
        <v>594508.59</v>
      </c>
      <c r="M606">
        <v>46116</v>
      </c>
      <c r="N606" s="1" t="s">
        <v>24</v>
      </c>
      <c r="O606" s="1" t="s">
        <v>35</v>
      </c>
      <c r="P606" s="1" t="s">
        <v>36</v>
      </c>
    </row>
    <row r="607" spans="1:16" x14ac:dyDescent="0.25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>
        <v>20</v>
      </c>
      <c r="J607" s="3">
        <v>22517.94</v>
      </c>
      <c r="K607" s="2">
        <v>18.309999999999999</v>
      </c>
      <c r="L607" s="3">
        <v>367898.1</v>
      </c>
      <c r="M607">
        <v>46250</v>
      </c>
      <c r="N607" s="1" t="s">
        <v>58</v>
      </c>
      <c r="O607" s="1" t="s">
        <v>35</v>
      </c>
      <c r="P607" s="1" t="s">
        <v>26</v>
      </c>
    </row>
    <row r="608" spans="1:16" x14ac:dyDescent="0.25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>
        <v>14</v>
      </c>
      <c r="J608" s="3">
        <v>1163.6199999999999</v>
      </c>
      <c r="K608" s="2">
        <v>12.52</v>
      </c>
      <c r="L608" s="3">
        <v>14251.09</v>
      </c>
      <c r="M608">
        <v>46114</v>
      </c>
      <c r="N608" s="1" t="s">
        <v>68</v>
      </c>
      <c r="O608" s="1" t="s">
        <v>35</v>
      </c>
      <c r="P608" s="1" t="s">
        <v>53</v>
      </c>
    </row>
    <row r="609" spans="1:16" x14ac:dyDescent="0.25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>
        <v>43</v>
      </c>
      <c r="J609" s="3">
        <v>46571.94</v>
      </c>
      <c r="K609" s="2">
        <v>5.0199999999999996</v>
      </c>
      <c r="L609" s="3">
        <v>1902063.23</v>
      </c>
      <c r="M609">
        <v>46214</v>
      </c>
      <c r="N609" s="1" t="s">
        <v>45</v>
      </c>
      <c r="O609" s="1" t="s">
        <v>35</v>
      </c>
      <c r="P609" s="1" t="s">
        <v>36</v>
      </c>
    </row>
    <row r="610" spans="1:16" x14ac:dyDescent="0.25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>
        <v>24</v>
      </c>
      <c r="J610" s="3">
        <v>20282.96</v>
      </c>
      <c r="K610" s="2">
        <v>4.68</v>
      </c>
      <c r="L610" s="3">
        <v>464009.22</v>
      </c>
      <c r="M610">
        <v>46374</v>
      </c>
      <c r="N610" s="1" t="s">
        <v>58</v>
      </c>
      <c r="O610" s="1" t="s">
        <v>35</v>
      </c>
      <c r="P610" s="1" t="s">
        <v>26</v>
      </c>
    </row>
    <row r="611" spans="1:16" x14ac:dyDescent="0.25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>
        <v>32</v>
      </c>
      <c r="J611" s="3">
        <v>5491.86</v>
      </c>
      <c r="K611" s="2">
        <v>16.82</v>
      </c>
      <c r="L611" s="3">
        <v>146180.13</v>
      </c>
      <c r="M611">
        <v>46076</v>
      </c>
      <c r="N611" s="1" t="s">
        <v>113</v>
      </c>
      <c r="O611" s="1" t="s">
        <v>35</v>
      </c>
      <c r="P611" s="1" t="s">
        <v>26</v>
      </c>
    </row>
    <row r="612" spans="1:16" x14ac:dyDescent="0.25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>
        <v>20</v>
      </c>
      <c r="J612" s="3">
        <v>857.61</v>
      </c>
      <c r="K612" s="2">
        <v>2.15</v>
      </c>
      <c r="L612" s="3">
        <v>16783.43</v>
      </c>
      <c r="M612">
        <v>46043</v>
      </c>
      <c r="N612" s="1" t="s">
        <v>24</v>
      </c>
      <c r="O612" s="1" t="s">
        <v>35</v>
      </c>
      <c r="P612" s="1" t="s">
        <v>36</v>
      </c>
    </row>
    <row r="613" spans="1:16" x14ac:dyDescent="0.25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>
        <v>21</v>
      </c>
      <c r="J613" s="3">
        <v>31897.96</v>
      </c>
      <c r="K613" s="2">
        <v>17.09</v>
      </c>
      <c r="L613" s="3">
        <v>555378.56999999995</v>
      </c>
      <c r="M613">
        <v>46354</v>
      </c>
      <c r="N613" s="1" t="s">
        <v>45</v>
      </c>
      <c r="O613" s="1" t="s">
        <v>35</v>
      </c>
      <c r="P613" s="1" t="s">
        <v>53</v>
      </c>
    </row>
    <row r="614" spans="1:16" x14ac:dyDescent="0.25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>
        <v>28</v>
      </c>
      <c r="J614" s="3">
        <v>16964.18</v>
      </c>
      <c r="K614" s="2">
        <v>18.61</v>
      </c>
      <c r="L614" s="3">
        <v>386600.09</v>
      </c>
      <c r="M614">
        <v>46134</v>
      </c>
      <c r="N614" s="1" t="s">
        <v>68</v>
      </c>
      <c r="O614" s="1" t="s">
        <v>25</v>
      </c>
      <c r="P614" s="1" t="s">
        <v>53</v>
      </c>
    </row>
    <row r="615" spans="1:16" x14ac:dyDescent="0.25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>
        <v>20</v>
      </c>
      <c r="J615" s="3">
        <v>36602.239999999998</v>
      </c>
      <c r="K615" s="2">
        <v>14.02</v>
      </c>
      <c r="L615" s="3">
        <v>629412.12</v>
      </c>
      <c r="M615">
        <v>46296</v>
      </c>
      <c r="N615" s="1" t="s">
        <v>58</v>
      </c>
      <c r="O615" s="1" t="s">
        <v>35</v>
      </c>
      <c r="P615" s="1" t="s">
        <v>36</v>
      </c>
    </row>
    <row r="616" spans="1:16" x14ac:dyDescent="0.25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>
        <v>37</v>
      </c>
      <c r="J616" s="3">
        <v>37450.379999999997</v>
      </c>
      <c r="K616" s="2">
        <v>2.5099999999999998</v>
      </c>
      <c r="L616" s="3">
        <v>1350883.89</v>
      </c>
      <c r="M616">
        <v>46296</v>
      </c>
      <c r="N616" s="1" t="s">
        <v>24</v>
      </c>
      <c r="O616" s="1" t="s">
        <v>35</v>
      </c>
      <c r="P616" s="1" t="s">
        <v>26</v>
      </c>
    </row>
    <row r="617" spans="1:16" x14ac:dyDescent="0.25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>
        <v>34</v>
      </c>
      <c r="J617" s="3">
        <v>16205.13</v>
      </c>
      <c r="K617" s="2">
        <v>15.2</v>
      </c>
      <c r="L617" s="3">
        <v>467226.31</v>
      </c>
      <c r="M617">
        <v>46030</v>
      </c>
      <c r="N617" s="1" t="s">
        <v>24</v>
      </c>
      <c r="O617" s="1" t="s">
        <v>35</v>
      </c>
      <c r="P617" s="1" t="s">
        <v>36</v>
      </c>
    </row>
    <row r="618" spans="1:16" x14ac:dyDescent="0.25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>
        <v>44</v>
      </c>
      <c r="J618" s="3">
        <v>19335.169999999998</v>
      </c>
      <c r="K618" s="2">
        <v>11.14</v>
      </c>
      <c r="L618" s="3">
        <v>755974.21</v>
      </c>
      <c r="M618">
        <v>46077</v>
      </c>
      <c r="N618" s="1" t="s">
        <v>58</v>
      </c>
      <c r="O618" s="1" t="s">
        <v>35</v>
      </c>
      <c r="P618" s="1" t="s">
        <v>36</v>
      </c>
    </row>
    <row r="619" spans="1:16" x14ac:dyDescent="0.25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>
        <v>14</v>
      </c>
      <c r="J619" s="3">
        <v>40961.06</v>
      </c>
      <c r="K619" s="2">
        <v>15.46</v>
      </c>
      <c r="L619" s="3">
        <v>484798.71999999997</v>
      </c>
      <c r="M619">
        <v>46102</v>
      </c>
      <c r="N619" s="1" t="s">
        <v>58</v>
      </c>
      <c r="O619" s="1" t="s">
        <v>35</v>
      </c>
      <c r="P619" s="1" t="s">
        <v>26</v>
      </c>
    </row>
    <row r="620" spans="1:16" x14ac:dyDescent="0.25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>
        <v>9</v>
      </c>
      <c r="J620" s="3">
        <v>12346.67</v>
      </c>
      <c r="K620" s="2">
        <v>19.41</v>
      </c>
      <c r="L620" s="3">
        <v>89551.63</v>
      </c>
      <c r="M620">
        <v>46044</v>
      </c>
      <c r="N620" s="1" t="s">
        <v>68</v>
      </c>
      <c r="O620" s="1" t="s">
        <v>59</v>
      </c>
      <c r="P620" s="1" t="s">
        <v>36</v>
      </c>
    </row>
    <row r="621" spans="1:16" x14ac:dyDescent="0.25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>
        <v>2</v>
      </c>
      <c r="J621" s="3">
        <v>37694.080000000002</v>
      </c>
      <c r="K621" s="2">
        <v>15.34</v>
      </c>
      <c r="L621" s="3">
        <v>63823.62</v>
      </c>
      <c r="M621">
        <v>46183</v>
      </c>
      <c r="N621" s="1" t="s">
        <v>113</v>
      </c>
      <c r="O621" s="1" t="s">
        <v>25</v>
      </c>
      <c r="P621" s="1" t="s">
        <v>53</v>
      </c>
    </row>
    <row r="622" spans="1:16" x14ac:dyDescent="0.25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>
        <v>17</v>
      </c>
      <c r="J622" s="3">
        <v>9170.4500000000007</v>
      </c>
      <c r="K622" s="2">
        <v>17.77</v>
      </c>
      <c r="L622" s="3">
        <v>128194.64</v>
      </c>
      <c r="M622">
        <v>46214</v>
      </c>
      <c r="N622" s="1" t="s">
        <v>24</v>
      </c>
      <c r="O622" s="1" t="s">
        <v>35</v>
      </c>
      <c r="P622" s="1" t="s">
        <v>36</v>
      </c>
    </row>
    <row r="623" spans="1:16" x14ac:dyDescent="0.25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>
        <v>8</v>
      </c>
      <c r="J623" s="3">
        <v>29159.02</v>
      </c>
      <c r="K623" s="2">
        <v>14.83</v>
      </c>
      <c r="L623" s="3">
        <v>198677.9</v>
      </c>
      <c r="M623">
        <v>46293</v>
      </c>
      <c r="N623" s="1" t="s">
        <v>113</v>
      </c>
      <c r="O623" s="1" t="s">
        <v>35</v>
      </c>
      <c r="P623" s="1" t="s">
        <v>36</v>
      </c>
    </row>
    <row r="624" spans="1:16" x14ac:dyDescent="0.25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>
        <v>46</v>
      </c>
      <c r="J624" s="3">
        <v>26587.23</v>
      </c>
      <c r="K624" s="2">
        <v>16.47</v>
      </c>
      <c r="L624" s="3">
        <v>1021582.41</v>
      </c>
      <c r="M624">
        <v>46300</v>
      </c>
      <c r="N624" s="1" t="s">
        <v>58</v>
      </c>
      <c r="O624" s="1" t="s">
        <v>59</v>
      </c>
      <c r="P624" s="1" t="s">
        <v>26</v>
      </c>
    </row>
    <row r="625" spans="1:16" x14ac:dyDescent="0.25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>
        <v>49</v>
      </c>
      <c r="J625" s="3">
        <v>43646.66</v>
      </c>
      <c r="K625" s="2">
        <v>2.74</v>
      </c>
      <c r="L625" s="3">
        <v>2080086.33</v>
      </c>
      <c r="M625">
        <v>46191</v>
      </c>
      <c r="N625" s="1" t="s">
        <v>68</v>
      </c>
      <c r="O625" s="1" t="s">
        <v>35</v>
      </c>
      <c r="P625" s="1" t="s">
        <v>36</v>
      </c>
    </row>
    <row r="626" spans="1:16" x14ac:dyDescent="0.25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>
        <v>50</v>
      </c>
      <c r="J626" s="3">
        <v>3972.88</v>
      </c>
      <c r="K626" s="2">
        <v>13.77</v>
      </c>
      <c r="L626" s="3">
        <v>171290.72</v>
      </c>
      <c r="M626">
        <v>46335</v>
      </c>
      <c r="N626" s="1" t="s">
        <v>113</v>
      </c>
      <c r="O626" s="1" t="s">
        <v>35</v>
      </c>
      <c r="P626" s="1" t="s">
        <v>36</v>
      </c>
    </row>
    <row r="627" spans="1:16" x14ac:dyDescent="0.25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>
        <v>33</v>
      </c>
      <c r="J627" s="3">
        <v>8085.55</v>
      </c>
      <c r="K627" s="2">
        <v>11.79</v>
      </c>
      <c r="L627" s="3">
        <v>235364.7</v>
      </c>
      <c r="M627">
        <v>46360</v>
      </c>
      <c r="N627" s="1" t="s">
        <v>68</v>
      </c>
      <c r="O627" s="1" t="s">
        <v>35</v>
      </c>
      <c r="P627" s="1" t="s">
        <v>53</v>
      </c>
    </row>
    <row r="628" spans="1:16" x14ac:dyDescent="0.25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>
        <v>35</v>
      </c>
      <c r="J628" s="3">
        <v>31277.86</v>
      </c>
      <c r="K628" s="2">
        <v>19.149999999999999</v>
      </c>
      <c r="L628" s="3">
        <v>885085.24</v>
      </c>
      <c r="M628">
        <v>46341</v>
      </c>
      <c r="N628" s="1" t="s">
        <v>24</v>
      </c>
      <c r="O628" s="1" t="s">
        <v>35</v>
      </c>
      <c r="P628" s="1" t="s">
        <v>53</v>
      </c>
    </row>
    <row r="629" spans="1:16" x14ac:dyDescent="0.25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>
        <v>21</v>
      </c>
      <c r="J629" s="3">
        <v>6276.28</v>
      </c>
      <c r="K629" s="2">
        <v>0.86</v>
      </c>
      <c r="L629" s="3">
        <v>130668.38</v>
      </c>
      <c r="M629">
        <v>46117</v>
      </c>
      <c r="N629" s="1" t="s">
        <v>58</v>
      </c>
      <c r="O629" s="1" t="s">
        <v>35</v>
      </c>
      <c r="P629" s="1" t="s">
        <v>36</v>
      </c>
    </row>
    <row r="630" spans="1:16" x14ac:dyDescent="0.25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>
        <v>43</v>
      </c>
      <c r="J630" s="3">
        <v>22031.37</v>
      </c>
      <c r="K630" s="2">
        <v>10.26</v>
      </c>
      <c r="L630" s="3">
        <v>850150.91</v>
      </c>
      <c r="M630">
        <v>46038</v>
      </c>
      <c r="N630" s="1" t="s">
        <v>68</v>
      </c>
      <c r="O630" s="1" t="s">
        <v>25</v>
      </c>
      <c r="P630" s="1" t="s">
        <v>36</v>
      </c>
    </row>
    <row r="631" spans="1:16" x14ac:dyDescent="0.25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>
        <v>45</v>
      </c>
      <c r="J631" s="3">
        <v>21814.47</v>
      </c>
      <c r="K631" s="2">
        <v>17.53</v>
      </c>
      <c r="L631" s="3">
        <v>809567.7</v>
      </c>
      <c r="M631">
        <v>46352</v>
      </c>
      <c r="N631" s="1" t="s">
        <v>45</v>
      </c>
      <c r="O631" s="1" t="s">
        <v>35</v>
      </c>
      <c r="P631" s="1" t="s">
        <v>53</v>
      </c>
    </row>
    <row r="632" spans="1:16" x14ac:dyDescent="0.25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>
        <v>28</v>
      </c>
      <c r="J632" s="3">
        <v>23163.06</v>
      </c>
      <c r="K632" s="2">
        <v>8.56</v>
      </c>
      <c r="L632" s="3">
        <v>593048.46</v>
      </c>
      <c r="M632">
        <v>46231</v>
      </c>
      <c r="N632" s="1" t="s">
        <v>68</v>
      </c>
      <c r="O632" s="1" t="s">
        <v>35</v>
      </c>
      <c r="P632" s="1" t="s">
        <v>53</v>
      </c>
    </row>
    <row r="633" spans="1:16" x14ac:dyDescent="0.25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>
        <v>36</v>
      </c>
      <c r="J633" s="3">
        <v>9072.69</v>
      </c>
      <c r="K633" s="2">
        <v>3.76</v>
      </c>
      <c r="L633" s="3">
        <v>314336.05</v>
      </c>
      <c r="M633">
        <v>46071</v>
      </c>
      <c r="N633" s="1" t="s">
        <v>45</v>
      </c>
      <c r="O633" s="1" t="s">
        <v>25</v>
      </c>
      <c r="P633" s="1" t="s">
        <v>26</v>
      </c>
    </row>
    <row r="634" spans="1:16" x14ac:dyDescent="0.25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>
        <v>14</v>
      </c>
      <c r="J634" s="3">
        <v>9284.26</v>
      </c>
      <c r="K634" s="2">
        <v>11.56</v>
      </c>
      <c r="L634" s="3">
        <v>114953.99</v>
      </c>
      <c r="M634">
        <v>46236</v>
      </c>
      <c r="N634" s="1" t="s">
        <v>45</v>
      </c>
      <c r="O634" s="1" t="s">
        <v>25</v>
      </c>
      <c r="P634" s="1" t="s">
        <v>36</v>
      </c>
    </row>
    <row r="635" spans="1:16" x14ac:dyDescent="0.25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>
        <v>40</v>
      </c>
      <c r="J635" s="3">
        <v>4936.66</v>
      </c>
      <c r="K635" s="2">
        <v>10.27</v>
      </c>
      <c r="L635" s="3">
        <v>177186.6</v>
      </c>
      <c r="M635">
        <v>46176</v>
      </c>
      <c r="N635" s="1" t="s">
        <v>68</v>
      </c>
      <c r="O635" s="1" t="s">
        <v>59</v>
      </c>
      <c r="P635" s="1" t="s">
        <v>36</v>
      </c>
    </row>
    <row r="636" spans="1:16" x14ac:dyDescent="0.25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>
        <v>32</v>
      </c>
      <c r="J636" s="3">
        <v>17109.810000000001</v>
      </c>
      <c r="K636" s="2">
        <v>14.15</v>
      </c>
      <c r="L636" s="3">
        <v>470040.7</v>
      </c>
      <c r="M636">
        <v>46294</v>
      </c>
      <c r="N636" s="1" t="s">
        <v>45</v>
      </c>
      <c r="O636" s="1" t="s">
        <v>35</v>
      </c>
      <c r="P636" s="1" t="s">
        <v>36</v>
      </c>
    </row>
    <row r="637" spans="1:16" x14ac:dyDescent="0.25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>
        <v>39</v>
      </c>
      <c r="J637" s="3">
        <v>44067.199999999997</v>
      </c>
      <c r="K637" s="2">
        <v>12.02</v>
      </c>
      <c r="L637" s="3">
        <v>1512042.58</v>
      </c>
      <c r="M637">
        <v>46365</v>
      </c>
      <c r="N637" s="1" t="s">
        <v>24</v>
      </c>
      <c r="O637" s="1" t="s">
        <v>25</v>
      </c>
      <c r="P637" s="1" t="s">
        <v>53</v>
      </c>
    </row>
    <row r="638" spans="1:16" x14ac:dyDescent="0.25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>
        <v>20</v>
      </c>
      <c r="J638" s="3">
        <v>25496.21</v>
      </c>
      <c r="K638" s="2">
        <v>1.36</v>
      </c>
      <c r="L638" s="3">
        <v>502989.23</v>
      </c>
      <c r="M638">
        <v>46273</v>
      </c>
      <c r="N638" s="1" t="s">
        <v>24</v>
      </c>
      <c r="O638" s="1" t="s">
        <v>35</v>
      </c>
      <c r="P638" s="1" t="s">
        <v>36</v>
      </c>
    </row>
    <row r="639" spans="1:16" x14ac:dyDescent="0.25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>
        <v>23</v>
      </c>
      <c r="J639" s="3">
        <v>40272.19</v>
      </c>
      <c r="K639" s="2">
        <v>13.84</v>
      </c>
      <c r="L639" s="3">
        <v>798065.93</v>
      </c>
      <c r="M639">
        <v>46109</v>
      </c>
      <c r="N639" s="1" t="s">
        <v>45</v>
      </c>
      <c r="O639" s="1" t="s">
        <v>35</v>
      </c>
      <c r="P639" s="1" t="s">
        <v>36</v>
      </c>
    </row>
    <row r="640" spans="1:16" x14ac:dyDescent="0.25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>
        <v>34</v>
      </c>
      <c r="J640" s="3">
        <v>9055.8700000000008</v>
      </c>
      <c r="K640" s="2">
        <v>4.17</v>
      </c>
      <c r="L640" s="3">
        <v>295060.17</v>
      </c>
      <c r="M640">
        <v>46298</v>
      </c>
      <c r="N640" s="1" t="s">
        <v>68</v>
      </c>
      <c r="O640" s="1" t="s">
        <v>25</v>
      </c>
      <c r="P640" s="1" t="s">
        <v>36</v>
      </c>
    </row>
    <row r="641" spans="1:16" x14ac:dyDescent="0.25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>
        <v>42</v>
      </c>
      <c r="J641" s="3">
        <v>47546.1</v>
      </c>
      <c r="K641" s="2">
        <v>18.66</v>
      </c>
      <c r="L641" s="3">
        <v>1624307.91</v>
      </c>
      <c r="M641">
        <v>46314</v>
      </c>
      <c r="N641" s="1" t="s">
        <v>113</v>
      </c>
      <c r="O641" s="1" t="s">
        <v>35</v>
      </c>
      <c r="P641" s="1" t="s">
        <v>26</v>
      </c>
    </row>
    <row r="642" spans="1:16" x14ac:dyDescent="0.25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>
        <v>3</v>
      </c>
      <c r="J642" s="3">
        <v>39263.620000000003</v>
      </c>
      <c r="K642" s="2">
        <v>7.05</v>
      </c>
      <c r="L642" s="3">
        <v>109486.6</v>
      </c>
      <c r="M642">
        <v>46323</v>
      </c>
      <c r="N642" s="1" t="s">
        <v>58</v>
      </c>
      <c r="O642" s="1" t="s">
        <v>35</v>
      </c>
      <c r="P642" s="1" t="s">
        <v>36</v>
      </c>
    </row>
    <row r="643" spans="1:16" x14ac:dyDescent="0.25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>
        <v>43</v>
      </c>
      <c r="J643" s="3">
        <v>23078.05</v>
      </c>
      <c r="K643" s="2">
        <v>12.01</v>
      </c>
      <c r="L643" s="3">
        <v>873174.18</v>
      </c>
      <c r="M643">
        <v>46057</v>
      </c>
      <c r="N643" s="1" t="s">
        <v>113</v>
      </c>
      <c r="O643" s="1" t="s">
        <v>35</v>
      </c>
      <c r="P643" s="1" t="s">
        <v>26</v>
      </c>
    </row>
    <row r="644" spans="1:16" x14ac:dyDescent="0.25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>
        <v>6</v>
      </c>
      <c r="J644" s="3">
        <v>15649.89</v>
      </c>
      <c r="K644" s="2">
        <v>2.0299999999999998</v>
      </c>
      <c r="L644" s="3">
        <v>91993.18</v>
      </c>
      <c r="M644">
        <v>46176</v>
      </c>
      <c r="N644" s="1" t="s">
        <v>58</v>
      </c>
      <c r="O644" s="1" t="s">
        <v>35</v>
      </c>
      <c r="P644" s="1" t="s">
        <v>53</v>
      </c>
    </row>
    <row r="645" spans="1:16" x14ac:dyDescent="0.25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>
        <v>30</v>
      </c>
      <c r="J645" s="3">
        <v>20935.599999999999</v>
      </c>
      <c r="K645" s="2">
        <v>2.95</v>
      </c>
      <c r="L645" s="3">
        <v>609539.99</v>
      </c>
      <c r="M645">
        <v>46287</v>
      </c>
      <c r="N645" s="1" t="s">
        <v>68</v>
      </c>
      <c r="O645" s="1" t="s">
        <v>35</v>
      </c>
      <c r="P645" s="1" t="s">
        <v>36</v>
      </c>
    </row>
    <row r="646" spans="1:16" x14ac:dyDescent="0.25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>
        <v>26</v>
      </c>
      <c r="J646" s="3">
        <v>28472.5</v>
      </c>
      <c r="K646" s="2">
        <v>2.67</v>
      </c>
      <c r="L646" s="3">
        <v>720519.39</v>
      </c>
      <c r="M646">
        <v>46322</v>
      </c>
      <c r="N646" s="1" t="s">
        <v>68</v>
      </c>
      <c r="O646" s="1" t="s">
        <v>35</v>
      </c>
      <c r="P646" s="1" t="s">
        <v>26</v>
      </c>
    </row>
    <row r="647" spans="1:16" x14ac:dyDescent="0.25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>
        <v>15</v>
      </c>
      <c r="J647" s="3">
        <v>1050</v>
      </c>
      <c r="K647" s="2">
        <v>5.61</v>
      </c>
      <c r="L647" s="3">
        <v>14866.42</v>
      </c>
      <c r="M647">
        <v>46215</v>
      </c>
      <c r="N647" s="1" t="s">
        <v>68</v>
      </c>
      <c r="O647" s="1" t="s">
        <v>35</v>
      </c>
      <c r="P647" s="1" t="s">
        <v>36</v>
      </c>
    </row>
    <row r="648" spans="1:16" x14ac:dyDescent="0.25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>
        <v>42</v>
      </c>
      <c r="J648" s="3">
        <v>21737.61</v>
      </c>
      <c r="K648" s="2">
        <v>0</v>
      </c>
      <c r="L648" s="3">
        <v>912979.62</v>
      </c>
      <c r="M648">
        <v>46163</v>
      </c>
      <c r="N648" s="1" t="s">
        <v>24</v>
      </c>
      <c r="O648" s="1" t="s">
        <v>35</v>
      </c>
      <c r="P648" s="1" t="s">
        <v>26</v>
      </c>
    </row>
    <row r="649" spans="1:16" x14ac:dyDescent="0.25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>
        <v>38</v>
      </c>
      <c r="J649" s="3">
        <v>48478.1</v>
      </c>
      <c r="K649" s="2">
        <v>3.79</v>
      </c>
      <c r="L649" s="3">
        <v>1772349.64</v>
      </c>
      <c r="M649">
        <v>46256</v>
      </c>
      <c r="N649" s="1" t="s">
        <v>45</v>
      </c>
      <c r="O649" s="1" t="s">
        <v>35</v>
      </c>
      <c r="P649" s="1" t="s">
        <v>26</v>
      </c>
    </row>
    <row r="650" spans="1:16" x14ac:dyDescent="0.25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>
        <v>47</v>
      </c>
      <c r="J650" s="3">
        <v>25384.02</v>
      </c>
      <c r="K650" s="2">
        <v>9.33</v>
      </c>
      <c r="L650" s="3">
        <v>1081737.47</v>
      </c>
      <c r="M650">
        <v>46327</v>
      </c>
      <c r="N650" s="1" t="s">
        <v>113</v>
      </c>
      <c r="O650" s="1" t="s">
        <v>35</v>
      </c>
      <c r="P650" s="1" t="s">
        <v>26</v>
      </c>
    </row>
    <row r="651" spans="1:16" x14ac:dyDescent="0.25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>
        <v>41</v>
      </c>
      <c r="J651" s="3">
        <v>1741.29</v>
      </c>
      <c r="K651" s="2">
        <v>4.6100000000000003</v>
      </c>
      <c r="L651" s="3">
        <v>68101.679999999993</v>
      </c>
      <c r="M651">
        <v>46326</v>
      </c>
      <c r="N651" s="1" t="s">
        <v>58</v>
      </c>
      <c r="O651" s="1" t="s">
        <v>35</v>
      </c>
      <c r="P651" s="1" t="s">
        <v>53</v>
      </c>
    </row>
    <row r="652" spans="1:16" x14ac:dyDescent="0.25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>
        <v>46</v>
      </c>
      <c r="J652" s="3">
        <v>48145.89</v>
      </c>
      <c r="K652" s="2">
        <v>6.22</v>
      </c>
      <c r="L652" s="3">
        <v>2076955.92</v>
      </c>
      <c r="M652">
        <v>46277</v>
      </c>
      <c r="N652" s="1" t="s">
        <v>58</v>
      </c>
      <c r="O652" s="1" t="s">
        <v>35</v>
      </c>
      <c r="P652" s="1" t="s">
        <v>53</v>
      </c>
    </row>
    <row r="653" spans="1:16" x14ac:dyDescent="0.25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>
        <v>28</v>
      </c>
      <c r="J653" s="3">
        <v>26690.86</v>
      </c>
      <c r="K653" s="2">
        <v>12.94</v>
      </c>
      <c r="L653" s="3">
        <v>650637.76</v>
      </c>
      <c r="M653">
        <v>46090</v>
      </c>
      <c r="N653" s="1" t="s">
        <v>24</v>
      </c>
      <c r="O653" s="1" t="s">
        <v>35</v>
      </c>
      <c r="P653" s="1" t="s">
        <v>36</v>
      </c>
    </row>
    <row r="654" spans="1:16" x14ac:dyDescent="0.25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>
        <v>41</v>
      </c>
      <c r="J654" s="3">
        <v>12039.29</v>
      </c>
      <c r="K654" s="2">
        <v>7.67</v>
      </c>
      <c r="L654" s="3">
        <v>455750.93</v>
      </c>
      <c r="M654">
        <v>46100</v>
      </c>
      <c r="N654" s="1" t="s">
        <v>58</v>
      </c>
      <c r="O654" s="1" t="s">
        <v>35</v>
      </c>
      <c r="P654" s="1" t="s">
        <v>26</v>
      </c>
    </row>
    <row r="655" spans="1:16" x14ac:dyDescent="0.25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>
        <v>24</v>
      </c>
      <c r="J655" s="3">
        <v>28432.02</v>
      </c>
      <c r="K655" s="2">
        <v>0.28999999999999998</v>
      </c>
      <c r="L655" s="3">
        <v>680389.61</v>
      </c>
      <c r="M655">
        <v>46226</v>
      </c>
      <c r="N655" s="1" t="s">
        <v>45</v>
      </c>
      <c r="O655" s="1" t="s">
        <v>25</v>
      </c>
      <c r="P655" s="1" t="s">
        <v>36</v>
      </c>
    </row>
    <row r="656" spans="1:16" x14ac:dyDescent="0.25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>
        <v>39</v>
      </c>
      <c r="J656" s="3">
        <v>28512.67</v>
      </c>
      <c r="K656" s="2">
        <v>2.66</v>
      </c>
      <c r="L656" s="3">
        <v>1082415.0900000001</v>
      </c>
      <c r="M656">
        <v>46123</v>
      </c>
      <c r="N656" s="1" t="s">
        <v>68</v>
      </c>
      <c r="O656" s="1" t="s">
        <v>35</v>
      </c>
      <c r="P656" s="1" t="s">
        <v>26</v>
      </c>
    </row>
    <row r="657" spans="1:16" x14ac:dyDescent="0.25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>
        <v>17</v>
      </c>
      <c r="J657" s="3">
        <v>42852.88</v>
      </c>
      <c r="K657" s="2">
        <v>16.86</v>
      </c>
      <c r="L657" s="3">
        <v>605674.04</v>
      </c>
      <c r="M657">
        <v>46220</v>
      </c>
      <c r="N657" s="1" t="s">
        <v>113</v>
      </c>
      <c r="O657" s="1" t="s">
        <v>35</v>
      </c>
      <c r="P657" s="1" t="s">
        <v>53</v>
      </c>
    </row>
    <row r="658" spans="1:16" x14ac:dyDescent="0.25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>
        <v>19</v>
      </c>
      <c r="J658" s="3">
        <v>38775.64</v>
      </c>
      <c r="K658" s="2">
        <v>10.85</v>
      </c>
      <c r="L658" s="3">
        <v>656801.18000000005</v>
      </c>
      <c r="M658">
        <v>46235</v>
      </c>
      <c r="N658" s="1" t="s">
        <v>113</v>
      </c>
      <c r="O658" s="1" t="s">
        <v>35</v>
      </c>
      <c r="P658" s="1" t="s">
        <v>53</v>
      </c>
    </row>
    <row r="659" spans="1:16" x14ac:dyDescent="0.25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>
        <v>13</v>
      </c>
      <c r="J659" s="3">
        <v>5723.86</v>
      </c>
      <c r="K659" s="2">
        <v>13.46</v>
      </c>
      <c r="L659" s="3">
        <v>64394.57</v>
      </c>
      <c r="M659">
        <v>46192</v>
      </c>
      <c r="N659" s="1" t="s">
        <v>58</v>
      </c>
      <c r="O659" s="1" t="s">
        <v>35</v>
      </c>
      <c r="P659" s="1" t="s">
        <v>36</v>
      </c>
    </row>
    <row r="660" spans="1:16" x14ac:dyDescent="0.25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>
        <v>28</v>
      </c>
      <c r="J660" s="3">
        <v>46367.46</v>
      </c>
      <c r="K660" s="2">
        <v>17.010000000000002</v>
      </c>
      <c r="L660" s="3">
        <v>1077449.94</v>
      </c>
      <c r="M660">
        <v>46203</v>
      </c>
      <c r="N660" s="1" t="s">
        <v>58</v>
      </c>
      <c r="O660" s="1" t="s">
        <v>35</v>
      </c>
      <c r="P660" s="1" t="s">
        <v>26</v>
      </c>
    </row>
    <row r="661" spans="1:16" x14ac:dyDescent="0.25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>
        <v>42</v>
      </c>
      <c r="J661" s="3">
        <v>28312.42</v>
      </c>
      <c r="K661" s="2">
        <v>14.91</v>
      </c>
      <c r="L661" s="3">
        <v>1011823.6</v>
      </c>
      <c r="M661">
        <v>46024</v>
      </c>
      <c r="N661" s="1" t="s">
        <v>24</v>
      </c>
      <c r="O661" s="1" t="s">
        <v>35</v>
      </c>
      <c r="P661" s="1" t="s">
        <v>26</v>
      </c>
    </row>
    <row r="662" spans="1:16" x14ac:dyDescent="0.25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>
        <v>8</v>
      </c>
      <c r="J662" s="3">
        <v>5985.06</v>
      </c>
      <c r="K662" s="2">
        <v>4.0999999999999996</v>
      </c>
      <c r="L662" s="3">
        <v>45917.38</v>
      </c>
      <c r="M662">
        <v>46287</v>
      </c>
      <c r="N662" s="1" t="s">
        <v>58</v>
      </c>
      <c r="O662" s="1" t="s">
        <v>35</v>
      </c>
      <c r="P662" s="1" t="s">
        <v>26</v>
      </c>
    </row>
    <row r="663" spans="1:16" x14ac:dyDescent="0.25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>
        <v>44</v>
      </c>
      <c r="J663" s="3">
        <v>14853.05</v>
      </c>
      <c r="K663" s="2">
        <v>6.89</v>
      </c>
      <c r="L663" s="3">
        <v>608505.68999999994</v>
      </c>
      <c r="M663">
        <v>46319</v>
      </c>
      <c r="N663" s="1" t="s">
        <v>113</v>
      </c>
      <c r="O663" s="1" t="s">
        <v>35</v>
      </c>
      <c r="P663" s="1" t="s">
        <v>36</v>
      </c>
    </row>
    <row r="664" spans="1:16" x14ac:dyDescent="0.25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>
        <v>45</v>
      </c>
      <c r="J664" s="3">
        <v>27651.77</v>
      </c>
      <c r="K664" s="2">
        <v>14.05</v>
      </c>
      <c r="L664" s="3">
        <v>1069501.33</v>
      </c>
      <c r="M664">
        <v>46150</v>
      </c>
      <c r="N664" s="1" t="s">
        <v>24</v>
      </c>
      <c r="O664" s="1" t="s">
        <v>35</v>
      </c>
      <c r="P664" s="1" t="s">
        <v>53</v>
      </c>
    </row>
    <row r="665" spans="1:16" x14ac:dyDescent="0.25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>
        <v>4</v>
      </c>
      <c r="J665" s="3">
        <v>44838.35</v>
      </c>
      <c r="K665" s="2">
        <v>16.170000000000002</v>
      </c>
      <c r="L665" s="3">
        <v>150351.96</v>
      </c>
      <c r="M665">
        <v>46176</v>
      </c>
      <c r="N665" s="1" t="s">
        <v>58</v>
      </c>
      <c r="O665" s="1" t="s">
        <v>35</v>
      </c>
      <c r="P665" s="1" t="s">
        <v>36</v>
      </c>
    </row>
    <row r="666" spans="1:16" x14ac:dyDescent="0.25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>
        <v>50</v>
      </c>
      <c r="J666" s="3">
        <v>14881.81</v>
      </c>
      <c r="K666" s="2">
        <v>19.87</v>
      </c>
      <c r="L666" s="3">
        <v>596239.72</v>
      </c>
      <c r="M666">
        <v>46324</v>
      </c>
      <c r="N666" s="1" t="s">
        <v>113</v>
      </c>
      <c r="O666" s="1" t="s">
        <v>35</v>
      </c>
      <c r="P666" s="1" t="s">
        <v>26</v>
      </c>
    </row>
    <row r="667" spans="1:16" x14ac:dyDescent="0.25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>
        <v>34</v>
      </c>
      <c r="J667" s="3">
        <v>40470.97</v>
      </c>
      <c r="K667" s="2">
        <v>4.9400000000000004</v>
      </c>
      <c r="L667" s="3">
        <v>1308037.94</v>
      </c>
      <c r="M667">
        <v>46319</v>
      </c>
      <c r="N667" s="1" t="s">
        <v>24</v>
      </c>
      <c r="O667" s="1" t="s">
        <v>25</v>
      </c>
      <c r="P667" s="1" t="s">
        <v>53</v>
      </c>
    </row>
    <row r="668" spans="1:16" x14ac:dyDescent="0.25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>
        <v>26</v>
      </c>
      <c r="J668" s="3">
        <v>5777.73</v>
      </c>
      <c r="K668" s="2">
        <v>14.87</v>
      </c>
      <c r="L668" s="3">
        <v>127883.12</v>
      </c>
      <c r="M668">
        <v>46306</v>
      </c>
      <c r="N668" s="1" t="s">
        <v>113</v>
      </c>
      <c r="O668" s="1" t="s">
        <v>35</v>
      </c>
      <c r="P668" s="1" t="s">
        <v>53</v>
      </c>
    </row>
    <row r="669" spans="1:16" x14ac:dyDescent="0.25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>
        <v>29</v>
      </c>
      <c r="J669" s="3">
        <v>36483.03</v>
      </c>
      <c r="K669" s="2">
        <v>7.9</v>
      </c>
      <c r="L669" s="3">
        <v>974425.25</v>
      </c>
      <c r="M669">
        <v>46280</v>
      </c>
      <c r="N669" s="1" t="s">
        <v>58</v>
      </c>
      <c r="O669" s="1" t="s">
        <v>35</v>
      </c>
      <c r="P669" s="1" t="s">
        <v>53</v>
      </c>
    </row>
    <row r="670" spans="1:16" x14ac:dyDescent="0.25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>
        <v>14</v>
      </c>
      <c r="J670" s="3">
        <v>47632.95</v>
      </c>
      <c r="K670" s="2">
        <v>16.940000000000001</v>
      </c>
      <c r="L670" s="3">
        <v>553895</v>
      </c>
      <c r="M670">
        <v>46118</v>
      </c>
      <c r="N670" s="1" t="s">
        <v>45</v>
      </c>
      <c r="O670" s="1" t="s">
        <v>35</v>
      </c>
      <c r="P670" s="1" t="s">
        <v>26</v>
      </c>
    </row>
    <row r="671" spans="1:16" x14ac:dyDescent="0.25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>
        <v>47</v>
      </c>
      <c r="J671" s="3">
        <v>32635.39</v>
      </c>
      <c r="K671" s="2">
        <v>19.32</v>
      </c>
      <c r="L671" s="3">
        <v>1237520.93</v>
      </c>
      <c r="M671">
        <v>46237</v>
      </c>
      <c r="N671" s="1" t="s">
        <v>58</v>
      </c>
      <c r="O671" s="1" t="s">
        <v>35</v>
      </c>
      <c r="P671" s="1" t="s">
        <v>26</v>
      </c>
    </row>
    <row r="672" spans="1:16" x14ac:dyDescent="0.25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>
        <v>6</v>
      </c>
      <c r="J672" s="3">
        <v>13242.59</v>
      </c>
      <c r="K672" s="2">
        <v>3.85</v>
      </c>
      <c r="L672" s="3">
        <v>76396.5</v>
      </c>
      <c r="M672">
        <v>46030</v>
      </c>
      <c r="N672" s="1" t="s">
        <v>68</v>
      </c>
      <c r="O672" s="1" t="s">
        <v>35</v>
      </c>
      <c r="P672" s="1" t="s">
        <v>53</v>
      </c>
    </row>
    <row r="673" spans="1:16" x14ac:dyDescent="0.25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>
        <v>28</v>
      </c>
      <c r="J673" s="3">
        <v>4212.12</v>
      </c>
      <c r="K673" s="2">
        <v>15.78</v>
      </c>
      <c r="L673" s="3">
        <v>99328.53</v>
      </c>
      <c r="M673">
        <v>46075</v>
      </c>
      <c r="N673" s="1" t="s">
        <v>45</v>
      </c>
      <c r="O673" s="1" t="s">
        <v>35</v>
      </c>
      <c r="P673" s="1" t="s">
        <v>53</v>
      </c>
    </row>
    <row r="674" spans="1:16" x14ac:dyDescent="0.25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>
        <v>23</v>
      </c>
      <c r="J674" s="3">
        <v>6482.63</v>
      </c>
      <c r="K674" s="2">
        <v>8.67</v>
      </c>
      <c r="L674" s="3">
        <v>136173.48000000001</v>
      </c>
      <c r="M674">
        <v>46287</v>
      </c>
      <c r="N674" s="1" t="s">
        <v>24</v>
      </c>
      <c r="O674" s="1" t="s">
        <v>35</v>
      </c>
      <c r="P674" s="1" t="s">
        <v>36</v>
      </c>
    </row>
    <row r="675" spans="1:16" x14ac:dyDescent="0.25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>
        <v>9</v>
      </c>
      <c r="J675" s="3">
        <v>2335.7399999999998</v>
      </c>
      <c r="K675" s="2">
        <v>10.87</v>
      </c>
      <c r="L675" s="3">
        <v>18736.61</v>
      </c>
      <c r="M675">
        <v>46319</v>
      </c>
      <c r="N675" s="1" t="s">
        <v>24</v>
      </c>
      <c r="O675" s="1" t="s">
        <v>35</v>
      </c>
      <c r="P675" s="1" t="s">
        <v>36</v>
      </c>
    </row>
    <row r="676" spans="1:16" x14ac:dyDescent="0.25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>
        <v>36</v>
      </c>
      <c r="J676" s="3">
        <v>20020.12</v>
      </c>
      <c r="K676" s="2">
        <v>7.74</v>
      </c>
      <c r="L676" s="3">
        <v>664940.26</v>
      </c>
      <c r="M676">
        <v>46032</v>
      </c>
      <c r="N676" s="1" t="s">
        <v>68</v>
      </c>
      <c r="O676" s="1" t="s">
        <v>35</v>
      </c>
      <c r="P676" s="1" t="s">
        <v>26</v>
      </c>
    </row>
    <row r="677" spans="1:16" x14ac:dyDescent="0.25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>
        <v>26</v>
      </c>
      <c r="J677" s="3">
        <v>13464.26</v>
      </c>
      <c r="K677" s="2">
        <v>7.0000000000000007E-2</v>
      </c>
      <c r="L677" s="3">
        <v>349825.71</v>
      </c>
      <c r="M677">
        <v>46064</v>
      </c>
      <c r="N677" s="1" t="s">
        <v>113</v>
      </c>
      <c r="O677" s="1" t="s">
        <v>35</v>
      </c>
      <c r="P677" s="1" t="s">
        <v>26</v>
      </c>
    </row>
    <row r="678" spans="1:16" x14ac:dyDescent="0.25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>
        <v>36</v>
      </c>
      <c r="J678" s="3">
        <v>27769.01</v>
      </c>
      <c r="K678" s="2">
        <v>16.57</v>
      </c>
      <c r="L678" s="3">
        <v>834036.66</v>
      </c>
      <c r="M678">
        <v>46168</v>
      </c>
      <c r="N678" s="1" t="s">
        <v>24</v>
      </c>
      <c r="O678" s="1" t="s">
        <v>35</v>
      </c>
      <c r="P678" s="1" t="s">
        <v>53</v>
      </c>
    </row>
    <row r="679" spans="1:16" x14ac:dyDescent="0.25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>
        <v>44</v>
      </c>
      <c r="J679" s="3">
        <v>11553.25</v>
      </c>
      <c r="K679" s="2">
        <v>0.85</v>
      </c>
      <c r="L679" s="3">
        <v>504022.08</v>
      </c>
      <c r="M679">
        <v>46233</v>
      </c>
      <c r="N679" s="1" t="s">
        <v>68</v>
      </c>
      <c r="O679" s="1" t="s">
        <v>35</v>
      </c>
      <c r="P679" s="1" t="s">
        <v>53</v>
      </c>
    </row>
    <row r="680" spans="1:16" x14ac:dyDescent="0.25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>
        <v>17</v>
      </c>
      <c r="J680" s="3">
        <v>22025.15</v>
      </c>
      <c r="K680" s="2">
        <v>10.06</v>
      </c>
      <c r="L680" s="3">
        <v>336760.14</v>
      </c>
      <c r="M680">
        <v>46044</v>
      </c>
      <c r="N680" s="1" t="s">
        <v>68</v>
      </c>
      <c r="O680" s="1" t="s">
        <v>35</v>
      </c>
      <c r="P680" s="1" t="s">
        <v>26</v>
      </c>
    </row>
    <row r="681" spans="1:16" x14ac:dyDescent="0.25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>
        <v>46</v>
      </c>
      <c r="J681" s="3">
        <v>49155.41</v>
      </c>
      <c r="K681" s="2">
        <v>1.19</v>
      </c>
      <c r="L681" s="3">
        <v>2234241.19</v>
      </c>
      <c r="M681">
        <v>46164</v>
      </c>
      <c r="N681" s="1" t="s">
        <v>68</v>
      </c>
      <c r="O681" s="1" t="s">
        <v>59</v>
      </c>
      <c r="P681" s="1" t="s">
        <v>36</v>
      </c>
    </row>
    <row r="682" spans="1:16" x14ac:dyDescent="0.25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>
        <v>1</v>
      </c>
      <c r="J682" s="3">
        <v>31541.74</v>
      </c>
      <c r="K682" s="2">
        <v>9.49</v>
      </c>
      <c r="L682" s="3">
        <v>28548.43</v>
      </c>
      <c r="M682">
        <v>46106</v>
      </c>
      <c r="N682" s="1" t="s">
        <v>113</v>
      </c>
      <c r="O682" s="1" t="s">
        <v>35</v>
      </c>
      <c r="P682" s="1" t="s">
        <v>26</v>
      </c>
    </row>
    <row r="683" spans="1:16" x14ac:dyDescent="0.25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>
        <v>23</v>
      </c>
      <c r="J683" s="3">
        <v>10676.04</v>
      </c>
      <c r="K683" s="2">
        <v>11.73</v>
      </c>
      <c r="L683" s="3">
        <v>216746.03</v>
      </c>
      <c r="M683">
        <v>46036</v>
      </c>
      <c r="N683" s="1" t="s">
        <v>58</v>
      </c>
      <c r="O683" s="1" t="s">
        <v>35</v>
      </c>
      <c r="P683" s="1" t="s">
        <v>36</v>
      </c>
    </row>
    <row r="684" spans="1:16" x14ac:dyDescent="0.25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>
        <v>30</v>
      </c>
      <c r="J684" s="3">
        <v>22909.41</v>
      </c>
      <c r="K684" s="2">
        <v>7.4</v>
      </c>
      <c r="L684" s="3">
        <v>636423.41</v>
      </c>
      <c r="M684">
        <v>46160</v>
      </c>
      <c r="N684" s="1" t="s">
        <v>45</v>
      </c>
      <c r="O684" s="1" t="s">
        <v>35</v>
      </c>
      <c r="P684" s="1" t="s">
        <v>53</v>
      </c>
    </row>
    <row r="685" spans="1:16" x14ac:dyDescent="0.25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>
        <v>33</v>
      </c>
      <c r="J685" s="3">
        <v>32770.269999999997</v>
      </c>
      <c r="K685" s="2">
        <v>1.02</v>
      </c>
      <c r="L685" s="3">
        <v>1070388.44</v>
      </c>
      <c r="M685">
        <v>46270</v>
      </c>
      <c r="N685" s="1" t="s">
        <v>45</v>
      </c>
      <c r="O685" s="1" t="s">
        <v>35</v>
      </c>
      <c r="P685" s="1" t="s">
        <v>53</v>
      </c>
    </row>
    <row r="686" spans="1:16" x14ac:dyDescent="0.25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>
        <v>26</v>
      </c>
      <c r="J686" s="3">
        <v>45400.26</v>
      </c>
      <c r="K686" s="2">
        <v>11.99</v>
      </c>
      <c r="L686" s="3">
        <v>1038875.99</v>
      </c>
      <c r="M686">
        <v>46322</v>
      </c>
      <c r="N686" s="1" t="s">
        <v>68</v>
      </c>
      <c r="O686" s="1" t="s">
        <v>35</v>
      </c>
      <c r="P686" s="1" t="s">
        <v>26</v>
      </c>
    </row>
    <row r="687" spans="1:16" x14ac:dyDescent="0.25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>
        <v>43</v>
      </c>
      <c r="J687" s="3">
        <v>32950.33</v>
      </c>
      <c r="K687" s="2">
        <v>5.0599999999999996</v>
      </c>
      <c r="L687" s="3">
        <v>1345170.86</v>
      </c>
      <c r="M687">
        <v>46358</v>
      </c>
      <c r="N687" s="1" t="s">
        <v>24</v>
      </c>
      <c r="O687" s="1" t="s">
        <v>35</v>
      </c>
      <c r="P687" s="1" t="s">
        <v>26</v>
      </c>
    </row>
    <row r="688" spans="1:16" x14ac:dyDescent="0.25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>
        <v>44</v>
      </c>
      <c r="J688" s="3">
        <v>1169.23</v>
      </c>
      <c r="K688" s="2">
        <v>11.54</v>
      </c>
      <c r="L688" s="3">
        <v>45509.24</v>
      </c>
      <c r="M688">
        <v>46031</v>
      </c>
      <c r="N688" s="1" t="s">
        <v>113</v>
      </c>
      <c r="O688" s="1" t="s">
        <v>35</v>
      </c>
      <c r="P688" s="1" t="s">
        <v>36</v>
      </c>
    </row>
    <row r="689" spans="1:16" x14ac:dyDescent="0.25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>
        <v>12</v>
      </c>
      <c r="J689" s="3">
        <v>1127.28</v>
      </c>
      <c r="K689" s="2">
        <v>3.92</v>
      </c>
      <c r="L689" s="3">
        <v>12997.09</v>
      </c>
      <c r="M689">
        <v>46172</v>
      </c>
      <c r="N689" s="1" t="s">
        <v>24</v>
      </c>
      <c r="O689" s="1" t="s">
        <v>35</v>
      </c>
      <c r="P689" s="1" t="s">
        <v>36</v>
      </c>
    </row>
    <row r="690" spans="1:16" x14ac:dyDescent="0.25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>
        <v>31</v>
      </c>
      <c r="J690" s="3">
        <v>2302.4299999999998</v>
      </c>
      <c r="K690" s="2">
        <v>13.17</v>
      </c>
      <c r="L690" s="3">
        <v>61975.199999999997</v>
      </c>
      <c r="M690">
        <v>46255</v>
      </c>
      <c r="N690" s="1" t="s">
        <v>58</v>
      </c>
      <c r="O690" s="1" t="s">
        <v>35</v>
      </c>
      <c r="P690" s="1" t="s">
        <v>36</v>
      </c>
    </row>
    <row r="691" spans="1:16" x14ac:dyDescent="0.25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>
        <v>18</v>
      </c>
      <c r="J691" s="3">
        <v>2866.26</v>
      </c>
      <c r="K691" s="2">
        <v>2.78</v>
      </c>
      <c r="L691" s="3">
        <v>50158.400000000001</v>
      </c>
      <c r="M691">
        <v>46100</v>
      </c>
      <c r="N691" s="1" t="s">
        <v>68</v>
      </c>
      <c r="O691" s="1" t="s">
        <v>35</v>
      </c>
      <c r="P691" s="1" t="s">
        <v>26</v>
      </c>
    </row>
    <row r="692" spans="1:16" x14ac:dyDescent="0.25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>
        <v>16</v>
      </c>
      <c r="J692" s="3">
        <v>46632.86</v>
      </c>
      <c r="K692" s="2">
        <v>16.600000000000001</v>
      </c>
      <c r="L692" s="3">
        <v>622268.88</v>
      </c>
      <c r="M692">
        <v>46109</v>
      </c>
      <c r="N692" s="1" t="s">
        <v>113</v>
      </c>
      <c r="O692" s="1" t="s">
        <v>35</v>
      </c>
      <c r="P692" s="1" t="s">
        <v>53</v>
      </c>
    </row>
    <row r="693" spans="1:16" x14ac:dyDescent="0.25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>
        <v>16</v>
      </c>
      <c r="J693" s="3">
        <v>26942.06</v>
      </c>
      <c r="K693" s="2">
        <v>0.22</v>
      </c>
      <c r="L693" s="3">
        <v>430124.6</v>
      </c>
      <c r="M693">
        <v>46057</v>
      </c>
      <c r="N693" s="1" t="s">
        <v>45</v>
      </c>
      <c r="O693" s="1" t="s">
        <v>35</v>
      </c>
      <c r="P693" s="1" t="s">
        <v>53</v>
      </c>
    </row>
    <row r="694" spans="1:16" x14ac:dyDescent="0.25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>
        <v>49</v>
      </c>
      <c r="J694" s="3">
        <v>34902.58</v>
      </c>
      <c r="K694" s="2">
        <v>5.51</v>
      </c>
      <c r="L694" s="3">
        <v>1615992.94</v>
      </c>
      <c r="M694">
        <v>46317</v>
      </c>
      <c r="N694" s="1" t="s">
        <v>58</v>
      </c>
      <c r="O694" s="1" t="s">
        <v>35</v>
      </c>
      <c r="P694" s="1" t="s">
        <v>53</v>
      </c>
    </row>
    <row r="695" spans="1:16" x14ac:dyDescent="0.25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>
        <v>28</v>
      </c>
      <c r="J695" s="3">
        <v>40287.040000000001</v>
      </c>
      <c r="K695" s="2">
        <v>1.37</v>
      </c>
      <c r="L695" s="3">
        <v>1112583.01</v>
      </c>
      <c r="M695">
        <v>46058</v>
      </c>
      <c r="N695" s="1" t="s">
        <v>24</v>
      </c>
      <c r="O695" s="1" t="s">
        <v>35</v>
      </c>
      <c r="P695" s="1" t="s">
        <v>26</v>
      </c>
    </row>
    <row r="696" spans="1:16" x14ac:dyDescent="0.25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>
        <v>13</v>
      </c>
      <c r="J696" s="3">
        <v>34958.81</v>
      </c>
      <c r="K696" s="2">
        <v>19.3</v>
      </c>
      <c r="L696" s="3">
        <v>366752.88</v>
      </c>
      <c r="M696">
        <v>46195</v>
      </c>
      <c r="N696" s="1" t="s">
        <v>58</v>
      </c>
      <c r="O696" s="1" t="s">
        <v>25</v>
      </c>
      <c r="P696" s="1" t="s">
        <v>36</v>
      </c>
    </row>
    <row r="697" spans="1:16" x14ac:dyDescent="0.25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>
        <v>22</v>
      </c>
      <c r="J697" s="3">
        <v>23043.38</v>
      </c>
      <c r="K697" s="2">
        <v>13.18</v>
      </c>
      <c r="L697" s="3">
        <v>440137.78</v>
      </c>
      <c r="M697">
        <v>46104</v>
      </c>
      <c r="N697" s="1" t="s">
        <v>24</v>
      </c>
      <c r="O697" s="1" t="s">
        <v>35</v>
      </c>
      <c r="P697" s="1" t="s">
        <v>26</v>
      </c>
    </row>
    <row r="698" spans="1:16" x14ac:dyDescent="0.25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>
        <v>38</v>
      </c>
      <c r="J698" s="3">
        <v>26869.27</v>
      </c>
      <c r="K698" s="2">
        <v>15.7</v>
      </c>
      <c r="L698" s="3">
        <v>860730.2</v>
      </c>
      <c r="M698">
        <v>46102</v>
      </c>
      <c r="N698" s="1" t="s">
        <v>24</v>
      </c>
      <c r="O698" s="1" t="s">
        <v>35</v>
      </c>
      <c r="P698" s="1" t="s">
        <v>53</v>
      </c>
    </row>
    <row r="699" spans="1:16" x14ac:dyDescent="0.25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>
        <v>40</v>
      </c>
      <c r="J699" s="3">
        <v>46873.74</v>
      </c>
      <c r="K699" s="2">
        <v>18.39</v>
      </c>
      <c r="L699" s="3">
        <v>1530146.37</v>
      </c>
      <c r="M699">
        <v>46210</v>
      </c>
      <c r="N699" s="1" t="s">
        <v>58</v>
      </c>
      <c r="O699" s="1" t="s">
        <v>35</v>
      </c>
      <c r="P699" s="1" t="s">
        <v>53</v>
      </c>
    </row>
    <row r="700" spans="1:16" x14ac:dyDescent="0.25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>
        <v>13</v>
      </c>
      <c r="J700" s="3">
        <v>27871.24</v>
      </c>
      <c r="K700" s="2">
        <v>7.5</v>
      </c>
      <c r="L700" s="3">
        <v>335151.65999999997</v>
      </c>
      <c r="M700">
        <v>46319</v>
      </c>
      <c r="N700" s="1" t="s">
        <v>24</v>
      </c>
      <c r="O700" s="1" t="s">
        <v>35</v>
      </c>
      <c r="P700" s="1" t="s">
        <v>53</v>
      </c>
    </row>
    <row r="701" spans="1:16" x14ac:dyDescent="0.25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>
        <v>31</v>
      </c>
      <c r="J701" s="3">
        <v>2041.74</v>
      </c>
      <c r="K701" s="2">
        <v>12.61</v>
      </c>
      <c r="L701" s="3">
        <v>55312.57</v>
      </c>
      <c r="M701">
        <v>46228</v>
      </c>
      <c r="N701" s="1" t="s">
        <v>24</v>
      </c>
      <c r="O701" s="1" t="s">
        <v>35</v>
      </c>
      <c r="P701" s="1" t="s">
        <v>53</v>
      </c>
    </row>
    <row r="702" spans="1:16" x14ac:dyDescent="0.25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>
        <v>23</v>
      </c>
      <c r="J702" s="3">
        <v>13803.88</v>
      </c>
      <c r="K702" s="2">
        <v>2.0699999999999998</v>
      </c>
      <c r="L702" s="3">
        <v>310917.21000000002</v>
      </c>
      <c r="M702">
        <v>46248</v>
      </c>
      <c r="N702" s="1" t="s">
        <v>24</v>
      </c>
      <c r="O702" s="1" t="s">
        <v>35</v>
      </c>
      <c r="P702" s="1" t="s">
        <v>26</v>
      </c>
    </row>
    <row r="703" spans="1:16" x14ac:dyDescent="0.25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>
        <v>35</v>
      </c>
      <c r="J703" s="3">
        <v>21907.57</v>
      </c>
      <c r="K703" s="2">
        <v>5.93</v>
      </c>
      <c r="L703" s="3">
        <v>721295.79</v>
      </c>
      <c r="M703">
        <v>46236</v>
      </c>
      <c r="N703" s="1" t="s">
        <v>68</v>
      </c>
      <c r="O703" s="1" t="s">
        <v>59</v>
      </c>
      <c r="P703" s="1" t="s">
        <v>36</v>
      </c>
    </row>
    <row r="704" spans="1:16" x14ac:dyDescent="0.25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>
        <v>34</v>
      </c>
      <c r="J704" s="3">
        <v>14722.53</v>
      </c>
      <c r="K704" s="2">
        <v>6.13</v>
      </c>
      <c r="L704" s="3">
        <v>469881.32</v>
      </c>
      <c r="M704">
        <v>46367</v>
      </c>
      <c r="N704" s="1" t="s">
        <v>45</v>
      </c>
      <c r="O704" s="1" t="s">
        <v>35</v>
      </c>
      <c r="P704" s="1" t="s">
        <v>26</v>
      </c>
    </row>
    <row r="705" spans="1:16" x14ac:dyDescent="0.25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>
        <v>38</v>
      </c>
      <c r="J705" s="3">
        <v>9981.7900000000009</v>
      </c>
      <c r="K705" s="2">
        <v>13.15</v>
      </c>
      <c r="L705" s="3">
        <v>329429.02</v>
      </c>
      <c r="M705">
        <v>46278</v>
      </c>
      <c r="N705" s="1" t="s">
        <v>24</v>
      </c>
      <c r="O705" s="1" t="s">
        <v>25</v>
      </c>
      <c r="P705" s="1" t="s">
        <v>53</v>
      </c>
    </row>
    <row r="706" spans="1:16" x14ac:dyDescent="0.25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>
        <v>22</v>
      </c>
      <c r="J706" s="3">
        <v>28817.33</v>
      </c>
      <c r="K706" s="2">
        <v>18.309999999999999</v>
      </c>
      <c r="L706" s="3">
        <v>517899.29</v>
      </c>
      <c r="M706">
        <v>46262</v>
      </c>
      <c r="N706" s="1" t="s">
        <v>58</v>
      </c>
      <c r="O706" s="1" t="s">
        <v>35</v>
      </c>
      <c r="P706" s="1" t="s">
        <v>53</v>
      </c>
    </row>
    <row r="707" spans="1:16" x14ac:dyDescent="0.25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>
        <v>29</v>
      </c>
      <c r="J707" s="3">
        <v>996.9</v>
      </c>
      <c r="K707" s="2">
        <v>5.69</v>
      </c>
      <c r="L707" s="3">
        <v>27265.119999999999</v>
      </c>
      <c r="M707">
        <v>46284</v>
      </c>
      <c r="N707" s="1" t="s">
        <v>113</v>
      </c>
      <c r="O707" s="1" t="s">
        <v>35</v>
      </c>
      <c r="P707" s="1" t="s">
        <v>26</v>
      </c>
    </row>
    <row r="708" spans="1:16" x14ac:dyDescent="0.25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>
        <v>21</v>
      </c>
      <c r="J708" s="3">
        <v>37062.879999999997</v>
      </c>
      <c r="K708" s="2">
        <v>1.33</v>
      </c>
      <c r="L708" s="3">
        <v>767968.82</v>
      </c>
      <c r="M708">
        <v>46287</v>
      </c>
      <c r="N708" s="1" t="s">
        <v>58</v>
      </c>
      <c r="O708" s="1" t="s">
        <v>35</v>
      </c>
      <c r="P708" s="1" t="s">
        <v>36</v>
      </c>
    </row>
    <row r="709" spans="1:16" x14ac:dyDescent="0.25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>
        <v>45</v>
      </c>
      <c r="J709" s="3">
        <v>19022.36</v>
      </c>
      <c r="K709" s="2">
        <v>9.16</v>
      </c>
      <c r="L709" s="3">
        <v>777596.03</v>
      </c>
      <c r="M709">
        <v>46066</v>
      </c>
      <c r="N709" s="1" t="s">
        <v>58</v>
      </c>
      <c r="O709" s="1" t="s">
        <v>35</v>
      </c>
      <c r="P709" s="1" t="s">
        <v>26</v>
      </c>
    </row>
    <row r="710" spans="1:16" x14ac:dyDescent="0.25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>
        <v>1</v>
      </c>
      <c r="J710" s="3">
        <v>31182.46</v>
      </c>
      <c r="K710" s="2">
        <v>14.41</v>
      </c>
      <c r="L710" s="3">
        <v>26689.07</v>
      </c>
      <c r="M710">
        <v>46191</v>
      </c>
      <c r="N710" s="1" t="s">
        <v>24</v>
      </c>
      <c r="O710" s="1" t="s">
        <v>35</v>
      </c>
      <c r="P710" s="1" t="s">
        <v>36</v>
      </c>
    </row>
    <row r="711" spans="1:16" x14ac:dyDescent="0.25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>
        <v>15</v>
      </c>
      <c r="J711" s="3">
        <v>34586.61</v>
      </c>
      <c r="K711" s="2">
        <v>12.75</v>
      </c>
      <c r="L711" s="3">
        <v>452652.26</v>
      </c>
      <c r="M711">
        <v>46170</v>
      </c>
      <c r="N711" s="1" t="s">
        <v>58</v>
      </c>
      <c r="O711" s="1" t="s">
        <v>35</v>
      </c>
      <c r="P711" s="1" t="s">
        <v>36</v>
      </c>
    </row>
    <row r="712" spans="1:16" x14ac:dyDescent="0.25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>
        <v>25</v>
      </c>
      <c r="J712" s="3">
        <v>23802.240000000002</v>
      </c>
      <c r="K712" s="2">
        <v>2.21</v>
      </c>
      <c r="L712" s="3">
        <v>581905.26</v>
      </c>
      <c r="M712">
        <v>46260</v>
      </c>
      <c r="N712" s="1" t="s">
        <v>68</v>
      </c>
      <c r="O712" s="1" t="s">
        <v>25</v>
      </c>
      <c r="P712" s="1" t="s">
        <v>53</v>
      </c>
    </row>
    <row r="713" spans="1:16" x14ac:dyDescent="0.25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>
        <v>37</v>
      </c>
      <c r="J713" s="3">
        <v>7741.46</v>
      </c>
      <c r="K713" s="2">
        <v>12.43</v>
      </c>
      <c r="L713" s="3">
        <v>250830.27</v>
      </c>
      <c r="M713">
        <v>46277</v>
      </c>
      <c r="N713" s="1" t="s">
        <v>68</v>
      </c>
      <c r="O713" s="1" t="s">
        <v>35</v>
      </c>
      <c r="P713" s="1" t="s">
        <v>53</v>
      </c>
    </row>
    <row r="714" spans="1:16" x14ac:dyDescent="0.25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>
        <v>17</v>
      </c>
      <c r="J714" s="3">
        <v>6587.9</v>
      </c>
      <c r="K714" s="2">
        <v>19.38</v>
      </c>
      <c r="L714" s="3">
        <v>90289.8</v>
      </c>
      <c r="M714">
        <v>46242</v>
      </c>
      <c r="N714" s="1" t="s">
        <v>24</v>
      </c>
      <c r="O714" s="1" t="s">
        <v>35</v>
      </c>
      <c r="P714" s="1" t="s">
        <v>53</v>
      </c>
    </row>
    <row r="715" spans="1:16" x14ac:dyDescent="0.25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>
        <v>42</v>
      </c>
      <c r="J715" s="3">
        <v>5001.3599999999997</v>
      </c>
      <c r="K715" s="2">
        <v>6.32</v>
      </c>
      <c r="L715" s="3">
        <v>196781.51</v>
      </c>
      <c r="M715">
        <v>46083</v>
      </c>
      <c r="N715" s="1" t="s">
        <v>45</v>
      </c>
      <c r="O715" s="1" t="s">
        <v>35</v>
      </c>
      <c r="P715" s="1" t="s">
        <v>36</v>
      </c>
    </row>
    <row r="716" spans="1:16" x14ac:dyDescent="0.25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>
        <v>44</v>
      </c>
      <c r="J716" s="3">
        <v>26426.06</v>
      </c>
      <c r="K716" s="2">
        <v>8.27</v>
      </c>
      <c r="L716" s="3">
        <v>1066587.49</v>
      </c>
      <c r="M716">
        <v>46146</v>
      </c>
      <c r="N716" s="1" t="s">
        <v>24</v>
      </c>
      <c r="O716" s="1" t="s">
        <v>35</v>
      </c>
      <c r="P716" s="1" t="s">
        <v>36</v>
      </c>
    </row>
    <row r="717" spans="1:16" x14ac:dyDescent="0.25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>
        <v>45</v>
      </c>
      <c r="J717" s="3">
        <v>33928.550000000003</v>
      </c>
      <c r="K717" s="2">
        <v>1.92</v>
      </c>
      <c r="L717" s="3">
        <v>1497470.48</v>
      </c>
      <c r="M717">
        <v>46279</v>
      </c>
      <c r="N717" s="1" t="s">
        <v>45</v>
      </c>
      <c r="O717" s="1" t="s">
        <v>35</v>
      </c>
      <c r="P717" s="1" t="s">
        <v>36</v>
      </c>
    </row>
    <row r="718" spans="1:16" x14ac:dyDescent="0.25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>
        <v>33</v>
      </c>
      <c r="J718" s="3">
        <v>17752.91</v>
      </c>
      <c r="K718" s="2">
        <v>0.32</v>
      </c>
      <c r="L718" s="3">
        <v>583971.31999999995</v>
      </c>
      <c r="M718">
        <v>46198</v>
      </c>
      <c r="N718" s="1" t="s">
        <v>45</v>
      </c>
      <c r="O718" s="1" t="s">
        <v>35</v>
      </c>
      <c r="P718" s="1" t="s">
        <v>36</v>
      </c>
    </row>
    <row r="719" spans="1:16" x14ac:dyDescent="0.25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>
        <v>42</v>
      </c>
      <c r="J719" s="3">
        <v>10133.64</v>
      </c>
      <c r="K719" s="2">
        <v>1.47</v>
      </c>
      <c r="L719" s="3">
        <v>419356.37</v>
      </c>
      <c r="M719">
        <v>46105</v>
      </c>
      <c r="N719" s="1" t="s">
        <v>24</v>
      </c>
      <c r="O719" s="1" t="s">
        <v>35</v>
      </c>
      <c r="P719" s="1" t="s">
        <v>36</v>
      </c>
    </row>
    <row r="720" spans="1:16" x14ac:dyDescent="0.25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>
        <v>49</v>
      </c>
      <c r="J720" s="3">
        <v>7383.21</v>
      </c>
      <c r="K720" s="2">
        <v>0.61</v>
      </c>
      <c r="L720" s="3">
        <v>359570.45</v>
      </c>
      <c r="M720">
        <v>46147</v>
      </c>
      <c r="N720" s="1" t="s">
        <v>113</v>
      </c>
      <c r="O720" s="1" t="s">
        <v>35</v>
      </c>
      <c r="P720" s="1" t="s">
        <v>36</v>
      </c>
    </row>
    <row r="721" spans="1:16" x14ac:dyDescent="0.25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>
        <v>26</v>
      </c>
      <c r="J721" s="3">
        <v>16834.05</v>
      </c>
      <c r="K721" s="2">
        <v>4.33</v>
      </c>
      <c r="L721" s="3">
        <v>418733.53</v>
      </c>
      <c r="M721">
        <v>46030</v>
      </c>
      <c r="N721" s="1" t="s">
        <v>24</v>
      </c>
      <c r="O721" s="1" t="s">
        <v>35</v>
      </c>
      <c r="P721" s="1" t="s">
        <v>53</v>
      </c>
    </row>
    <row r="722" spans="1:16" x14ac:dyDescent="0.25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>
        <v>30</v>
      </c>
      <c r="J722" s="3">
        <v>10454.9</v>
      </c>
      <c r="K722" s="2">
        <v>2.4</v>
      </c>
      <c r="L722" s="3">
        <v>306119.46999999997</v>
      </c>
      <c r="M722">
        <v>46375</v>
      </c>
      <c r="N722" s="1" t="s">
        <v>45</v>
      </c>
      <c r="O722" s="1" t="s">
        <v>35</v>
      </c>
      <c r="P722" s="1" t="s">
        <v>26</v>
      </c>
    </row>
    <row r="723" spans="1:16" x14ac:dyDescent="0.25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>
        <v>30</v>
      </c>
      <c r="J723" s="3">
        <v>13276.85</v>
      </c>
      <c r="K723" s="2">
        <v>15.34</v>
      </c>
      <c r="L723" s="3">
        <v>337205.44</v>
      </c>
      <c r="M723">
        <v>46179</v>
      </c>
      <c r="N723" s="1" t="s">
        <v>68</v>
      </c>
      <c r="O723" s="1" t="s">
        <v>35</v>
      </c>
      <c r="P723" s="1" t="s">
        <v>26</v>
      </c>
    </row>
    <row r="724" spans="1:16" x14ac:dyDescent="0.25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>
        <v>22</v>
      </c>
      <c r="J724" s="3">
        <v>20209.11</v>
      </c>
      <c r="K724" s="2">
        <v>6.68</v>
      </c>
      <c r="L724" s="3">
        <v>414901.11</v>
      </c>
      <c r="M724">
        <v>46200</v>
      </c>
      <c r="N724" s="1" t="s">
        <v>68</v>
      </c>
      <c r="O724" s="1" t="s">
        <v>35</v>
      </c>
      <c r="P724" s="1" t="s">
        <v>36</v>
      </c>
    </row>
    <row r="725" spans="1:16" x14ac:dyDescent="0.25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>
        <v>30</v>
      </c>
      <c r="J725" s="3">
        <v>2082.5300000000002</v>
      </c>
      <c r="K725" s="2">
        <v>3.43</v>
      </c>
      <c r="L725" s="3">
        <v>60332.98</v>
      </c>
      <c r="M725">
        <v>46196</v>
      </c>
      <c r="N725" s="1" t="s">
        <v>24</v>
      </c>
      <c r="O725" s="1" t="s">
        <v>35</v>
      </c>
      <c r="P725" s="1" t="s">
        <v>53</v>
      </c>
    </row>
    <row r="726" spans="1:16" x14ac:dyDescent="0.25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>
        <v>7</v>
      </c>
      <c r="J726" s="3">
        <v>32917.760000000002</v>
      </c>
      <c r="K726" s="2">
        <v>11.22</v>
      </c>
      <c r="L726" s="3">
        <v>204570.71</v>
      </c>
      <c r="M726">
        <v>46091</v>
      </c>
      <c r="N726" s="1" t="s">
        <v>58</v>
      </c>
      <c r="O726" s="1" t="s">
        <v>25</v>
      </c>
      <c r="P726" s="1" t="s">
        <v>36</v>
      </c>
    </row>
    <row r="727" spans="1:16" x14ac:dyDescent="0.25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>
        <v>2</v>
      </c>
      <c r="J727" s="3">
        <v>2432.27</v>
      </c>
      <c r="K727" s="2">
        <v>16.64</v>
      </c>
      <c r="L727" s="3">
        <v>4055.08</v>
      </c>
      <c r="M727">
        <v>46076</v>
      </c>
      <c r="N727" s="1" t="s">
        <v>45</v>
      </c>
      <c r="O727" s="1" t="s">
        <v>25</v>
      </c>
      <c r="P727" s="1" t="s">
        <v>53</v>
      </c>
    </row>
    <row r="728" spans="1:16" x14ac:dyDescent="0.25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>
        <v>43</v>
      </c>
      <c r="J728" s="3">
        <v>33293.39</v>
      </c>
      <c r="K728" s="2">
        <v>9.5399999999999991</v>
      </c>
      <c r="L728" s="3">
        <v>1295039.6299999999</v>
      </c>
      <c r="M728">
        <v>46322</v>
      </c>
      <c r="N728" s="1" t="s">
        <v>45</v>
      </c>
      <c r="O728" s="1" t="s">
        <v>35</v>
      </c>
      <c r="P728" s="1" t="s">
        <v>36</v>
      </c>
    </row>
    <row r="729" spans="1:16" x14ac:dyDescent="0.25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>
        <v>15</v>
      </c>
      <c r="J729" s="3">
        <v>46828.959999999999</v>
      </c>
      <c r="K729" s="2">
        <v>15.47</v>
      </c>
      <c r="L729" s="3">
        <v>593767.80000000005</v>
      </c>
      <c r="M729">
        <v>46133</v>
      </c>
      <c r="N729" s="1" t="s">
        <v>68</v>
      </c>
      <c r="O729" s="1" t="s">
        <v>35</v>
      </c>
      <c r="P729" s="1" t="s">
        <v>26</v>
      </c>
    </row>
    <row r="730" spans="1:16" x14ac:dyDescent="0.25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>
        <v>11</v>
      </c>
      <c r="J730" s="3">
        <v>12145.55</v>
      </c>
      <c r="K730" s="2">
        <v>9.99</v>
      </c>
      <c r="L730" s="3">
        <v>120254.31</v>
      </c>
      <c r="M730">
        <v>46037</v>
      </c>
      <c r="N730" s="1" t="s">
        <v>58</v>
      </c>
      <c r="O730" s="1" t="s">
        <v>35</v>
      </c>
      <c r="P730" s="1" t="s">
        <v>53</v>
      </c>
    </row>
    <row r="731" spans="1:16" x14ac:dyDescent="0.25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>
        <v>3</v>
      </c>
      <c r="J731" s="3">
        <v>47816.36</v>
      </c>
      <c r="K731" s="2">
        <v>15.67</v>
      </c>
      <c r="L731" s="3">
        <v>120970.61</v>
      </c>
      <c r="M731">
        <v>46064</v>
      </c>
      <c r="N731" s="1" t="s">
        <v>24</v>
      </c>
      <c r="O731" s="1" t="s">
        <v>35</v>
      </c>
      <c r="P731" s="1" t="s">
        <v>36</v>
      </c>
    </row>
    <row r="732" spans="1:16" x14ac:dyDescent="0.25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>
        <v>48</v>
      </c>
      <c r="J732" s="3">
        <v>30191.62</v>
      </c>
      <c r="K732" s="2">
        <v>0.46</v>
      </c>
      <c r="L732" s="3">
        <v>1442531.45</v>
      </c>
      <c r="M732">
        <v>46385</v>
      </c>
      <c r="N732" s="1" t="s">
        <v>113</v>
      </c>
      <c r="O732" s="1" t="s">
        <v>35</v>
      </c>
      <c r="P732" s="1" t="s">
        <v>36</v>
      </c>
    </row>
    <row r="733" spans="1:16" x14ac:dyDescent="0.25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>
        <v>4</v>
      </c>
      <c r="J733" s="3">
        <v>48009.7</v>
      </c>
      <c r="K733" s="2">
        <v>19.72</v>
      </c>
      <c r="L733" s="3">
        <v>154168.75</v>
      </c>
      <c r="M733">
        <v>46312</v>
      </c>
      <c r="N733" s="1" t="s">
        <v>58</v>
      </c>
      <c r="O733" s="1" t="s">
        <v>59</v>
      </c>
      <c r="P733" s="1" t="s">
        <v>53</v>
      </c>
    </row>
    <row r="734" spans="1:16" x14ac:dyDescent="0.25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>
        <v>43</v>
      </c>
      <c r="J734" s="3">
        <v>18933.7</v>
      </c>
      <c r="K734" s="2">
        <v>8.1</v>
      </c>
      <c r="L734" s="3">
        <v>748203.02</v>
      </c>
      <c r="M734">
        <v>46181</v>
      </c>
      <c r="N734" s="1" t="s">
        <v>24</v>
      </c>
      <c r="O734" s="1" t="s">
        <v>35</v>
      </c>
      <c r="P734" s="1" t="s">
        <v>53</v>
      </c>
    </row>
    <row r="735" spans="1:16" x14ac:dyDescent="0.25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>
        <v>30</v>
      </c>
      <c r="J735" s="3">
        <v>13091.85</v>
      </c>
      <c r="K735" s="2">
        <v>0.31</v>
      </c>
      <c r="L735" s="3">
        <v>391537.96</v>
      </c>
      <c r="M735">
        <v>46074</v>
      </c>
      <c r="N735" s="1" t="s">
        <v>24</v>
      </c>
      <c r="O735" s="1" t="s">
        <v>35</v>
      </c>
      <c r="P735" s="1" t="s">
        <v>36</v>
      </c>
    </row>
    <row r="736" spans="1:16" x14ac:dyDescent="0.25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>
        <v>18</v>
      </c>
      <c r="J736" s="3">
        <v>36346.089999999997</v>
      </c>
      <c r="K736" s="2">
        <v>18.11</v>
      </c>
      <c r="L736" s="3">
        <v>535748.64</v>
      </c>
      <c r="M736">
        <v>46362</v>
      </c>
      <c r="N736" s="1" t="s">
        <v>113</v>
      </c>
      <c r="O736" s="1" t="s">
        <v>35</v>
      </c>
      <c r="P736" s="1" t="s">
        <v>26</v>
      </c>
    </row>
    <row r="737" spans="1:16" x14ac:dyDescent="0.25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>
        <v>32</v>
      </c>
      <c r="J737" s="3">
        <v>37353.35</v>
      </c>
      <c r="K737" s="2">
        <v>4.22</v>
      </c>
      <c r="L737" s="3">
        <v>1144865.24</v>
      </c>
      <c r="M737">
        <v>46197</v>
      </c>
      <c r="N737" s="1" t="s">
        <v>68</v>
      </c>
      <c r="O737" s="1" t="s">
        <v>35</v>
      </c>
      <c r="P737" s="1" t="s">
        <v>36</v>
      </c>
    </row>
    <row r="738" spans="1:16" x14ac:dyDescent="0.25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>
        <v>35</v>
      </c>
      <c r="J738" s="3">
        <v>47795.68</v>
      </c>
      <c r="K738" s="2">
        <v>11.8</v>
      </c>
      <c r="L738" s="3">
        <v>1475452.64</v>
      </c>
      <c r="M738">
        <v>46155</v>
      </c>
      <c r="N738" s="1" t="s">
        <v>68</v>
      </c>
      <c r="O738" s="1" t="s">
        <v>35</v>
      </c>
      <c r="P738" s="1" t="s">
        <v>36</v>
      </c>
    </row>
    <row r="739" spans="1:16" x14ac:dyDescent="0.25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>
        <v>3</v>
      </c>
      <c r="J739" s="3">
        <v>16426.89</v>
      </c>
      <c r="K739" s="2">
        <v>4.32</v>
      </c>
      <c r="L739" s="3">
        <v>47151.75</v>
      </c>
      <c r="M739">
        <v>46132</v>
      </c>
      <c r="N739" s="1" t="s">
        <v>68</v>
      </c>
      <c r="O739" s="1" t="s">
        <v>35</v>
      </c>
      <c r="P739" s="1" t="s">
        <v>26</v>
      </c>
    </row>
    <row r="740" spans="1:16" x14ac:dyDescent="0.25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>
        <v>1</v>
      </c>
      <c r="J740" s="3">
        <v>13064.04</v>
      </c>
      <c r="K740" s="2">
        <v>2.02</v>
      </c>
      <c r="L740" s="3">
        <v>12800.15</v>
      </c>
      <c r="M740">
        <v>46036</v>
      </c>
      <c r="N740" s="1" t="s">
        <v>68</v>
      </c>
      <c r="O740" s="1" t="s">
        <v>35</v>
      </c>
      <c r="P740" s="1" t="s">
        <v>36</v>
      </c>
    </row>
    <row r="741" spans="1:16" x14ac:dyDescent="0.25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>
        <v>34</v>
      </c>
      <c r="J741" s="3">
        <v>26568.25</v>
      </c>
      <c r="K741" s="2">
        <v>13.29</v>
      </c>
      <c r="L741" s="3">
        <v>783269.21</v>
      </c>
      <c r="M741">
        <v>46338</v>
      </c>
      <c r="N741" s="1" t="s">
        <v>58</v>
      </c>
      <c r="O741" s="1" t="s">
        <v>35</v>
      </c>
      <c r="P741" s="1" t="s">
        <v>53</v>
      </c>
    </row>
    <row r="742" spans="1:16" x14ac:dyDescent="0.25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>
        <v>20</v>
      </c>
      <c r="J742" s="3">
        <v>38884.04</v>
      </c>
      <c r="K742" s="2">
        <v>11.81</v>
      </c>
      <c r="L742" s="3">
        <v>685836.7</v>
      </c>
      <c r="M742">
        <v>46269</v>
      </c>
      <c r="N742" s="1" t="s">
        <v>58</v>
      </c>
      <c r="O742" s="1" t="s">
        <v>35</v>
      </c>
      <c r="P742" s="1" t="s">
        <v>36</v>
      </c>
    </row>
    <row r="743" spans="1:16" x14ac:dyDescent="0.25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>
        <v>11</v>
      </c>
      <c r="J743" s="3">
        <v>32431.18</v>
      </c>
      <c r="K743" s="2">
        <v>0.7</v>
      </c>
      <c r="L743" s="3">
        <v>354245.78</v>
      </c>
      <c r="M743">
        <v>46068</v>
      </c>
      <c r="N743" s="1" t="s">
        <v>68</v>
      </c>
      <c r="O743" s="1" t="s">
        <v>35</v>
      </c>
      <c r="P743" s="1" t="s">
        <v>36</v>
      </c>
    </row>
    <row r="744" spans="1:16" x14ac:dyDescent="0.25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>
        <v>45</v>
      </c>
      <c r="J744" s="3">
        <v>40317.21</v>
      </c>
      <c r="K744" s="2">
        <v>18.420000000000002</v>
      </c>
      <c r="L744" s="3">
        <v>1480085.1</v>
      </c>
      <c r="M744">
        <v>46314</v>
      </c>
      <c r="N744" s="1" t="s">
        <v>68</v>
      </c>
      <c r="O744" s="1" t="s">
        <v>35</v>
      </c>
      <c r="P744" s="1" t="s">
        <v>53</v>
      </c>
    </row>
    <row r="745" spans="1:16" x14ac:dyDescent="0.25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>
        <v>43</v>
      </c>
      <c r="J745" s="3">
        <v>614.83000000000004</v>
      </c>
      <c r="K745" s="2">
        <v>9.59</v>
      </c>
      <c r="L745" s="3">
        <v>23902.32</v>
      </c>
      <c r="M745">
        <v>46208</v>
      </c>
      <c r="N745" s="1" t="s">
        <v>45</v>
      </c>
      <c r="O745" s="1" t="s">
        <v>35</v>
      </c>
      <c r="P745" s="1" t="s">
        <v>53</v>
      </c>
    </row>
    <row r="746" spans="1:16" x14ac:dyDescent="0.25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>
        <v>14</v>
      </c>
      <c r="J746" s="3">
        <v>32023.81</v>
      </c>
      <c r="K746" s="2">
        <v>10.02</v>
      </c>
      <c r="L746" s="3">
        <v>403410.34</v>
      </c>
      <c r="M746">
        <v>46327</v>
      </c>
      <c r="N746" s="1" t="s">
        <v>24</v>
      </c>
      <c r="O746" s="1" t="s">
        <v>59</v>
      </c>
      <c r="P746" s="1" t="s">
        <v>53</v>
      </c>
    </row>
    <row r="747" spans="1:16" x14ac:dyDescent="0.25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>
        <v>39</v>
      </c>
      <c r="J747" s="3">
        <v>32457</v>
      </c>
      <c r="K747" s="2">
        <v>19.7</v>
      </c>
      <c r="L747" s="3">
        <v>1016455.87</v>
      </c>
      <c r="M747">
        <v>46117</v>
      </c>
      <c r="N747" s="1" t="s">
        <v>24</v>
      </c>
      <c r="O747" s="1" t="s">
        <v>35</v>
      </c>
      <c r="P747" s="1" t="s">
        <v>53</v>
      </c>
    </row>
    <row r="748" spans="1:16" x14ac:dyDescent="0.25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>
        <v>5</v>
      </c>
      <c r="J748" s="3">
        <v>32693.95</v>
      </c>
      <c r="K748" s="2">
        <v>10.29</v>
      </c>
      <c r="L748" s="3">
        <v>146648.71</v>
      </c>
      <c r="M748">
        <v>46069</v>
      </c>
      <c r="N748" s="1" t="s">
        <v>68</v>
      </c>
      <c r="O748" s="1" t="s">
        <v>35</v>
      </c>
      <c r="P748" s="1" t="s">
        <v>36</v>
      </c>
    </row>
    <row r="749" spans="1:16" x14ac:dyDescent="0.25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>
        <v>48</v>
      </c>
      <c r="J749" s="3">
        <v>5345.23</v>
      </c>
      <c r="K749" s="2">
        <v>10.88</v>
      </c>
      <c r="L749" s="3">
        <v>228656.11</v>
      </c>
      <c r="M749">
        <v>46162</v>
      </c>
      <c r="N749" s="1" t="s">
        <v>45</v>
      </c>
      <c r="O749" s="1" t="s">
        <v>25</v>
      </c>
      <c r="P749" s="1" t="s">
        <v>36</v>
      </c>
    </row>
    <row r="750" spans="1:16" x14ac:dyDescent="0.25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>
        <v>5</v>
      </c>
      <c r="J750" s="3">
        <v>32820</v>
      </c>
      <c r="K750" s="2">
        <v>4.67</v>
      </c>
      <c r="L750" s="3">
        <v>156436.53</v>
      </c>
      <c r="M750">
        <v>46048</v>
      </c>
      <c r="N750" s="1" t="s">
        <v>58</v>
      </c>
      <c r="O750" s="1" t="s">
        <v>35</v>
      </c>
      <c r="P750" s="1" t="s">
        <v>53</v>
      </c>
    </row>
    <row r="751" spans="1:16" x14ac:dyDescent="0.25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>
        <v>25</v>
      </c>
      <c r="J751" s="3">
        <v>25688.68</v>
      </c>
      <c r="K751" s="2">
        <v>13.2</v>
      </c>
      <c r="L751" s="3">
        <v>557444.36</v>
      </c>
      <c r="M751">
        <v>46098</v>
      </c>
      <c r="N751" s="1" t="s">
        <v>113</v>
      </c>
      <c r="O751" s="1" t="s">
        <v>35</v>
      </c>
      <c r="P751" s="1" t="s">
        <v>53</v>
      </c>
    </row>
    <row r="752" spans="1:16" x14ac:dyDescent="0.25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>
        <v>33</v>
      </c>
      <c r="J752" s="3">
        <v>841.88</v>
      </c>
      <c r="K752" s="2">
        <v>7.57</v>
      </c>
      <c r="L752" s="3">
        <v>25678.94</v>
      </c>
      <c r="M752">
        <v>46201</v>
      </c>
      <c r="N752" s="1" t="s">
        <v>45</v>
      </c>
      <c r="O752" s="1" t="s">
        <v>59</v>
      </c>
      <c r="P752" s="1" t="s">
        <v>36</v>
      </c>
    </row>
    <row r="753" spans="1:16" x14ac:dyDescent="0.25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>
        <v>2</v>
      </c>
      <c r="J753" s="3">
        <v>33491.18</v>
      </c>
      <c r="K753" s="2">
        <v>17.28</v>
      </c>
      <c r="L753" s="3">
        <v>55407.81</v>
      </c>
      <c r="M753">
        <v>46285</v>
      </c>
      <c r="N753" s="1" t="s">
        <v>113</v>
      </c>
      <c r="O753" s="1" t="s">
        <v>59</v>
      </c>
      <c r="P753" s="1" t="s">
        <v>26</v>
      </c>
    </row>
    <row r="754" spans="1:16" x14ac:dyDescent="0.25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>
        <v>6</v>
      </c>
      <c r="J754" s="3">
        <v>26056.12</v>
      </c>
      <c r="K754" s="2">
        <v>7.01</v>
      </c>
      <c r="L754" s="3">
        <v>145377.51999999999</v>
      </c>
      <c r="M754">
        <v>46143</v>
      </c>
      <c r="N754" s="1" t="s">
        <v>45</v>
      </c>
      <c r="O754" s="1" t="s">
        <v>25</v>
      </c>
      <c r="P754" s="1" t="s">
        <v>36</v>
      </c>
    </row>
    <row r="755" spans="1:16" x14ac:dyDescent="0.25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>
        <v>16</v>
      </c>
      <c r="J755" s="3">
        <v>34903.21</v>
      </c>
      <c r="K755" s="2">
        <v>16.899999999999999</v>
      </c>
      <c r="L755" s="3">
        <v>464073.08</v>
      </c>
      <c r="M755">
        <v>46368</v>
      </c>
      <c r="N755" s="1" t="s">
        <v>24</v>
      </c>
      <c r="O755" s="1" t="s">
        <v>35</v>
      </c>
      <c r="P755" s="1" t="s">
        <v>36</v>
      </c>
    </row>
    <row r="756" spans="1:16" x14ac:dyDescent="0.25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>
        <v>47</v>
      </c>
      <c r="J756" s="3">
        <v>34044.31</v>
      </c>
      <c r="K756" s="2">
        <v>4.12</v>
      </c>
      <c r="L756" s="3">
        <v>1534159.17</v>
      </c>
      <c r="M756">
        <v>46270</v>
      </c>
      <c r="N756" s="1" t="s">
        <v>68</v>
      </c>
      <c r="O756" s="1" t="s">
        <v>25</v>
      </c>
      <c r="P756" s="1" t="s">
        <v>26</v>
      </c>
    </row>
    <row r="757" spans="1:16" x14ac:dyDescent="0.25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>
        <v>17</v>
      </c>
      <c r="J757" s="3">
        <v>48954.65</v>
      </c>
      <c r="K757" s="2">
        <v>6.93</v>
      </c>
      <c r="L757" s="3">
        <v>774555.58</v>
      </c>
      <c r="M757">
        <v>46032</v>
      </c>
      <c r="N757" s="1" t="s">
        <v>113</v>
      </c>
      <c r="O757" s="1" t="s">
        <v>35</v>
      </c>
      <c r="P757" s="1" t="s">
        <v>26</v>
      </c>
    </row>
    <row r="758" spans="1:16" x14ac:dyDescent="0.25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>
        <v>44</v>
      </c>
      <c r="J758" s="3">
        <v>26520.400000000001</v>
      </c>
      <c r="K758" s="2">
        <v>13.01</v>
      </c>
      <c r="L758" s="3">
        <v>1015084.22</v>
      </c>
      <c r="M758">
        <v>46280</v>
      </c>
      <c r="N758" s="1" t="s">
        <v>24</v>
      </c>
      <c r="O758" s="1" t="s">
        <v>25</v>
      </c>
      <c r="P758" s="1" t="s">
        <v>36</v>
      </c>
    </row>
    <row r="759" spans="1:16" x14ac:dyDescent="0.25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>
        <v>25</v>
      </c>
      <c r="J759" s="3">
        <v>14170.7</v>
      </c>
      <c r="K759" s="2">
        <v>18.010000000000002</v>
      </c>
      <c r="L759" s="3">
        <v>290463.92</v>
      </c>
      <c r="M759">
        <v>46366</v>
      </c>
      <c r="N759" s="1" t="s">
        <v>58</v>
      </c>
      <c r="O759" s="1" t="s">
        <v>25</v>
      </c>
      <c r="P759" s="1" t="s">
        <v>26</v>
      </c>
    </row>
    <row r="760" spans="1:16" x14ac:dyDescent="0.25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>
        <v>49</v>
      </c>
      <c r="J760" s="3">
        <v>46797.61</v>
      </c>
      <c r="K760" s="2">
        <v>4.5599999999999996</v>
      </c>
      <c r="L760" s="3">
        <v>2188518.31</v>
      </c>
      <c r="M760">
        <v>46214</v>
      </c>
      <c r="N760" s="1" t="s">
        <v>24</v>
      </c>
      <c r="O760" s="1" t="s">
        <v>35</v>
      </c>
      <c r="P760" s="1" t="s">
        <v>53</v>
      </c>
    </row>
    <row r="761" spans="1:16" x14ac:dyDescent="0.25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>
        <v>16</v>
      </c>
      <c r="J761" s="3">
        <v>9471.2099999999991</v>
      </c>
      <c r="K761" s="2">
        <v>2.31</v>
      </c>
      <c r="L761" s="3">
        <v>148038.79999999999</v>
      </c>
      <c r="M761">
        <v>46120</v>
      </c>
      <c r="N761" s="1" t="s">
        <v>45</v>
      </c>
      <c r="O761" s="1" t="s">
        <v>35</v>
      </c>
      <c r="P761" s="1" t="s">
        <v>36</v>
      </c>
    </row>
    <row r="762" spans="1:16" x14ac:dyDescent="0.25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>
        <v>13</v>
      </c>
      <c r="J762" s="3">
        <v>19834.38</v>
      </c>
      <c r="K762" s="2">
        <v>4.43</v>
      </c>
      <c r="L762" s="3">
        <v>246424.32000000001</v>
      </c>
      <c r="M762">
        <v>46216</v>
      </c>
      <c r="N762" s="1" t="s">
        <v>58</v>
      </c>
      <c r="O762" s="1" t="s">
        <v>35</v>
      </c>
      <c r="P762" s="1" t="s">
        <v>36</v>
      </c>
    </row>
    <row r="763" spans="1:16" x14ac:dyDescent="0.25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>
        <v>4</v>
      </c>
      <c r="J763" s="3">
        <v>3438.53</v>
      </c>
      <c r="K763" s="2">
        <v>12.62</v>
      </c>
      <c r="L763" s="3">
        <v>12018.35</v>
      </c>
      <c r="M763">
        <v>46050</v>
      </c>
      <c r="N763" s="1" t="s">
        <v>68</v>
      </c>
      <c r="O763" s="1" t="s">
        <v>35</v>
      </c>
      <c r="P763" s="1" t="s">
        <v>53</v>
      </c>
    </row>
    <row r="764" spans="1:16" x14ac:dyDescent="0.25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>
        <v>9</v>
      </c>
      <c r="J764" s="3">
        <v>5354.23</v>
      </c>
      <c r="K764" s="2">
        <v>11</v>
      </c>
      <c r="L764" s="3">
        <v>42887.38</v>
      </c>
      <c r="M764">
        <v>46181</v>
      </c>
      <c r="N764" s="1" t="s">
        <v>24</v>
      </c>
      <c r="O764" s="1" t="s">
        <v>35</v>
      </c>
      <c r="P764" s="1" t="s">
        <v>53</v>
      </c>
    </row>
    <row r="765" spans="1:16" x14ac:dyDescent="0.25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>
        <v>26</v>
      </c>
      <c r="J765" s="3">
        <v>2822.53</v>
      </c>
      <c r="K765" s="2">
        <v>11.55</v>
      </c>
      <c r="L765" s="3">
        <v>64909.72</v>
      </c>
      <c r="M765">
        <v>46258</v>
      </c>
      <c r="N765" s="1" t="s">
        <v>45</v>
      </c>
      <c r="O765" s="1" t="s">
        <v>59</v>
      </c>
      <c r="P765" s="1" t="s">
        <v>53</v>
      </c>
    </row>
    <row r="766" spans="1:16" x14ac:dyDescent="0.25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>
        <v>41</v>
      </c>
      <c r="J766" s="3">
        <v>12114.03</v>
      </c>
      <c r="K766" s="2">
        <v>18.239999999999998</v>
      </c>
      <c r="L766" s="3">
        <v>406081.67</v>
      </c>
      <c r="M766">
        <v>46320</v>
      </c>
      <c r="N766" s="1" t="s">
        <v>113</v>
      </c>
      <c r="O766" s="1" t="s">
        <v>35</v>
      </c>
      <c r="P766" s="1" t="s">
        <v>36</v>
      </c>
    </row>
    <row r="767" spans="1:16" x14ac:dyDescent="0.25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>
        <v>45</v>
      </c>
      <c r="J767" s="3">
        <v>26973.7</v>
      </c>
      <c r="K767" s="2">
        <v>5.37</v>
      </c>
      <c r="L767" s="3">
        <v>1148634.55</v>
      </c>
      <c r="M767">
        <v>46216</v>
      </c>
      <c r="N767" s="1" t="s">
        <v>113</v>
      </c>
      <c r="O767" s="1" t="s">
        <v>35</v>
      </c>
      <c r="P767" s="1" t="s">
        <v>26</v>
      </c>
    </row>
    <row r="768" spans="1:16" x14ac:dyDescent="0.25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>
        <v>34</v>
      </c>
      <c r="J768" s="3">
        <v>4158.32</v>
      </c>
      <c r="K768" s="2">
        <v>18.649999999999999</v>
      </c>
      <c r="L768" s="3">
        <v>115014.97</v>
      </c>
      <c r="M768">
        <v>46118</v>
      </c>
      <c r="N768" s="1" t="s">
        <v>45</v>
      </c>
      <c r="O768" s="1" t="s">
        <v>35</v>
      </c>
      <c r="P768" s="1" t="s">
        <v>26</v>
      </c>
    </row>
    <row r="769" spans="1:16" x14ac:dyDescent="0.25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>
        <v>23</v>
      </c>
      <c r="J769" s="3">
        <v>2937</v>
      </c>
      <c r="K769" s="2">
        <v>11.1</v>
      </c>
      <c r="L769" s="3">
        <v>60052.84</v>
      </c>
      <c r="M769">
        <v>46124</v>
      </c>
      <c r="N769" s="1" t="s">
        <v>113</v>
      </c>
      <c r="O769" s="1" t="s">
        <v>35</v>
      </c>
      <c r="P769" s="1" t="s">
        <v>53</v>
      </c>
    </row>
    <row r="770" spans="1:16" x14ac:dyDescent="0.25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>
        <v>16</v>
      </c>
      <c r="J770" s="3">
        <v>2839.14</v>
      </c>
      <c r="K770" s="2">
        <v>16.11</v>
      </c>
      <c r="L770" s="3">
        <v>38108.07</v>
      </c>
      <c r="M770">
        <v>46151</v>
      </c>
      <c r="N770" s="1" t="s">
        <v>24</v>
      </c>
      <c r="O770" s="1" t="s">
        <v>25</v>
      </c>
      <c r="P770" s="1" t="s">
        <v>36</v>
      </c>
    </row>
    <row r="771" spans="1:16" x14ac:dyDescent="0.25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>
        <v>37</v>
      </c>
      <c r="J771" s="3">
        <v>18260.810000000001</v>
      </c>
      <c r="K771" s="2">
        <v>4.05</v>
      </c>
      <c r="L771" s="3">
        <v>648286.15</v>
      </c>
      <c r="M771">
        <v>46046</v>
      </c>
      <c r="N771" s="1" t="s">
        <v>68</v>
      </c>
      <c r="O771" s="1" t="s">
        <v>25</v>
      </c>
      <c r="P771" s="1" t="s">
        <v>53</v>
      </c>
    </row>
    <row r="772" spans="1:16" x14ac:dyDescent="0.25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>
        <v>36</v>
      </c>
      <c r="J772" s="3">
        <v>36869.760000000002</v>
      </c>
      <c r="K772" s="2">
        <v>13.62</v>
      </c>
      <c r="L772" s="3">
        <v>1146531.55</v>
      </c>
      <c r="M772">
        <v>46233</v>
      </c>
      <c r="N772" s="1" t="s">
        <v>45</v>
      </c>
      <c r="O772" s="1" t="s">
        <v>35</v>
      </c>
      <c r="P772" s="1" t="s">
        <v>26</v>
      </c>
    </row>
    <row r="773" spans="1:16" x14ac:dyDescent="0.25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>
        <v>19</v>
      </c>
      <c r="J773" s="3">
        <v>46820.59</v>
      </c>
      <c r="K773" s="2">
        <v>15.76</v>
      </c>
      <c r="L773" s="3">
        <v>749391.64</v>
      </c>
      <c r="M773">
        <v>46251</v>
      </c>
      <c r="N773" s="1" t="s">
        <v>45</v>
      </c>
      <c r="O773" s="1" t="s">
        <v>35</v>
      </c>
      <c r="P773" s="1" t="s">
        <v>36</v>
      </c>
    </row>
    <row r="774" spans="1:16" x14ac:dyDescent="0.25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>
        <v>48</v>
      </c>
      <c r="J774" s="3">
        <v>9608.2099999999991</v>
      </c>
      <c r="K774" s="2">
        <v>3.95</v>
      </c>
      <c r="L774" s="3">
        <v>442976.91</v>
      </c>
      <c r="M774">
        <v>46027</v>
      </c>
      <c r="N774" s="1" t="s">
        <v>24</v>
      </c>
      <c r="O774" s="1" t="s">
        <v>35</v>
      </c>
      <c r="P774" s="1" t="s">
        <v>36</v>
      </c>
    </row>
    <row r="775" spans="1:16" x14ac:dyDescent="0.25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>
        <v>15</v>
      </c>
      <c r="J775" s="3">
        <v>30895.46</v>
      </c>
      <c r="K775" s="2">
        <v>1.35</v>
      </c>
      <c r="L775" s="3">
        <v>457175.57</v>
      </c>
      <c r="M775">
        <v>46046</v>
      </c>
      <c r="N775" s="1" t="s">
        <v>113</v>
      </c>
      <c r="O775" s="1" t="s">
        <v>35</v>
      </c>
      <c r="P775" s="1" t="s">
        <v>53</v>
      </c>
    </row>
    <row r="776" spans="1:16" x14ac:dyDescent="0.25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>
        <v>27</v>
      </c>
      <c r="J776" s="3">
        <v>43955.06</v>
      </c>
      <c r="K776" s="2">
        <v>6.79</v>
      </c>
      <c r="L776" s="3">
        <v>1106203.81</v>
      </c>
      <c r="M776">
        <v>46348</v>
      </c>
      <c r="N776" s="1" t="s">
        <v>113</v>
      </c>
      <c r="O776" s="1" t="s">
        <v>35</v>
      </c>
      <c r="P776" s="1" t="s">
        <v>53</v>
      </c>
    </row>
    <row r="777" spans="1:16" x14ac:dyDescent="0.25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>
        <v>24</v>
      </c>
      <c r="J777" s="3">
        <v>21146.47</v>
      </c>
      <c r="K777" s="2">
        <v>4.7</v>
      </c>
      <c r="L777" s="3">
        <v>483662.06</v>
      </c>
      <c r="M777">
        <v>46346</v>
      </c>
      <c r="N777" s="1" t="s">
        <v>58</v>
      </c>
      <c r="O777" s="1" t="s">
        <v>25</v>
      </c>
      <c r="P777" s="1" t="s">
        <v>36</v>
      </c>
    </row>
    <row r="778" spans="1:16" x14ac:dyDescent="0.25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>
        <v>17</v>
      </c>
      <c r="J778" s="3">
        <v>18825.22</v>
      </c>
      <c r="K778" s="2">
        <v>5.91</v>
      </c>
      <c r="L778" s="3">
        <v>301115.03999999998</v>
      </c>
      <c r="M778">
        <v>46252</v>
      </c>
      <c r="N778" s="1" t="s">
        <v>24</v>
      </c>
      <c r="O778" s="1" t="s">
        <v>35</v>
      </c>
      <c r="P778" s="1" t="s">
        <v>26</v>
      </c>
    </row>
    <row r="779" spans="1:16" x14ac:dyDescent="0.25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>
        <v>17</v>
      </c>
      <c r="J779" s="3">
        <v>4177.05</v>
      </c>
      <c r="K779" s="2">
        <v>12.92</v>
      </c>
      <c r="L779" s="3">
        <v>61835.38</v>
      </c>
      <c r="M779">
        <v>46037</v>
      </c>
      <c r="N779" s="1" t="s">
        <v>113</v>
      </c>
      <c r="O779" s="1" t="s">
        <v>35</v>
      </c>
      <c r="P779" s="1" t="s">
        <v>26</v>
      </c>
    </row>
    <row r="780" spans="1:16" x14ac:dyDescent="0.25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>
        <v>42</v>
      </c>
      <c r="J780" s="3">
        <v>48016.52</v>
      </c>
      <c r="K780" s="2">
        <v>15.05</v>
      </c>
      <c r="L780" s="3">
        <v>1713181.42</v>
      </c>
      <c r="M780">
        <v>46202</v>
      </c>
      <c r="N780" s="1" t="s">
        <v>45</v>
      </c>
      <c r="O780" s="1" t="s">
        <v>25</v>
      </c>
      <c r="P780" s="1" t="s">
        <v>53</v>
      </c>
    </row>
    <row r="781" spans="1:16" x14ac:dyDescent="0.25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>
        <v>41</v>
      </c>
      <c r="J781" s="3">
        <v>34734.03</v>
      </c>
      <c r="K781" s="2">
        <v>12.76</v>
      </c>
      <c r="L781" s="3">
        <v>1242380.68</v>
      </c>
      <c r="M781">
        <v>46103</v>
      </c>
      <c r="N781" s="1" t="s">
        <v>24</v>
      </c>
      <c r="O781" s="1" t="s">
        <v>35</v>
      </c>
      <c r="P781" s="1" t="s">
        <v>36</v>
      </c>
    </row>
    <row r="782" spans="1:16" x14ac:dyDescent="0.25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>
        <v>50</v>
      </c>
      <c r="J782" s="3">
        <v>27176.63</v>
      </c>
      <c r="K782" s="2">
        <v>16.14</v>
      </c>
      <c r="L782" s="3">
        <v>1139516.1000000001</v>
      </c>
      <c r="M782">
        <v>46260</v>
      </c>
      <c r="N782" s="1" t="s">
        <v>45</v>
      </c>
      <c r="O782" s="1" t="s">
        <v>35</v>
      </c>
      <c r="P782" s="1" t="s">
        <v>36</v>
      </c>
    </row>
    <row r="783" spans="1:16" x14ac:dyDescent="0.25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>
        <v>7</v>
      </c>
      <c r="J783" s="3">
        <v>1839.65</v>
      </c>
      <c r="K783" s="2">
        <v>14.03</v>
      </c>
      <c r="L783" s="3">
        <v>11070.83</v>
      </c>
      <c r="M783">
        <v>46132</v>
      </c>
      <c r="N783" s="1" t="s">
        <v>58</v>
      </c>
      <c r="O783" s="1" t="s">
        <v>35</v>
      </c>
      <c r="P783" s="1" t="s">
        <v>36</v>
      </c>
    </row>
    <row r="784" spans="1:16" x14ac:dyDescent="0.25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>
        <v>24</v>
      </c>
      <c r="J784" s="3">
        <v>35709.919999999998</v>
      </c>
      <c r="K784" s="2">
        <v>6.54</v>
      </c>
      <c r="L784" s="3">
        <v>800987.79</v>
      </c>
      <c r="M784">
        <v>46282</v>
      </c>
      <c r="N784" s="1" t="s">
        <v>58</v>
      </c>
      <c r="O784" s="1" t="s">
        <v>35</v>
      </c>
      <c r="P784" s="1" t="s">
        <v>36</v>
      </c>
    </row>
    <row r="785" spans="1:16" x14ac:dyDescent="0.25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>
        <v>19</v>
      </c>
      <c r="J785" s="3">
        <v>30188.33</v>
      </c>
      <c r="K785" s="2">
        <v>11.16</v>
      </c>
      <c r="L785" s="3">
        <v>509566.94</v>
      </c>
      <c r="M785">
        <v>46215</v>
      </c>
      <c r="N785" s="1" t="s">
        <v>58</v>
      </c>
      <c r="O785" s="1" t="s">
        <v>35</v>
      </c>
      <c r="P785" s="1" t="s">
        <v>36</v>
      </c>
    </row>
    <row r="786" spans="1:16" x14ac:dyDescent="0.25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>
        <v>30</v>
      </c>
      <c r="J786" s="3">
        <v>9596.82</v>
      </c>
      <c r="K786" s="2">
        <v>14.66</v>
      </c>
      <c r="L786" s="3">
        <v>245697.79</v>
      </c>
      <c r="M786">
        <v>46227</v>
      </c>
      <c r="N786" s="1" t="s">
        <v>24</v>
      </c>
      <c r="O786" s="1" t="s">
        <v>35</v>
      </c>
      <c r="P786" s="1" t="s">
        <v>53</v>
      </c>
    </row>
    <row r="787" spans="1:16" x14ac:dyDescent="0.25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>
        <v>35</v>
      </c>
      <c r="J787" s="3">
        <v>19800.2</v>
      </c>
      <c r="K787" s="2">
        <v>6.01</v>
      </c>
      <c r="L787" s="3">
        <v>651357.28</v>
      </c>
      <c r="M787">
        <v>46241</v>
      </c>
      <c r="N787" s="1" t="s">
        <v>45</v>
      </c>
      <c r="O787" s="1" t="s">
        <v>35</v>
      </c>
      <c r="P787" s="1" t="s">
        <v>36</v>
      </c>
    </row>
    <row r="788" spans="1:16" x14ac:dyDescent="0.25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>
        <v>38</v>
      </c>
      <c r="J788" s="3">
        <v>25785.77</v>
      </c>
      <c r="K788" s="2">
        <v>11.24</v>
      </c>
      <c r="L788" s="3">
        <v>869723.08</v>
      </c>
      <c r="M788">
        <v>46201</v>
      </c>
      <c r="N788" s="1" t="s">
        <v>68</v>
      </c>
      <c r="O788" s="1" t="s">
        <v>35</v>
      </c>
      <c r="P788" s="1" t="s">
        <v>36</v>
      </c>
    </row>
    <row r="789" spans="1:16" x14ac:dyDescent="0.25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>
        <v>36</v>
      </c>
      <c r="J789" s="3">
        <v>47469.02</v>
      </c>
      <c r="K789" s="2">
        <v>12.13</v>
      </c>
      <c r="L789" s="3">
        <v>1501597</v>
      </c>
      <c r="M789">
        <v>46054</v>
      </c>
      <c r="N789" s="1" t="s">
        <v>24</v>
      </c>
      <c r="O789" s="1" t="s">
        <v>35</v>
      </c>
      <c r="P789" s="1" t="s">
        <v>26</v>
      </c>
    </row>
    <row r="790" spans="1:16" x14ac:dyDescent="0.25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>
        <v>31</v>
      </c>
      <c r="J790" s="3">
        <v>11769.89</v>
      </c>
      <c r="K790" s="2">
        <v>14.47</v>
      </c>
      <c r="L790" s="3">
        <v>312070.39</v>
      </c>
      <c r="M790">
        <v>46357</v>
      </c>
      <c r="N790" s="1" t="s">
        <v>45</v>
      </c>
      <c r="O790" s="1" t="s">
        <v>35</v>
      </c>
      <c r="P790" s="1" t="s">
        <v>53</v>
      </c>
    </row>
    <row r="791" spans="1:16" x14ac:dyDescent="0.25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>
        <v>38</v>
      </c>
      <c r="J791" s="3">
        <v>15937.33</v>
      </c>
      <c r="K791" s="2">
        <v>3.4</v>
      </c>
      <c r="L791" s="3">
        <v>585027.51</v>
      </c>
      <c r="M791">
        <v>46092</v>
      </c>
      <c r="N791" s="1" t="s">
        <v>68</v>
      </c>
      <c r="O791" s="1" t="s">
        <v>35</v>
      </c>
      <c r="P791" s="1" t="s">
        <v>36</v>
      </c>
    </row>
    <row r="792" spans="1:16" x14ac:dyDescent="0.25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>
        <v>33</v>
      </c>
      <c r="J792" s="3">
        <v>6377.45</v>
      </c>
      <c r="K792" s="2">
        <v>1.35</v>
      </c>
      <c r="L792" s="3">
        <v>207614.7</v>
      </c>
      <c r="M792">
        <v>46163</v>
      </c>
      <c r="N792" s="1" t="s">
        <v>58</v>
      </c>
      <c r="O792" s="1" t="s">
        <v>35</v>
      </c>
      <c r="P792" s="1" t="s">
        <v>36</v>
      </c>
    </row>
    <row r="793" spans="1:16" x14ac:dyDescent="0.25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>
        <v>37</v>
      </c>
      <c r="J793" s="3">
        <v>27533.9</v>
      </c>
      <c r="K793" s="2">
        <v>15.53</v>
      </c>
      <c r="L793" s="3">
        <v>860541.76</v>
      </c>
      <c r="M793">
        <v>46031</v>
      </c>
      <c r="N793" s="1" t="s">
        <v>113</v>
      </c>
      <c r="O793" s="1" t="s">
        <v>35</v>
      </c>
      <c r="P793" s="1" t="s">
        <v>26</v>
      </c>
    </row>
    <row r="794" spans="1:16" x14ac:dyDescent="0.25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>
        <v>16</v>
      </c>
      <c r="J794" s="3">
        <v>34076.769999999997</v>
      </c>
      <c r="K794" s="2">
        <v>2.09</v>
      </c>
      <c r="L794" s="3">
        <v>533833.05000000005</v>
      </c>
      <c r="M794">
        <v>46059</v>
      </c>
      <c r="N794" s="1" t="s">
        <v>113</v>
      </c>
      <c r="O794" s="1" t="s">
        <v>35</v>
      </c>
      <c r="P794" s="1" t="s">
        <v>53</v>
      </c>
    </row>
    <row r="795" spans="1:16" x14ac:dyDescent="0.25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>
        <v>31</v>
      </c>
      <c r="J795" s="3">
        <v>2821.04</v>
      </c>
      <c r="K795" s="2">
        <v>10.36</v>
      </c>
      <c r="L795" s="3">
        <v>78392.19</v>
      </c>
      <c r="M795">
        <v>46156</v>
      </c>
      <c r="N795" s="1" t="s">
        <v>58</v>
      </c>
      <c r="O795" s="1" t="s">
        <v>35</v>
      </c>
      <c r="P795" s="1" t="s">
        <v>26</v>
      </c>
    </row>
    <row r="796" spans="1:16" x14ac:dyDescent="0.25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>
        <v>46</v>
      </c>
      <c r="J796" s="3">
        <v>43248.42</v>
      </c>
      <c r="K796" s="2">
        <v>9.58</v>
      </c>
      <c r="L796" s="3">
        <v>1798840.18</v>
      </c>
      <c r="M796">
        <v>46253</v>
      </c>
      <c r="N796" s="1" t="s">
        <v>45</v>
      </c>
      <c r="O796" s="1" t="s">
        <v>35</v>
      </c>
      <c r="P796" s="1" t="s">
        <v>26</v>
      </c>
    </row>
    <row r="797" spans="1:16" x14ac:dyDescent="0.25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>
        <v>40</v>
      </c>
      <c r="J797" s="3">
        <v>553.69000000000005</v>
      </c>
      <c r="K797" s="2">
        <v>5.5</v>
      </c>
      <c r="L797" s="3">
        <v>20929.48</v>
      </c>
      <c r="M797">
        <v>46319</v>
      </c>
      <c r="N797" s="1" t="s">
        <v>68</v>
      </c>
      <c r="O797" s="1" t="s">
        <v>35</v>
      </c>
      <c r="P797" s="1" t="s">
        <v>26</v>
      </c>
    </row>
    <row r="798" spans="1:16" x14ac:dyDescent="0.25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>
        <v>20</v>
      </c>
      <c r="J798" s="3">
        <v>36970.44</v>
      </c>
      <c r="K798" s="2">
        <v>8.31</v>
      </c>
      <c r="L798" s="3">
        <v>677963.93</v>
      </c>
      <c r="M798">
        <v>46229</v>
      </c>
      <c r="N798" s="1" t="s">
        <v>113</v>
      </c>
      <c r="O798" s="1" t="s">
        <v>59</v>
      </c>
      <c r="P798" s="1" t="s">
        <v>36</v>
      </c>
    </row>
    <row r="799" spans="1:16" x14ac:dyDescent="0.25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>
        <v>17</v>
      </c>
      <c r="J799" s="3">
        <v>6872.26</v>
      </c>
      <c r="K799" s="2">
        <v>4.74</v>
      </c>
      <c r="L799" s="3">
        <v>111290.75</v>
      </c>
      <c r="M799">
        <v>46156</v>
      </c>
      <c r="N799" s="1" t="s">
        <v>113</v>
      </c>
      <c r="O799" s="1" t="s">
        <v>35</v>
      </c>
      <c r="P799" s="1" t="s">
        <v>53</v>
      </c>
    </row>
    <row r="800" spans="1:16" x14ac:dyDescent="0.25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>
        <v>7</v>
      </c>
      <c r="J800" s="3">
        <v>3127.39</v>
      </c>
      <c r="K800" s="2">
        <v>2.12</v>
      </c>
      <c r="L800" s="3">
        <v>21427.63</v>
      </c>
      <c r="M800">
        <v>46245</v>
      </c>
      <c r="N800" s="1" t="s">
        <v>24</v>
      </c>
      <c r="O800" s="1" t="s">
        <v>35</v>
      </c>
      <c r="P800" s="1" t="s">
        <v>53</v>
      </c>
    </row>
    <row r="801" spans="1:16" x14ac:dyDescent="0.25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>
        <v>29</v>
      </c>
      <c r="J801" s="3">
        <v>41022.089999999997</v>
      </c>
      <c r="K801" s="2">
        <v>14.46</v>
      </c>
      <c r="L801" s="3">
        <v>1017618.58</v>
      </c>
      <c r="M801">
        <v>46357</v>
      </c>
      <c r="N801" s="1" t="s">
        <v>24</v>
      </c>
      <c r="O801" s="1" t="s">
        <v>35</v>
      </c>
      <c r="P801" s="1" t="s">
        <v>36</v>
      </c>
    </row>
    <row r="802" spans="1:16" x14ac:dyDescent="0.25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>
        <v>3</v>
      </c>
      <c r="J802" s="3">
        <v>24504.95</v>
      </c>
      <c r="K802" s="2">
        <v>12.13</v>
      </c>
      <c r="L802" s="3">
        <v>64597.5</v>
      </c>
      <c r="M802">
        <v>46191</v>
      </c>
      <c r="N802" s="1" t="s">
        <v>113</v>
      </c>
      <c r="O802" s="1" t="s">
        <v>35</v>
      </c>
      <c r="P802" s="1" t="s">
        <v>53</v>
      </c>
    </row>
    <row r="803" spans="1:16" x14ac:dyDescent="0.25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>
        <v>24</v>
      </c>
      <c r="J803" s="3">
        <v>44397.4</v>
      </c>
      <c r="K803" s="2">
        <v>14.05</v>
      </c>
      <c r="L803" s="3">
        <v>915829.57</v>
      </c>
      <c r="M803">
        <v>46144</v>
      </c>
      <c r="N803" s="1" t="s">
        <v>45</v>
      </c>
      <c r="O803" s="1" t="s">
        <v>35</v>
      </c>
      <c r="P803" s="1" t="s">
        <v>26</v>
      </c>
    </row>
    <row r="804" spans="1:16" x14ac:dyDescent="0.25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>
        <v>18</v>
      </c>
      <c r="J804" s="3">
        <v>41422.300000000003</v>
      </c>
      <c r="K804" s="2">
        <v>16.22</v>
      </c>
      <c r="L804" s="3">
        <v>624664.85</v>
      </c>
      <c r="M804">
        <v>46379</v>
      </c>
      <c r="N804" s="1" t="s">
        <v>45</v>
      </c>
      <c r="O804" s="1" t="s">
        <v>59</v>
      </c>
      <c r="P804" s="1" t="s">
        <v>26</v>
      </c>
    </row>
    <row r="805" spans="1:16" x14ac:dyDescent="0.25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>
        <v>22</v>
      </c>
      <c r="J805" s="3">
        <v>49835.14</v>
      </c>
      <c r="K805" s="2">
        <v>17.55</v>
      </c>
      <c r="L805" s="3">
        <v>903959.6</v>
      </c>
      <c r="M805">
        <v>46101</v>
      </c>
      <c r="N805" s="1" t="s">
        <v>68</v>
      </c>
      <c r="O805" s="1" t="s">
        <v>35</v>
      </c>
      <c r="P805" s="1" t="s">
        <v>53</v>
      </c>
    </row>
    <row r="806" spans="1:16" x14ac:dyDescent="0.25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>
        <v>20</v>
      </c>
      <c r="J806" s="3">
        <v>44821.1</v>
      </c>
      <c r="K806" s="2">
        <v>14.43</v>
      </c>
      <c r="L806" s="3">
        <v>767068.31</v>
      </c>
      <c r="M806">
        <v>46153</v>
      </c>
      <c r="N806" s="1" t="s">
        <v>24</v>
      </c>
      <c r="O806" s="1" t="s">
        <v>35</v>
      </c>
      <c r="P806" s="1" t="s">
        <v>26</v>
      </c>
    </row>
    <row r="807" spans="1:16" x14ac:dyDescent="0.25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>
        <v>37</v>
      </c>
      <c r="J807" s="3">
        <v>14669.91</v>
      </c>
      <c r="K807" s="2">
        <v>9.36</v>
      </c>
      <c r="L807" s="3">
        <v>491981.84</v>
      </c>
      <c r="M807">
        <v>46141</v>
      </c>
      <c r="N807" s="1" t="s">
        <v>45</v>
      </c>
      <c r="O807" s="1" t="s">
        <v>35</v>
      </c>
      <c r="P807" s="1" t="s">
        <v>26</v>
      </c>
    </row>
    <row r="808" spans="1:16" x14ac:dyDescent="0.25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>
        <v>45</v>
      </c>
      <c r="J808" s="3">
        <v>2657.11</v>
      </c>
      <c r="K808" s="2">
        <v>7.58</v>
      </c>
      <c r="L808" s="3">
        <v>110506.55</v>
      </c>
      <c r="M808">
        <v>46342</v>
      </c>
      <c r="N808" s="1" t="s">
        <v>113</v>
      </c>
      <c r="O808" s="1" t="s">
        <v>35</v>
      </c>
      <c r="P808" s="1" t="s">
        <v>26</v>
      </c>
    </row>
    <row r="809" spans="1:16" x14ac:dyDescent="0.25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>
        <v>11</v>
      </c>
      <c r="J809" s="3">
        <v>10847.62</v>
      </c>
      <c r="K809" s="2">
        <v>13.66</v>
      </c>
      <c r="L809" s="3">
        <v>103024.19</v>
      </c>
      <c r="M809">
        <v>46114</v>
      </c>
      <c r="N809" s="1" t="s">
        <v>113</v>
      </c>
      <c r="O809" s="1" t="s">
        <v>35</v>
      </c>
      <c r="P809" s="1" t="s">
        <v>53</v>
      </c>
    </row>
    <row r="810" spans="1:16" x14ac:dyDescent="0.25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>
        <v>41</v>
      </c>
      <c r="J810" s="3">
        <v>13926.57</v>
      </c>
      <c r="K810" s="2">
        <v>16.239999999999998</v>
      </c>
      <c r="L810" s="3">
        <v>478260.7</v>
      </c>
      <c r="M810">
        <v>46137</v>
      </c>
      <c r="N810" s="1" t="s">
        <v>113</v>
      </c>
      <c r="O810" s="1" t="s">
        <v>35</v>
      </c>
      <c r="P810" s="1" t="s">
        <v>36</v>
      </c>
    </row>
    <row r="811" spans="1:16" x14ac:dyDescent="0.25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>
        <v>3</v>
      </c>
      <c r="J811" s="3">
        <v>42388.06</v>
      </c>
      <c r="K811" s="2">
        <v>17.93</v>
      </c>
      <c r="L811" s="3">
        <v>104363.64</v>
      </c>
      <c r="M811">
        <v>46378</v>
      </c>
      <c r="N811" s="1" t="s">
        <v>45</v>
      </c>
      <c r="O811" s="1" t="s">
        <v>35</v>
      </c>
      <c r="P811" s="1" t="s">
        <v>36</v>
      </c>
    </row>
    <row r="812" spans="1:16" x14ac:dyDescent="0.25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>
        <v>9</v>
      </c>
      <c r="J812" s="3">
        <v>49013.35</v>
      </c>
      <c r="K812" s="2">
        <v>3.29</v>
      </c>
      <c r="L812" s="3">
        <v>426607.3</v>
      </c>
      <c r="M812">
        <v>46258</v>
      </c>
      <c r="N812" s="1" t="s">
        <v>45</v>
      </c>
      <c r="O812" s="1" t="s">
        <v>35</v>
      </c>
      <c r="P812" s="1" t="s">
        <v>36</v>
      </c>
    </row>
    <row r="813" spans="1:16" x14ac:dyDescent="0.25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>
        <v>18</v>
      </c>
      <c r="J813" s="3">
        <v>8408.1</v>
      </c>
      <c r="K813" s="2">
        <v>5.56</v>
      </c>
      <c r="L813" s="3">
        <v>142930.97</v>
      </c>
      <c r="M813">
        <v>46170</v>
      </c>
      <c r="N813" s="1" t="s">
        <v>113</v>
      </c>
      <c r="O813" s="1" t="s">
        <v>35</v>
      </c>
      <c r="P813" s="1" t="s">
        <v>26</v>
      </c>
    </row>
    <row r="814" spans="1:16" x14ac:dyDescent="0.25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>
        <v>26</v>
      </c>
      <c r="J814" s="3">
        <v>3985.29</v>
      </c>
      <c r="K814" s="2">
        <v>6.31</v>
      </c>
      <c r="L814" s="3">
        <v>97079.27</v>
      </c>
      <c r="M814">
        <v>46236</v>
      </c>
      <c r="N814" s="1" t="s">
        <v>68</v>
      </c>
      <c r="O814" s="1" t="s">
        <v>25</v>
      </c>
      <c r="P814" s="1" t="s">
        <v>36</v>
      </c>
    </row>
    <row r="815" spans="1:16" x14ac:dyDescent="0.25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>
        <v>17</v>
      </c>
      <c r="J815" s="3">
        <v>18022.14</v>
      </c>
      <c r="K815" s="2">
        <v>1.92</v>
      </c>
      <c r="L815" s="3">
        <v>300493.95</v>
      </c>
      <c r="M815">
        <v>46336</v>
      </c>
      <c r="N815" s="1" t="s">
        <v>24</v>
      </c>
      <c r="O815" s="1" t="s">
        <v>35</v>
      </c>
      <c r="P815" s="1" t="s">
        <v>36</v>
      </c>
    </row>
    <row r="816" spans="1:16" x14ac:dyDescent="0.25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>
        <v>48</v>
      </c>
      <c r="J816" s="3">
        <v>39530.36</v>
      </c>
      <c r="K816" s="2">
        <v>13.84</v>
      </c>
      <c r="L816" s="3">
        <v>1634849.19</v>
      </c>
      <c r="M816">
        <v>46104</v>
      </c>
      <c r="N816" s="1" t="s">
        <v>45</v>
      </c>
      <c r="O816" s="1" t="s">
        <v>25</v>
      </c>
      <c r="P816" s="1" t="s">
        <v>26</v>
      </c>
    </row>
    <row r="817" spans="1:16" x14ac:dyDescent="0.25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>
        <v>47</v>
      </c>
      <c r="J817" s="3">
        <v>45941.89</v>
      </c>
      <c r="K817" s="2">
        <v>6.59</v>
      </c>
      <c r="L817" s="3">
        <v>2016973.01</v>
      </c>
      <c r="M817">
        <v>46312</v>
      </c>
      <c r="N817" s="1" t="s">
        <v>58</v>
      </c>
      <c r="O817" s="1" t="s">
        <v>35</v>
      </c>
      <c r="P817" s="1" t="s">
        <v>36</v>
      </c>
    </row>
    <row r="818" spans="1:16" x14ac:dyDescent="0.25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>
        <v>34</v>
      </c>
      <c r="J818" s="3">
        <v>10323.16</v>
      </c>
      <c r="K818" s="2">
        <v>4.6100000000000003</v>
      </c>
      <c r="L818" s="3">
        <v>334806.92</v>
      </c>
      <c r="M818">
        <v>46086</v>
      </c>
      <c r="N818" s="1" t="s">
        <v>58</v>
      </c>
      <c r="O818" s="1" t="s">
        <v>35</v>
      </c>
      <c r="P818" s="1" t="s">
        <v>53</v>
      </c>
    </row>
    <row r="819" spans="1:16" x14ac:dyDescent="0.25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>
        <v>19</v>
      </c>
      <c r="J819" s="3">
        <v>22284.04</v>
      </c>
      <c r="K819" s="2">
        <v>18.73</v>
      </c>
      <c r="L819" s="3">
        <v>344094.55</v>
      </c>
      <c r="M819">
        <v>46035</v>
      </c>
      <c r="N819" s="1" t="s">
        <v>68</v>
      </c>
      <c r="O819" s="1" t="s">
        <v>35</v>
      </c>
      <c r="P819" s="1" t="s">
        <v>36</v>
      </c>
    </row>
    <row r="820" spans="1:16" x14ac:dyDescent="0.25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>
        <v>25</v>
      </c>
      <c r="J820" s="3">
        <v>34113.32</v>
      </c>
      <c r="K820" s="2">
        <v>5.39</v>
      </c>
      <c r="L820" s="3">
        <v>806865.3</v>
      </c>
      <c r="M820">
        <v>46057</v>
      </c>
      <c r="N820" s="1" t="s">
        <v>45</v>
      </c>
      <c r="O820" s="1" t="s">
        <v>35</v>
      </c>
      <c r="P820" s="1" t="s">
        <v>53</v>
      </c>
    </row>
    <row r="821" spans="1:16" x14ac:dyDescent="0.25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>
        <v>30</v>
      </c>
      <c r="J821" s="3">
        <v>9138.7099999999991</v>
      </c>
      <c r="K821" s="2">
        <v>16.43</v>
      </c>
      <c r="L821" s="3">
        <v>229116.6</v>
      </c>
      <c r="M821">
        <v>46035</v>
      </c>
      <c r="N821" s="1" t="s">
        <v>45</v>
      </c>
      <c r="O821" s="1" t="s">
        <v>35</v>
      </c>
      <c r="P821" s="1" t="s">
        <v>36</v>
      </c>
    </row>
    <row r="822" spans="1:16" x14ac:dyDescent="0.25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>
        <v>32</v>
      </c>
      <c r="J822" s="3">
        <v>28204.61</v>
      </c>
      <c r="K822" s="2">
        <v>3.41</v>
      </c>
      <c r="L822" s="3">
        <v>871770.65</v>
      </c>
      <c r="M822">
        <v>46208</v>
      </c>
      <c r="N822" s="1" t="s">
        <v>45</v>
      </c>
      <c r="O822" s="1" t="s">
        <v>35</v>
      </c>
      <c r="P822" s="1" t="s">
        <v>26</v>
      </c>
    </row>
    <row r="823" spans="1:16" x14ac:dyDescent="0.25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>
        <v>28</v>
      </c>
      <c r="J823" s="3">
        <v>44088.72</v>
      </c>
      <c r="K823" s="2">
        <v>4.71</v>
      </c>
      <c r="L823" s="3">
        <v>1176339.96</v>
      </c>
      <c r="M823">
        <v>46353</v>
      </c>
      <c r="N823" s="1" t="s">
        <v>68</v>
      </c>
      <c r="O823" s="1" t="s">
        <v>35</v>
      </c>
      <c r="P823" s="1" t="s">
        <v>53</v>
      </c>
    </row>
    <row r="824" spans="1:16" x14ac:dyDescent="0.25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>
        <v>14</v>
      </c>
      <c r="J824" s="3">
        <v>46542.48</v>
      </c>
      <c r="K824" s="2">
        <v>6.71</v>
      </c>
      <c r="L824" s="3">
        <v>607872.71</v>
      </c>
      <c r="M824">
        <v>46127</v>
      </c>
      <c r="N824" s="1" t="s">
        <v>113</v>
      </c>
      <c r="O824" s="1" t="s">
        <v>35</v>
      </c>
      <c r="P824" s="1" t="s">
        <v>36</v>
      </c>
    </row>
    <row r="825" spans="1:16" x14ac:dyDescent="0.25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>
        <v>3</v>
      </c>
      <c r="J825" s="3">
        <v>19744.39</v>
      </c>
      <c r="K825" s="2">
        <v>0.12</v>
      </c>
      <c r="L825" s="3">
        <v>59162.09</v>
      </c>
      <c r="M825">
        <v>46221</v>
      </c>
      <c r="N825" s="1" t="s">
        <v>68</v>
      </c>
      <c r="O825" s="1" t="s">
        <v>35</v>
      </c>
      <c r="P825" s="1" t="s">
        <v>53</v>
      </c>
    </row>
    <row r="826" spans="1:16" x14ac:dyDescent="0.25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>
        <v>24</v>
      </c>
      <c r="J826" s="3">
        <v>22912.35</v>
      </c>
      <c r="K826" s="2">
        <v>5.51</v>
      </c>
      <c r="L826" s="3">
        <v>519597.11</v>
      </c>
      <c r="M826">
        <v>46306</v>
      </c>
      <c r="N826" s="1" t="s">
        <v>24</v>
      </c>
      <c r="O826" s="1" t="s">
        <v>35</v>
      </c>
      <c r="P826" s="1" t="s">
        <v>36</v>
      </c>
    </row>
    <row r="827" spans="1:16" x14ac:dyDescent="0.25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>
        <v>42</v>
      </c>
      <c r="J827" s="3">
        <v>30161.53</v>
      </c>
      <c r="K827" s="2">
        <v>9.41</v>
      </c>
      <c r="L827" s="3">
        <v>1147579.8600000001</v>
      </c>
      <c r="M827">
        <v>46226</v>
      </c>
      <c r="N827" s="1" t="s">
        <v>68</v>
      </c>
      <c r="O827" s="1" t="s">
        <v>25</v>
      </c>
      <c r="P827" s="1" t="s">
        <v>26</v>
      </c>
    </row>
    <row r="828" spans="1:16" x14ac:dyDescent="0.25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>
        <v>20</v>
      </c>
      <c r="J828" s="3">
        <v>48815.47</v>
      </c>
      <c r="K828" s="2">
        <v>6.28</v>
      </c>
      <c r="L828" s="3">
        <v>914997.17</v>
      </c>
      <c r="M828">
        <v>46308</v>
      </c>
      <c r="N828" s="1" t="s">
        <v>45</v>
      </c>
      <c r="O828" s="1" t="s">
        <v>25</v>
      </c>
      <c r="P828" s="1" t="s">
        <v>36</v>
      </c>
    </row>
    <row r="829" spans="1:16" x14ac:dyDescent="0.25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>
        <v>17</v>
      </c>
      <c r="J829" s="3">
        <v>9033.9599999999991</v>
      </c>
      <c r="K829" s="2">
        <v>0.15</v>
      </c>
      <c r="L829" s="3">
        <v>153346.95000000001</v>
      </c>
      <c r="M829">
        <v>46368</v>
      </c>
      <c r="N829" s="1" t="s">
        <v>58</v>
      </c>
      <c r="O829" s="1" t="s">
        <v>35</v>
      </c>
      <c r="P829" s="1" t="s">
        <v>26</v>
      </c>
    </row>
    <row r="830" spans="1:16" x14ac:dyDescent="0.25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>
        <v>49</v>
      </c>
      <c r="J830" s="3">
        <v>3833.75</v>
      </c>
      <c r="K830" s="2">
        <v>10.94</v>
      </c>
      <c r="L830" s="3">
        <v>167302.54999999999</v>
      </c>
      <c r="M830">
        <v>46257</v>
      </c>
      <c r="N830" s="1" t="s">
        <v>58</v>
      </c>
      <c r="O830" s="1" t="s">
        <v>35</v>
      </c>
      <c r="P830" s="1" t="s">
        <v>53</v>
      </c>
    </row>
    <row r="831" spans="1:16" x14ac:dyDescent="0.25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>
        <v>6</v>
      </c>
      <c r="J831" s="3">
        <v>2846.87</v>
      </c>
      <c r="K831" s="2">
        <v>14.66</v>
      </c>
      <c r="L831" s="3">
        <v>14577.11</v>
      </c>
      <c r="M831">
        <v>46320</v>
      </c>
      <c r="N831" s="1" t="s">
        <v>113</v>
      </c>
      <c r="O831" s="1" t="s">
        <v>25</v>
      </c>
      <c r="P831" s="1" t="s">
        <v>26</v>
      </c>
    </row>
    <row r="832" spans="1:16" x14ac:dyDescent="0.25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>
        <v>6</v>
      </c>
      <c r="J832" s="3">
        <v>23821.21</v>
      </c>
      <c r="K832" s="2">
        <v>11.99</v>
      </c>
      <c r="L832" s="3">
        <v>125790.28</v>
      </c>
      <c r="M832">
        <v>46264</v>
      </c>
      <c r="N832" s="1" t="s">
        <v>113</v>
      </c>
      <c r="O832" s="1" t="s">
        <v>35</v>
      </c>
      <c r="P832" s="1" t="s">
        <v>53</v>
      </c>
    </row>
    <row r="833" spans="1:16" x14ac:dyDescent="0.25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>
        <v>6</v>
      </c>
      <c r="J833" s="3">
        <v>5329.18</v>
      </c>
      <c r="K833" s="2">
        <v>15.78</v>
      </c>
      <c r="L833" s="3">
        <v>26929.41</v>
      </c>
      <c r="M833">
        <v>46371</v>
      </c>
      <c r="N833" s="1" t="s">
        <v>24</v>
      </c>
      <c r="O833" s="1" t="s">
        <v>35</v>
      </c>
      <c r="P833" s="1" t="s">
        <v>36</v>
      </c>
    </row>
    <row r="834" spans="1:16" x14ac:dyDescent="0.25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>
        <v>34</v>
      </c>
      <c r="J834" s="3">
        <v>41645.25</v>
      </c>
      <c r="K834" s="2">
        <v>3.25</v>
      </c>
      <c r="L834" s="3">
        <v>1369920.5</v>
      </c>
      <c r="M834">
        <v>46196</v>
      </c>
      <c r="N834" s="1" t="s">
        <v>58</v>
      </c>
      <c r="O834" s="1" t="s">
        <v>59</v>
      </c>
      <c r="P834" s="1" t="s">
        <v>26</v>
      </c>
    </row>
    <row r="835" spans="1:16" x14ac:dyDescent="0.25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>
        <v>5</v>
      </c>
      <c r="J835" s="3">
        <v>27553.72</v>
      </c>
      <c r="K835" s="2">
        <v>16.36</v>
      </c>
      <c r="L835" s="3">
        <v>115229.66</v>
      </c>
      <c r="M835">
        <v>46118</v>
      </c>
      <c r="N835" s="1" t="s">
        <v>113</v>
      </c>
      <c r="O835" s="1" t="s">
        <v>35</v>
      </c>
      <c r="P835" s="1" t="s">
        <v>53</v>
      </c>
    </row>
    <row r="836" spans="1:16" x14ac:dyDescent="0.25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>
        <v>47</v>
      </c>
      <c r="J836" s="3">
        <v>47157.73</v>
      </c>
      <c r="K836" s="2">
        <v>5.59</v>
      </c>
      <c r="L836" s="3">
        <v>2092515.81</v>
      </c>
      <c r="M836">
        <v>46266</v>
      </c>
      <c r="N836" s="1" t="s">
        <v>113</v>
      </c>
      <c r="O836" s="1" t="s">
        <v>35</v>
      </c>
      <c r="P836" s="1" t="s">
        <v>53</v>
      </c>
    </row>
    <row r="837" spans="1:16" x14ac:dyDescent="0.25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>
        <v>45</v>
      </c>
      <c r="J837" s="3">
        <v>32597.9</v>
      </c>
      <c r="K837" s="2">
        <v>11.61</v>
      </c>
      <c r="L837" s="3">
        <v>1296597.77</v>
      </c>
      <c r="M837">
        <v>46302</v>
      </c>
      <c r="N837" s="1" t="s">
        <v>113</v>
      </c>
      <c r="O837" s="1" t="s">
        <v>35</v>
      </c>
      <c r="P837" s="1" t="s">
        <v>53</v>
      </c>
    </row>
    <row r="838" spans="1:16" x14ac:dyDescent="0.25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>
        <v>46</v>
      </c>
      <c r="J838" s="3">
        <v>19488.87</v>
      </c>
      <c r="K838" s="2">
        <v>10.220000000000001</v>
      </c>
      <c r="L838" s="3">
        <v>804866.94</v>
      </c>
      <c r="M838">
        <v>46083</v>
      </c>
      <c r="N838" s="1" t="s">
        <v>68</v>
      </c>
      <c r="O838" s="1" t="s">
        <v>25</v>
      </c>
      <c r="P838" s="1" t="s">
        <v>53</v>
      </c>
    </row>
    <row r="839" spans="1:16" x14ac:dyDescent="0.25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>
        <v>45</v>
      </c>
      <c r="J839" s="3">
        <v>24028.57</v>
      </c>
      <c r="K839" s="2">
        <v>5.3</v>
      </c>
      <c r="L839" s="3">
        <v>1023977.51</v>
      </c>
      <c r="M839">
        <v>46249</v>
      </c>
      <c r="N839" s="1" t="s">
        <v>113</v>
      </c>
      <c r="O839" s="1" t="s">
        <v>35</v>
      </c>
      <c r="P839" s="1" t="s">
        <v>53</v>
      </c>
    </row>
    <row r="840" spans="1:16" x14ac:dyDescent="0.25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>
        <v>1</v>
      </c>
      <c r="J840" s="3">
        <v>39662.42</v>
      </c>
      <c r="K840" s="2">
        <v>19</v>
      </c>
      <c r="L840" s="3">
        <v>32126.560000000001</v>
      </c>
      <c r="M840">
        <v>46275</v>
      </c>
      <c r="N840" s="1" t="s">
        <v>113</v>
      </c>
      <c r="O840" s="1" t="s">
        <v>35</v>
      </c>
      <c r="P840" s="1" t="s">
        <v>53</v>
      </c>
    </row>
    <row r="841" spans="1:16" x14ac:dyDescent="0.25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>
        <v>24</v>
      </c>
      <c r="J841" s="3">
        <v>22461.87</v>
      </c>
      <c r="K841" s="2">
        <v>16.649999999999999</v>
      </c>
      <c r="L841" s="3">
        <v>449327.25</v>
      </c>
      <c r="M841">
        <v>46063</v>
      </c>
      <c r="N841" s="1" t="s">
        <v>24</v>
      </c>
      <c r="O841" s="1" t="s">
        <v>35</v>
      </c>
      <c r="P841" s="1" t="s">
        <v>53</v>
      </c>
    </row>
    <row r="842" spans="1:16" x14ac:dyDescent="0.25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>
        <v>29</v>
      </c>
      <c r="J842" s="3">
        <v>41152.94</v>
      </c>
      <c r="K842" s="2">
        <v>8.08</v>
      </c>
      <c r="L842" s="3">
        <v>1097005.69</v>
      </c>
      <c r="M842">
        <v>46077</v>
      </c>
      <c r="N842" s="1" t="s">
        <v>45</v>
      </c>
      <c r="O842" s="1" t="s">
        <v>35</v>
      </c>
      <c r="P842" s="1" t="s">
        <v>26</v>
      </c>
    </row>
    <row r="843" spans="1:16" x14ac:dyDescent="0.25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>
        <v>47</v>
      </c>
      <c r="J843" s="3">
        <v>21967.439999999999</v>
      </c>
      <c r="K843" s="2">
        <v>4.82</v>
      </c>
      <c r="L843" s="3">
        <v>982704.64000000001</v>
      </c>
      <c r="M843">
        <v>46248</v>
      </c>
      <c r="N843" s="1" t="s">
        <v>113</v>
      </c>
      <c r="O843" s="1" t="s">
        <v>35</v>
      </c>
      <c r="P843" s="1" t="s">
        <v>53</v>
      </c>
    </row>
    <row r="844" spans="1:16" x14ac:dyDescent="0.25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>
        <v>27</v>
      </c>
      <c r="J844" s="3">
        <v>30591.040000000001</v>
      </c>
      <c r="K844" s="2">
        <v>14.91</v>
      </c>
      <c r="L844" s="3">
        <v>702807.73</v>
      </c>
      <c r="M844">
        <v>46214</v>
      </c>
      <c r="N844" s="1" t="s">
        <v>45</v>
      </c>
      <c r="O844" s="1" t="s">
        <v>35</v>
      </c>
      <c r="P844" s="1" t="s">
        <v>36</v>
      </c>
    </row>
    <row r="845" spans="1:16" x14ac:dyDescent="0.25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>
        <v>34</v>
      </c>
      <c r="J845" s="3">
        <v>17463.060000000001</v>
      </c>
      <c r="K845" s="2">
        <v>18.079999999999998</v>
      </c>
      <c r="L845" s="3">
        <v>486395.12</v>
      </c>
      <c r="M845">
        <v>46101</v>
      </c>
      <c r="N845" s="1" t="s">
        <v>45</v>
      </c>
      <c r="O845" s="1" t="s">
        <v>35</v>
      </c>
      <c r="P845" s="1" t="s">
        <v>36</v>
      </c>
    </row>
    <row r="846" spans="1:16" x14ac:dyDescent="0.25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>
        <v>28</v>
      </c>
      <c r="J846" s="3">
        <v>22482.62</v>
      </c>
      <c r="K846" s="2">
        <v>6.75</v>
      </c>
      <c r="L846" s="3">
        <v>587021.21</v>
      </c>
      <c r="M846">
        <v>46356</v>
      </c>
      <c r="N846" s="1" t="s">
        <v>24</v>
      </c>
      <c r="O846" s="1" t="s">
        <v>35</v>
      </c>
      <c r="P846" s="1" t="s">
        <v>53</v>
      </c>
    </row>
    <row r="847" spans="1:16" x14ac:dyDescent="0.25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>
        <v>22</v>
      </c>
      <c r="J847" s="3">
        <v>24318.720000000001</v>
      </c>
      <c r="K847" s="2">
        <v>6.09</v>
      </c>
      <c r="L847" s="3">
        <v>502429.62</v>
      </c>
      <c r="M847">
        <v>46207</v>
      </c>
      <c r="N847" s="1" t="s">
        <v>24</v>
      </c>
      <c r="O847" s="1" t="s">
        <v>59</v>
      </c>
      <c r="P847" s="1" t="s">
        <v>36</v>
      </c>
    </row>
    <row r="848" spans="1:16" x14ac:dyDescent="0.25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>
        <v>14</v>
      </c>
      <c r="J848" s="3">
        <v>29189.13</v>
      </c>
      <c r="K848" s="2">
        <v>17.89</v>
      </c>
      <c r="L848" s="3">
        <v>335540.73</v>
      </c>
      <c r="M848">
        <v>46378</v>
      </c>
      <c r="N848" s="1" t="s">
        <v>45</v>
      </c>
      <c r="O848" s="1" t="s">
        <v>25</v>
      </c>
      <c r="P848" s="1" t="s">
        <v>26</v>
      </c>
    </row>
    <row r="849" spans="1:16" x14ac:dyDescent="0.25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>
        <v>18</v>
      </c>
      <c r="J849" s="3">
        <v>15726.12</v>
      </c>
      <c r="K849" s="2">
        <v>5.72</v>
      </c>
      <c r="L849" s="3">
        <v>266878.55</v>
      </c>
      <c r="M849">
        <v>46269</v>
      </c>
      <c r="N849" s="1" t="s">
        <v>24</v>
      </c>
      <c r="O849" s="1" t="s">
        <v>35</v>
      </c>
      <c r="P849" s="1" t="s">
        <v>26</v>
      </c>
    </row>
    <row r="850" spans="1:16" x14ac:dyDescent="0.25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>
        <v>10</v>
      </c>
      <c r="J850" s="3">
        <v>6350.2</v>
      </c>
      <c r="K850" s="2">
        <v>0.69</v>
      </c>
      <c r="L850" s="3">
        <v>63063.839999999997</v>
      </c>
      <c r="M850">
        <v>46221</v>
      </c>
      <c r="N850" s="1" t="s">
        <v>68</v>
      </c>
      <c r="O850" s="1" t="s">
        <v>35</v>
      </c>
      <c r="P850" s="1" t="s">
        <v>53</v>
      </c>
    </row>
    <row r="851" spans="1:16" x14ac:dyDescent="0.25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>
        <v>50</v>
      </c>
      <c r="J851" s="3">
        <v>36803.81</v>
      </c>
      <c r="K851" s="2">
        <v>1.81</v>
      </c>
      <c r="L851" s="3">
        <v>1806883.05</v>
      </c>
      <c r="M851">
        <v>46048</v>
      </c>
      <c r="N851" s="1" t="s">
        <v>58</v>
      </c>
      <c r="O851" s="1" t="s">
        <v>25</v>
      </c>
      <c r="P851" s="1" t="s">
        <v>26</v>
      </c>
    </row>
    <row r="852" spans="1:16" x14ac:dyDescent="0.25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>
        <v>48</v>
      </c>
      <c r="J852" s="3">
        <v>39610.080000000002</v>
      </c>
      <c r="K852" s="2">
        <v>10.27</v>
      </c>
      <c r="L852" s="3">
        <v>1706021.99</v>
      </c>
      <c r="M852">
        <v>46140</v>
      </c>
      <c r="N852" s="1" t="s">
        <v>24</v>
      </c>
      <c r="O852" s="1" t="s">
        <v>35</v>
      </c>
      <c r="P852" s="1" t="s">
        <v>53</v>
      </c>
    </row>
    <row r="853" spans="1:16" x14ac:dyDescent="0.25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>
        <v>38</v>
      </c>
      <c r="J853" s="3">
        <v>37731.370000000003</v>
      </c>
      <c r="K853" s="2">
        <v>5.65</v>
      </c>
      <c r="L853" s="3">
        <v>1352782.81</v>
      </c>
      <c r="M853">
        <v>46313</v>
      </c>
      <c r="N853" s="1" t="s">
        <v>68</v>
      </c>
      <c r="O853" s="1" t="s">
        <v>35</v>
      </c>
      <c r="P853" s="1" t="s">
        <v>26</v>
      </c>
    </row>
    <row r="854" spans="1:16" x14ac:dyDescent="0.25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>
        <v>30</v>
      </c>
      <c r="J854" s="3">
        <v>38829.660000000003</v>
      </c>
      <c r="K854" s="2">
        <v>3.92</v>
      </c>
      <c r="L854" s="3">
        <v>1119226.1200000001</v>
      </c>
      <c r="M854">
        <v>46142</v>
      </c>
      <c r="N854" s="1" t="s">
        <v>68</v>
      </c>
      <c r="O854" s="1" t="s">
        <v>35</v>
      </c>
      <c r="P854" s="1" t="s">
        <v>36</v>
      </c>
    </row>
    <row r="855" spans="1:16" x14ac:dyDescent="0.25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>
        <v>11</v>
      </c>
      <c r="J855" s="3">
        <v>10884.25</v>
      </c>
      <c r="K855" s="2">
        <v>7.93</v>
      </c>
      <c r="L855" s="3">
        <v>110232.42</v>
      </c>
      <c r="M855">
        <v>46291</v>
      </c>
      <c r="N855" s="1" t="s">
        <v>45</v>
      </c>
      <c r="O855" s="1" t="s">
        <v>35</v>
      </c>
      <c r="P855" s="1" t="s">
        <v>26</v>
      </c>
    </row>
    <row r="856" spans="1:16" x14ac:dyDescent="0.25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>
        <v>44</v>
      </c>
      <c r="J856" s="3">
        <v>27592.74</v>
      </c>
      <c r="K856" s="2">
        <v>18.100000000000001</v>
      </c>
      <c r="L856" s="3">
        <v>994331.98</v>
      </c>
      <c r="M856">
        <v>46210</v>
      </c>
      <c r="N856" s="1" t="s">
        <v>45</v>
      </c>
      <c r="O856" s="1" t="s">
        <v>35</v>
      </c>
      <c r="P856" s="1" t="s">
        <v>53</v>
      </c>
    </row>
    <row r="857" spans="1:16" x14ac:dyDescent="0.25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>
        <v>5</v>
      </c>
      <c r="J857" s="3">
        <v>1119.19</v>
      </c>
      <c r="K857" s="2">
        <v>16.98</v>
      </c>
      <c r="L857" s="3">
        <v>4645.76</v>
      </c>
      <c r="M857">
        <v>46209</v>
      </c>
      <c r="N857" s="1" t="s">
        <v>58</v>
      </c>
      <c r="O857" s="1" t="s">
        <v>35</v>
      </c>
      <c r="P857" s="1" t="s">
        <v>53</v>
      </c>
    </row>
    <row r="858" spans="1:16" x14ac:dyDescent="0.25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>
        <v>1</v>
      </c>
      <c r="J858" s="3">
        <v>12435.02</v>
      </c>
      <c r="K858" s="2">
        <v>18.09</v>
      </c>
      <c r="L858" s="3">
        <v>10185.52</v>
      </c>
      <c r="M858">
        <v>46029</v>
      </c>
      <c r="N858" s="1" t="s">
        <v>58</v>
      </c>
      <c r="O858" s="1" t="s">
        <v>35</v>
      </c>
      <c r="P858" s="1" t="s">
        <v>26</v>
      </c>
    </row>
    <row r="859" spans="1:16" x14ac:dyDescent="0.25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>
        <v>36</v>
      </c>
      <c r="J859" s="3">
        <v>29734.45</v>
      </c>
      <c r="K859" s="2">
        <v>10.39</v>
      </c>
      <c r="L859" s="3">
        <v>959221.46</v>
      </c>
      <c r="M859">
        <v>46283</v>
      </c>
      <c r="N859" s="1" t="s">
        <v>113</v>
      </c>
      <c r="O859" s="1" t="s">
        <v>35</v>
      </c>
      <c r="P859" s="1" t="s">
        <v>26</v>
      </c>
    </row>
    <row r="860" spans="1:16" x14ac:dyDescent="0.25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>
        <v>36</v>
      </c>
      <c r="J860" s="3">
        <v>15219.92</v>
      </c>
      <c r="K860" s="2">
        <v>9.33</v>
      </c>
      <c r="L860" s="3">
        <v>496796.45</v>
      </c>
      <c r="M860">
        <v>46023</v>
      </c>
      <c r="N860" s="1" t="s">
        <v>68</v>
      </c>
      <c r="O860" s="1" t="s">
        <v>25</v>
      </c>
      <c r="P860" s="1" t="s">
        <v>36</v>
      </c>
    </row>
    <row r="861" spans="1:16" x14ac:dyDescent="0.25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>
        <v>28</v>
      </c>
      <c r="J861" s="3">
        <v>37245.43</v>
      </c>
      <c r="K861" s="2">
        <v>0.13</v>
      </c>
      <c r="L861" s="3">
        <v>1041516.31</v>
      </c>
      <c r="M861">
        <v>46352</v>
      </c>
      <c r="N861" s="1" t="s">
        <v>68</v>
      </c>
      <c r="O861" s="1" t="s">
        <v>35</v>
      </c>
      <c r="P861" s="1" t="s">
        <v>26</v>
      </c>
    </row>
    <row r="862" spans="1:16" x14ac:dyDescent="0.25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>
        <v>42</v>
      </c>
      <c r="J862" s="3">
        <v>10671.55</v>
      </c>
      <c r="K862" s="2">
        <v>2.58</v>
      </c>
      <c r="L862" s="3">
        <v>436641.41</v>
      </c>
      <c r="M862">
        <v>46287</v>
      </c>
      <c r="N862" s="1" t="s">
        <v>113</v>
      </c>
      <c r="O862" s="1" t="s">
        <v>35</v>
      </c>
      <c r="P862" s="1" t="s">
        <v>36</v>
      </c>
    </row>
    <row r="863" spans="1:16" x14ac:dyDescent="0.25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>
        <v>33</v>
      </c>
      <c r="J863" s="3">
        <v>17565.669999999998</v>
      </c>
      <c r="K863" s="2">
        <v>9.76</v>
      </c>
      <c r="L863" s="3">
        <v>523091.6</v>
      </c>
      <c r="M863">
        <v>46243</v>
      </c>
      <c r="N863" s="1" t="s">
        <v>113</v>
      </c>
      <c r="O863" s="1" t="s">
        <v>35</v>
      </c>
      <c r="P863" s="1" t="s">
        <v>53</v>
      </c>
    </row>
    <row r="864" spans="1:16" x14ac:dyDescent="0.25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>
        <v>29</v>
      </c>
      <c r="J864" s="3">
        <v>16136.15</v>
      </c>
      <c r="K864" s="2">
        <v>8.85</v>
      </c>
      <c r="L864" s="3">
        <v>426534.92</v>
      </c>
      <c r="M864">
        <v>46362</v>
      </c>
      <c r="N864" s="1" t="s">
        <v>113</v>
      </c>
      <c r="O864" s="1" t="s">
        <v>35</v>
      </c>
      <c r="P864" s="1" t="s">
        <v>26</v>
      </c>
    </row>
    <row r="865" spans="1:16" x14ac:dyDescent="0.25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>
        <v>29</v>
      </c>
      <c r="J865" s="3">
        <v>17933.98</v>
      </c>
      <c r="K865" s="2">
        <v>4.59</v>
      </c>
      <c r="L865" s="3">
        <v>496213.5</v>
      </c>
      <c r="M865">
        <v>46171</v>
      </c>
      <c r="N865" s="1" t="s">
        <v>58</v>
      </c>
      <c r="O865" s="1" t="s">
        <v>35</v>
      </c>
      <c r="P865" s="1" t="s">
        <v>53</v>
      </c>
    </row>
    <row r="866" spans="1:16" x14ac:dyDescent="0.25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>
        <v>25</v>
      </c>
      <c r="J866" s="3">
        <v>48236.19</v>
      </c>
      <c r="K866" s="2">
        <v>11.12</v>
      </c>
      <c r="L866" s="3">
        <v>1071808.1399999999</v>
      </c>
      <c r="M866">
        <v>46068</v>
      </c>
      <c r="N866" s="1" t="s">
        <v>58</v>
      </c>
      <c r="O866" s="1" t="s">
        <v>35</v>
      </c>
      <c r="P866" s="1" t="s">
        <v>26</v>
      </c>
    </row>
    <row r="867" spans="1:16" x14ac:dyDescent="0.25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>
        <v>42</v>
      </c>
      <c r="J867" s="3">
        <v>31903.68</v>
      </c>
      <c r="K867" s="2">
        <v>17.440000000000001</v>
      </c>
      <c r="L867" s="3">
        <v>1106266.48</v>
      </c>
      <c r="M867">
        <v>46215</v>
      </c>
      <c r="N867" s="1" t="s">
        <v>113</v>
      </c>
      <c r="O867" s="1" t="s">
        <v>35</v>
      </c>
      <c r="P867" s="1" t="s">
        <v>36</v>
      </c>
    </row>
    <row r="868" spans="1:16" x14ac:dyDescent="0.25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>
        <v>19</v>
      </c>
      <c r="J868" s="3">
        <v>40015.64</v>
      </c>
      <c r="K868" s="2">
        <v>10.32</v>
      </c>
      <c r="L868" s="3">
        <v>681834.49</v>
      </c>
      <c r="M868">
        <v>46386</v>
      </c>
      <c r="N868" s="1" t="s">
        <v>68</v>
      </c>
      <c r="O868" s="1" t="s">
        <v>35</v>
      </c>
      <c r="P868" s="1" t="s">
        <v>53</v>
      </c>
    </row>
    <row r="869" spans="1:16" x14ac:dyDescent="0.25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>
        <v>33</v>
      </c>
      <c r="J869" s="3">
        <v>33583.269999999997</v>
      </c>
      <c r="K869" s="2">
        <v>16.46</v>
      </c>
      <c r="L869" s="3">
        <v>925830.3</v>
      </c>
      <c r="M869">
        <v>46155</v>
      </c>
      <c r="N869" s="1" t="s">
        <v>24</v>
      </c>
      <c r="O869" s="1" t="s">
        <v>35</v>
      </c>
      <c r="P869" s="1" t="s">
        <v>53</v>
      </c>
    </row>
    <row r="870" spans="1:16" x14ac:dyDescent="0.25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>
        <v>48</v>
      </c>
      <c r="J870" s="3">
        <v>39773.839999999997</v>
      </c>
      <c r="K870" s="2">
        <v>12.23</v>
      </c>
      <c r="L870" s="3">
        <v>1675655.97</v>
      </c>
      <c r="M870">
        <v>46036</v>
      </c>
      <c r="N870" s="1" t="s">
        <v>45</v>
      </c>
      <c r="O870" s="1" t="s">
        <v>25</v>
      </c>
      <c r="P870" s="1" t="s">
        <v>26</v>
      </c>
    </row>
    <row r="871" spans="1:16" x14ac:dyDescent="0.25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>
        <v>11</v>
      </c>
      <c r="J871" s="3">
        <v>926.68</v>
      </c>
      <c r="K871" s="2">
        <v>7.02</v>
      </c>
      <c r="L871" s="3">
        <v>9477.9</v>
      </c>
      <c r="M871">
        <v>46089</v>
      </c>
      <c r="N871" s="1" t="s">
        <v>68</v>
      </c>
      <c r="O871" s="1" t="s">
        <v>35</v>
      </c>
      <c r="P871" s="1" t="s">
        <v>53</v>
      </c>
    </row>
    <row r="872" spans="1:16" x14ac:dyDescent="0.25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>
        <v>6</v>
      </c>
      <c r="J872" s="3">
        <v>8823.42</v>
      </c>
      <c r="K872" s="2">
        <v>15.2</v>
      </c>
      <c r="L872" s="3">
        <v>44893.56</v>
      </c>
      <c r="M872">
        <v>46360</v>
      </c>
      <c r="N872" s="1" t="s">
        <v>45</v>
      </c>
      <c r="O872" s="1" t="s">
        <v>35</v>
      </c>
      <c r="P872" s="1" t="s">
        <v>26</v>
      </c>
    </row>
    <row r="873" spans="1:16" x14ac:dyDescent="0.25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>
        <v>17</v>
      </c>
      <c r="J873" s="3">
        <v>26276.05</v>
      </c>
      <c r="K873" s="2">
        <v>10.32</v>
      </c>
      <c r="L873" s="3">
        <v>400594.15</v>
      </c>
      <c r="M873">
        <v>46305</v>
      </c>
      <c r="N873" s="1" t="s">
        <v>113</v>
      </c>
      <c r="O873" s="1" t="s">
        <v>35</v>
      </c>
      <c r="P873" s="1" t="s">
        <v>53</v>
      </c>
    </row>
    <row r="874" spans="1:16" x14ac:dyDescent="0.25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>
        <v>44</v>
      </c>
      <c r="J874" s="3">
        <v>22050.94</v>
      </c>
      <c r="K874" s="2">
        <v>8.76</v>
      </c>
      <c r="L874" s="3">
        <v>885248.22</v>
      </c>
      <c r="M874">
        <v>46278</v>
      </c>
      <c r="N874" s="1" t="s">
        <v>24</v>
      </c>
      <c r="O874" s="1" t="s">
        <v>35</v>
      </c>
      <c r="P874" s="1" t="s">
        <v>53</v>
      </c>
    </row>
    <row r="875" spans="1:16" x14ac:dyDescent="0.25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>
        <v>42</v>
      </c>
      <c r="J875" s="3">
        <v>7557.88</v>
      </c>
      <c r="K875" s="2">
        <v>13.33</v>
      </c>
      <c r="L875" s="3">
        <v>275117.40999999997</v>
      </c>
      <c r="M875">
        <v>46200</v>
      </c>
      <c r="N875" s="1" t="s">
        <v>24</v>
      </c>
      <c r="O875" s="1" t="s">
        <v>35</v>
      </c>
      <c r="P875" s="1" t="s">
        <v>26</v>
      </c>
    </row>
    <row r="876" spans="1:16" x14ac:dyDescent="0.25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>
        <v>49</v>
      </c>
      <c r="J876" s="3">
        <v>43941.18</v>
      </c>
      <c r="K876" s="2">
        <v>19.05</v>
      </c>
      <c r="L876" s="3">
        <v>1742948.88</v>
      </c>
      <c r="M876">
        <v>46175</v>
      </c>
      <c r="N876" s="1" t="s">
        <v>68</v>
      </c>
      <c r="O876" s="1" t="s">
        <v>35</v>
      </c>
      <c r="P876" s="1" t="s">
        <v>36</v>
      </c>
    </row>
    <row r="877" spans="1:16" x14ac:dyDescent="0.25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>
        <v>46</v>
      </c>
      <c r="J877" s="3">
        <v>37264.550000000003</v>
      </c>
      <c r="K877" s="2">
        <v>6.06</v>
      </c>
      <c r="L877" s="3">
        <v>1610290.64</v>
      </c>
      <c r="M877">
        <v>46084</v>
      </c>
      <c r="N877" s="1" t="s">
        <v>113</v>
      </c>
      <c r="O877" s="1" t="s">
        <v>35</v>
      </c>
      <c r="P877" s="1" t="s">
        <v>53</v>
      </c>
    </row>
    <row r="878" spans="1:16" x14ac:dyDescent="0.25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>
        <v>50</v>
      </c>
      <c r="J878" s="3">
        <v>38846.68</v>
      </c>
      <c r="K878" s="2">
        <v>14.28</v>
      </c>
      <c r="L878" s="3">
        <v>1664968.7</v>
      </c>
      <c r="M878">
        <v>46154</v>
      </c>
      <c r="N878" s="1" t="s">
        <v>68</v>
      </c>
      <c r="O878" s="1" t="s">
        <v>35</v>
      </c>
      <c r="P878" s="1" t="s">
        <v>36</v>
      </c>
    </row>
    <row r="879" spans="1:16" x14ac:dyDescent="0.25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>
        <v>35</v>
      </c>
      <c r="J879" s="3">
        <v>34604.980000000003</v>
      </c>
      <c r="K879" s="2">
        <v>8.56</v>
      </c>
      <c r="L879" s="3">
        <v>1107497.78</v>
      </c>
      <c r="M879">
        <v>46273</v>
      </c>
      <c r="N879" s="1" t="s">
        <v>58</v>
      </c>
      <c r="O879" s="1" t="s">
        <v>35</v>
      </c>
      <c r="P879" s="1" t="s">
        <v>53</v>
      </c>
    </row>
    <row r="880" spans="1:16" x14ac:dyDescent="0.25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>
        <v>25</v>
      </c>
      <c r="J880" s="3">
        <v>17731.080000000002</v>
      </c>
      <c r="K880" s="2">
        <v>8.56</v>
      </c>
      <c r="L880" s="3">
        <v>405332.49</v>
      </c>
      <c r="M880">
        <v>46219</v>
      </c>
      <c r="N880" s="1" t="s">
        <v>24</v>
      </c>
      <c r="O880" s="1" t="s">
        <v>35</v>
      </c>
      <c r="P880" s="1" t="s">
        <v>36</v>
      </c>
    </row>
    <row r="881" spans="1:16" x14ac:dyDescent="0.25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>
        <v>44</v>
      </c>
      <c r="J881" s="3">
        <v>9708.99</v>
      </c>
      <c r="K881" s="2">
        <v>1.86</v>
      </c>
      <c r="L881" s="3">
        <v>419249.72</v>
      </c>
      <c r="M881">
        <v>46355</v>
      </c>
      <c r="N881" s="1" t="s">
        <v>113</v>
      </c>
      <c r="O881" s="1" t="s">
        <v>25</v>
      </c>
      <c r="P881" s="1" t="s">
        <v>26</v>
      </c>
    </row>
    <row r="882" spans="1:16" x14ac:dyDescent="0.25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>
        <v>49</v>
      </c>
      <c r="J882" s="3">
        <v>19139.93</v>
      </c>
      <c r="K882" s="2">
        <v>2.67</v>
      </c>
      <c r="L882" s="3">
        <v>912815.8</v>
      </c>
      <c r="M882">
        <v>46127</v>
      </c>
      <c r="N882" s="1" t="s">
        <v>68</v>
      </c>
      <c r="O882" s="1" t="s">
        <v>35</v>
      </c>
      <c r="P882" s="1" t="s">
        <v>26</v>
      </c>
    </row>
    <row r="883" spans="1:16" x14ac:dyDescent="0.25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>
        <v>30</v>
      </c>
      <c r="J883" s="3">
        <v>23996.91</v>
      </c>
      <c r="K883" s="2">
        <v>3.88</v>
      </c>
      <c r="L883" s="3">
        <v>691974.9</v>
      </c>
      <c r="M883">
        <v>46128</v>
      </c>
      <c r="N883" s="1" t="s">
        <v>68</v>
      </c>
      <c r="O883" s="1" t="s">
        <v>35</v>
      </c>
      <c r="P883" s="1" t="s">
        <v>36</v>
      </c>
    </row>
    <row r="884" spans="1:16" x14ac:dyDescent="0.25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>
        <v>1</v>
      </c>
      <c r="J884" s="3">
        <v>14377.26</v>
      </c>
      <c r="K884" s="2">
        <v>4.08</v>
      </c>
      <c r="L884" s="3">
        <v>13790.67</v>
      </c>
      <c r="M884">
        <v>46225</v>
      </c>
      <c r="N884" s="1" t="s">
        <v>113</v>
      </c>
      <c r="O884" s="1" t="s">
        <v>35</v>
      </c>
      <c r="P884" s="1" t="s">
        <v>53</v>
      </c>
    </row>
    <row r="885" spans="1:16" x14ac:dyDescent="0.25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>
        <v>46</v>
      </c>
      <c r="J885" s="3">
        <v>36378.86</v>
      </c>
      <c r="K885" s="2">
        <v>4.1399999999999997</v>
      </c>
      <c r="L885" s="3">
        <v>1604147.66</v>
      </c>
      <c r="M885">
        <v>46118</v>
      </c>
      <c r="N885" s="1" t="s">
        <v>24</v>
      </c>
      <c r="O885" s="1" t="s">
        <v>35</v>
      </c>
      <c r="P885" s="1" t="s">
        <v>36</v>
      </c>
    </row>
    <row r="886" spans="1:16" x14ac:dyDescent="0.25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>
        <v>8</v>
      </c>
      <c r="J886" s="3">
        <v>17086.63</v>
      </c>
      <c r="K886" s="2">
        <v>2.4</v>
      </c>
      <c r="L886" s="3">
        <v>133412.41</v>
      </c>
      <c r="M886">
        <v>46370</v>
      </c>
      <c r="N886" s="1" t="s">
        <v>113</v>
      </c>
      <c r="O886" s="1" t="s">
        <v>35</v>
      </c>
      <c r="P886" s="1" t="s">
        <v>36</v>
      </c>
    </row>
    <row r="887" spans="1:16" x14ac:dyDescent="0.25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>
        <v>45</v>
      </c>
      <c r="J887" s="3">
        <v>5260.41</v>
      </c>
      <c r="K887" s="2">
        <v>5.18</v>
      </c>
      <c r="L887" s="3">
        <v>224456.43</v>
      </c>
      <c r="M887">
        <v>46282</v>
      </c>
      <c r="N887" s="1" t="s">
        <v>58</v>
      </c>
      <c r="O887" s="1" t="s">
        <v>35</v>
      </c>
      <c r="P887" s="1" t="s">
        <v>26</v>
      </c>
    </row>
    <row r="888" spans="1:16" x14ac:dyDescent="0.25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>
        <v>23</v>
      </c>
      <c r="J888" s="3">
        <v>545.80999999999995</v>
      </c>
      <c r="K888" s="2">
        <v>6.65</v>
      </c>
      <c r="L888" s="3">
        <v>11718.81</v>
      </c>
      <c r="M888">
        <v>46299</v>
      </c>
      <c r="N888" s="1" t="s">
        <v>24</v>
      </c>
      <c r="O888" s="1" t="s">
        <v>35</v>
      </c>
      <c r="P888" s="1" t="s">
        <v>53</v>
      </c>
    </row>
    <row r="889" spans="1:16" x14ac:dyDescent="0.25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>
        <v>46</v>
      </c>
      <c r="J889" s="3">
        <v>28771.37</v>
      </c>
      <c r="K889" s="2">
        <v>8.4499999999999993</v>
      </c>
      <c r="L889" s="3">
        <v>1211648.7</v>
      </c>
      <c r="M889">
        <v>46225</v>
      </c>
      <c r="N889" s="1" t="s">
        <v>58</v>
      </c>
      <c r="O889" s="1" t="s">
        <v>35</v>
      </c>
      <c r="P889" s="1" t="s">
        <v>26</v>
      </c>
    </row>
    <row r="890" spans="1:16" x14ac:dyDescent="0.25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>
        <v>48</v>
      </c>
      <c r="J890" s="3">
        <v>32057.919999999998</v>
      </c>
      <c r="K890" s="2">
        <v>11.9</v>
      </c>
      <c r="L890" s="3">
        <v>1355665.32</v>
      </c>
      <c r="M890">
        <v>46182</v>
      </c>
      <c r="N890" s="1" t="s">
        <v>113</v>
      </c>
      <c r="O890" s="1" t="s">
        <v>35</v>
      </c>
      <c r="P890" s="1" t="s">
        <v>36</v>
      </c>
    </row>
    <row r="891" spans="1:16" x14ac:dyDescent="0.25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>
        <v>35</v>
      </c>
      <c r="J891" s="3">
        <v>20640.52</v>
      </c>
      <c r="K891" s="2">
        <v>0.67</v>
      </c>
      <c r="L891" s="3">
        <v>717578</v>
      </c>
      <c r="M891">
        <v>46294</v>
      </c>
      <c r="N891" s="1" t="s">
        <v>113</v>
      </c>
      <c r="O891" s="1" t="s">
        <v>35</v>
      </c>
      <c r="P891" s="1" t="s">
        <v>53</v>
      </c>
    </row>
    <row r="892" spans="1:16" x14ac:dyDescent="0.25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>
        <v>22</v>
      </c>
      <c r="J892" s="3">
        <v>23106.080000000002</v>
      </c>
      <c r="K892" s="2">
        <v>12.24</v>
      </c>
      <c r="L892" s="3">
        <v>446113.71</v>
      </c>
      <c r="M892">
        <v>46164</v>
      </c>
      <c r="N892" s="1" t="s">
        <v>113</v>
      </c>
      <c r="O892" s="1" t="s">
        <v>35</v>
      </c>
      <c r="P892" s="1" t="s">
        <v>36</v>
      </c>
    </row>
    <row r="893" spans="1:16" x14ac:dyDescent="0.25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>
        <v>49</v>
      </c>
      <c r="J893" s="3">
        <v>45636.85</v>
      </c>
      <c r="K893" s="2">
        <v>1.38</v>
      </c>
      <c r="L893" s="3">
        <v>2205346.0099999998</v>
      </c>
      <c r="M893">
        <v>46091</v>
      </c>
      <c r="N893" s="1" t="s">
        <v>68</v>
      </c>
      <c r="O893" s="1" t="s">
        <v>35</v>
      </c>
      <c r="P893" s="1" t="s">
        <v>53</v>
      </c>
    </row>
    <row r="894" spans="1:16" x14ac:dyDescent="0.25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>
        <v>22</v>
      </c>
      <c r="J894" s="3">
        <v>39096.04</v>
      </c>
      <c r="K894" s="2">
        <v>13.24</v>
      </c>
      <c r="L894" s="3">
        <v>746233.93</v>
      </c>
      <c r="M894">
        <v>46190</v>
      </c>
      <c r="N894" s="1" t="s">
        <v>68</v>
      </c>
      <c r="O894" s="1" t="s">
        <v>25</v>
      </c>
      <c r="P894" s="1" t="s">
        <v>53</v>
      </c>
    </row>
    <row r="895" spans="1:16" x14ac:dyDescent="0.25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>
        <v>37</v>
      </c>
      <c r="J895" s="3">
        <v>45249.61</v>
      </c>
      <c r="K895" s="2">
        <v>19.41</v>
      </c>
      <c r="L895" s="3">
        <v>1349266.45</v>
      </c>
      <c r="M895">
        <v>46320</v>
      </c>
      <c r="N895" s="1" t="s">
        <v>24</v>
      </c>
      <c r="O895" s="1" t="s">
        <v>35</v>
      </c>
      <c r="P895" s="1" t="s">
        <v>36</v>
      </c>
    </row>
    <row r="896" spans="1:16" x14ac:dyDescent="0.25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>
        <v>1</v>
      </c>
      <c r="J896" s="3">
        <v>4792.5600000000004</v>
      </c>
      <c r="K896" s="2">
        <v>10.31</v>
      </c>
      <c r="L896" s="3">
        <v>4298.45</v>
      </c>
      <c r="M896">
        <v>46031</v>
      </c>
      <c r="N896" s="1" t="s">
        <v>68</v>
      </c>
      <c r="O896" s="1" t="s">
        <v>35</v>
      </c>
      <c r="P896" s="1" t="s">
        <v>36</v>
      </c>
    </row>
    <row r="897" spans="1:16" x14ac:dyDescent="0.25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>
        <v>3</v>
      </c>
      <c r="J897" s="3">
        <v>6118.1</v>
      </c>
      <c r="K897" s="2">
        <v>15.13</v>
      </c>
      <c r="L897" s="3">
        <v>15577.29</v>
      </c>
      <c r="M897">
        <v>46218</v>
      </c>
      <c r="N897" s="1" t="s">
        <v>58</v>
      </c>
      <c r="O897" s="1" t="s">
        <v>35</v>
      </c>
      <c r="P897" s="1" t="s">
        <v>53</v>
      </c>
    </row>
    <row r="898" spans="1:16" x14ac:dyDescent="0.25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>
        <v>48</v>
      </c>
      <c r="J898" s="3">
        <v>15183.26</v>
      </c>
      <c r="K898" s="2">
        <v>12.4</v>
      </c>
      <c r="L898" s="3">
        <v>638425.72</v>
      </c>
      <c r="M898">
        <v>46305</v>
      </c>
      <c r="N898" s="1" t="s">
        <v>68</v>
      </c>
      <c r="O898" s="1" t="s">
        <v>35</v>
      </c>
      <c r="P898" s="1" t="s">
        <v>36</v>
      </c>
    </row>
    <row r="899" spans="1:16" x14ac:dyDescent="0.25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>
        <v>49</v>
      </c>
      <c r="J899" s="3">
        <v>11082.04</v>
      </c>
      <c r="K899" s="2">
        <v>19.059999999999999</v>
      </c>
      <c r="L899" s="3">
        <v>439520.36</v>
      </c>
      <c r="M899">
        <v>46157</v>
      </c>
      <c r="N899" s="1" t="s">
        <v>24</v>
      </c>
      <c r="O899" s="1" t="s">
        <v>35</v>
      </c>
      <c r="P899" s="1" t="s">
        <v>53</v>
      </c>
    </row>
    <row r="900" spans="1:16" x14ac:dyDescent="0.25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>
        <v>3</v>
      </c>
      <c r="J900" s="3">
        <v>1090.21</v>
      </c>
      <c r="K900" s="2">
        <v>10.17</v>
      </c>
      <c r="L900" s="3">
        <v>2938.01</v>
      </c>
      <c r="M900">
        <v>46341</v>
      </c>
      <c r="N900" s="1" t="s">
        <v>45</v>
      </c>
      <c r="O900" s="1" t="s">
        <v>35</v>
      </c>
      <c r="P900" s="1" t="s">
        <v>26</v>
      </c>
    </row>
    <row r="901" spans="1:16" x14ac:dyDescent="0.25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>
        <v>5</v>
      </c>
      <c r="J901" s="3">
        <v>22674.62</v>
      </c>
      <c r="K901" s="2">
        <v>18.91</v>
      </c>
      <c r="L901" s="3">
        <v>91934.25</v>
      </c>
      <c r="M901">
        <v>46376</v>
      </c>
      <c r="N901" s="1" t="s">
        <v>68</v>
      </c>
      <c r="O901" s="1" t="s">
        <v>25</v>
      </c>
      <c r="P901" s="1" t="s">
        <v>53</v>
      </c>
    </row>
    <row r="902" spans="1:16" x14ac:dyDescent="0.25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>
        <v>34</v>
      </c>
      <c r="J902" s="3">
        <v>8102.77</v>
      </c>
      <c r="K902" s="2">
        <v>1.47</v>
      </c>
      <c r="L902" s="3">
        <v>271444.42</v>
      </c>
      <c r="M902">
        <v>46302</v>
      </c>
      <c r="N902" s="1" t="s">
        <v>24</v>
      </c>
      <c r="O902" s="1" t="s">
        <v>25</v>
      </c>
      <c r="P902" s="1" t="s">
        <v>26</v>
      </c>
    </row>
    <row r="903" spans="1:16" x14ac:dyDescent="0.25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>
        <v>13</v>
      </c>
      <c r="J903" s="3">
        <v>22265.63</v>
      </c>
      <c r="K903" s="2">
        <v>11.88</v>
      </c>
      <c r="L903" s="3">
        <v>255066.15</v>
      </c>
      <c r="M903">
        <v>46136</v>
      </c>
      <c r="N903" s="1" t="s">
        <v>113</v>
      </c>
      <c r="O903" s="1" t="s">
        <v>35</v>
      </c>
      <c r="P903" s="1" t="s">
        <v>53</v>
      </c>
    </row>
    <row r="904" spans="1:16" x14ac:dyDescent="0.25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>
        <v>27</v>
      </c>
      <c r="J904" s="3">
        <v>34291.53</v>
      </c>
      <c r="K904" s="2">
        <v>0.85</v>
      </c>
      <c r="L904" s="3">
        <v>918001.4</v>
      </c>
      <c r="M904">
        <v>46039</v>
      </c>
      <c r="N904" s="1" t="s">
        <v>68</v>
      </c>
      <c r="O904" s="1" t="s">
        <v>35</v>
      </c>
      <c r="P904" s="1" t="s">
        <v>36</v>
      </c>
    </row>
    <row r="905" spans="1:16" x14ac:dyDescent="0.25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>
        <v>50</v>
      </c>
      <c r="J905" s="3">
        <v>28473.41</v>
      </c>
      <c r="K905" s="2">
        <v>7.91</v>
      </c>
      <c r="L905" s="3">
        <v>1311058.1599999999</v>
      </c>
      <c r="M905">
        <v>46152</v>
      </c>
      <c r="N905" s="1" t="s">
        <v>24</v>
      </c>
      <c r="O905" s="1" t="s">
        <v>35</v>
      </c>
      <c r="P905" s="1" t="s">
        <v>26</v>
      </c>
    </row>
    <row r="906" spans="1:16" x14ac:dyDescent="0.25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>
        <v>21</v>
      </c>
      <c r="J906" s="3">
        <v>4316.84</v>
      </c>
      <c r="K906" s="2">
        <v>15.36</v>
      </c>
      <c r="L906" s="3">
        <v>76729.240000000005</v>
      </c>
      <c r="M906">
        <v>46227</v>
      </c>
      <c r="N906" s="1" t="s">
        <v>24</v>
      </c>
      <c r="O906" s="1" t="s">
        <v>35</v>
      </c>
      <c r="P906" s="1" t="s">
        <v>36</v>
      </c>
    </row>
    <row r="907" spans="1:16" x14ac:dyDescent="0.25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>
        <v>35</v>
      </c>
      <c r="J907" s="3">
        <v>25666.720000000001</v>
      </c>
      <c r="K907" s="2">
        <v>2.96</v>
      </c>
      <c r="L907" s="3">
        <v>871744.48</v>
      </c>
      <c r="M907">
        <v>46343</v>
      </c>
      <c r="N907" s="1" t="s">
        <v>45</v>
      </c>
      <c r="O907" s="1" t="s">
        <v>25</v>
      </c>
      <c r="P907" s="1" t="s">
        <v>26</v>
      </c>
    </row>
    <row r="908" spans="1:16" x14ac:dyDescent="0.25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>
        <v>50</v>
      </c>
      <c r="J908" s="3">
        <v>25981.73</v>
      </c>
      <c r="K908" s="2">
        <v>2.69</v>
      </c>
      <c r="L908" s="3">
        <v>1264141.07</v>
      </c>
      <c r="M908">
        <v>46280</v>
      </c>
      <c r="N908" s="1" t="s">
        <v>45</v>
      </c>
      <c r="O908" s="1" t="s">
        <v>35</v>
      </c>
      <c r="P908" s="1" t="s">
        <v>53</v>
      </c>
    </row>
    <row r="909" spans="1:16" x14ac:dyDescent="0.25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>
        <v>41</v>
      </c>
      <c r="J909" s="3">
        <v>14084.6</v>
      </c>
      <c r="K909" s="2">
        <v>17.64</v>
      </c>
      <c r="L909" s="3">
        <v>475603.14</v>
      </c>
      <c r="M909">
        <v>46083</v>
      </c>
      <c r="N909" s="1" t="s">
        <v>113</v>
      </c>
      <c r="O909" s="1" t="s">
        <v>25</v>
      </c>
      <c r="P909" s="1" t="s">
        <v>26</v>
      </c>
    </row>
    <row r="910" spans="1:16" x14ac:dyDescent="0.25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>
        <v>35</v>
      </c>
      <c r="J910" s="3">
        <v>48742.07</v>
      </c>
      <c r="K910" s="2">
        <v>6.96</v>
      </c>
      <c r="L910" s="3">
        <v>1587236.77</v>
      </c>
      <c r="M910">
        <v>46377</v>
      </c>
      <c r="N910" s="1" t="s">
        <v>58</v>
      </c>
      <c r="O910" s="1" t="s">
        <v>35</v>
      </c>
      <c r="P910" s="1" t="s">
        <v>53</v>
      </c>
    </row>
    <row r="911" spans="1:16" x14ac:dyDescent="0.25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>
        <v>8</v>
      </c>
      <c r="J911" s="3">
        <v>10000.16</v>
      </c>
      <c r="K911" s="2">
        <v>1</v>
      </c>
      <c r="L911" s="3">
        <v>79201.27</v>
      </c>
      <c r="M911">
        <v>46137</v>
      </c>
      <c r="N911" s="1" t="s">
        <v>58</v>
      </c>
      <c r="O911" s="1" t="s">
        <v>35</v>
      </c>
      <c r="P911" s="1" t="s">
        <v>26</v>
      </c>
    </row>
    <row r="912" spans="1:16" x14ac:dyDescent="0.25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>
        <v>5</v>
      </c>
      <c r="J912" s="3">
        <v>7839.33</v>
      </c>
      <c r="K912" s="2">
        <v>17.88</v>
      </c>
      <c r="L912" s="3">
        <v>32188.29</v>
      </c>
      <c r="M912">
        <v>46297</v>
      </c>
      <c r="N912" s="1" t="s">
        <v>45</v>
      </c>
      <c r="O912" s="1" t="s">
        <v>35</v>
      </c>
      <c r="P912" s="1" t="s">
        <v>53</v>
      </c>
    </row>
    <row r="913" spans="1:16" x14ac:dyDescent="0.25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>
        <v>17</v>
      </c>
      <c r="J913" s="3">
        <v>34826.33</v>
      </c>
      <c r="K913" s="2">
        <v>6.16</v>
      </c>
      <c r="L913" s="3">
        <v>555577.48</v>
      </c>
      <c r="M913">
        <v>46169</v>
      </c>
      <c r="N913" s="1" t="s">
        <v>68</v>
      </c>
      <c r="O913" s="1" t="s">
        <v>35</v>
      </c>
      <c r="P913" s="1" t="s">
        <v>26</v>
      </c>
    </row>
    <row r="914" spans="1:16" x14ac:dyDescent="0.25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>
        <v>30</v>
      </c>
      <c r="J914" s="3">
        <v>27152.880000000001</v>
      </c>
      <c r="K914" s="2">
        <v>7.84</v>
      </c>
      <c r="L914" s="3">
        <v>750722.83</v>
      </c>
      <c r="M914">
        <v>46124</v>
      </c>
      <c r="N914" s="1" t="s">
        <v>45</v>
      </c>
      <c r="O914" s="1" t="s">
        <v>35</v>
      </c>
      <c r="P914" s="1" t="s">
        <v>26</v>
      </c>
    </row>
    <row r="915" spans="1:16" x14ac:dyDescent="0.25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>
        <v>41</v>
      </c>
      <c r="J915" s="3">
        <v>13775.89</v>
      </c>
      <c r="K915" s="2">
        <v>18.22</v>
      </c>
      <c r="L915" s="3">
        <v>461902.84</v>
      </c>
      <c r="M915">
        <v>46101</v>
      </c>
      <c r="N915" s="1" t="s">
        <v>58</v>
      </c>
      <c r="O915" s="1" t="s">
        <v>35</v>
      </c>
      <c r="P915" s="1" t="s">
        <v>53</v>
      </c>
    </row>
    <row r="916" spans="1:16" x14ac:dyDescent="0.25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>
        <v>7</v>
      </c>
      <c r="J916" s="3">
        <v>42714.34</v>
      </c>
      <c r="K916" s="2">
        <v>14.7</v>
      </c>
      <c r="L916" s="3">
        <v>255047.32</v>
      </c>
      <c r="M916">
        <v>46253</v>
      </c>
      <c r="N916" s="1" t="s">
        <v>58</v>
      </c>
      <c r="O916" s="1" t="s">
        <v>35</v>
      </c>
      <c r="P916" s="1" t="s">
        <v>36</v>
      </c>
    </row>
    <row r="917" spans="1:16" x14ac:dyDescent="0.25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>
        <v>42</v>
      </c>
      <c r="J917" s="3">
        <v>31855.98</v>
      </c>
      <c r="K917" s="2">
        <v>19.03</v>
      </c>
      <c r="L917" s="3">
        <v>1083339.05</v>
      </c>
      <c r="M917">
        <v>46206</v>
      </c>
      <c r="N917" s="1" t="s">
        <v>113</v>
      </c>
      <c r="O917" s="1" t="s">
        <v>59</v>
      </c>
      <c r="P917" s="1" t="s">
        <v>53</v>
      </c>
    </row>
    <row r="918" spans="1:16" x14ac:dyDescent="0.25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>
        <v>28</v>
      </c>
      <c r="J918" s="3">
        <v>30457.18</v>
      </c>
      <c r="K918" s="2">
        <v>1.88</v>
      </c>
      <c r="L918" s="3">
        <v>836768.38</v>
      </c>
      <c r="M918">
        <v>46299</v>
      </c>
      <c r="N918" s="1" t="s">
        <v>24</v>
      </c>
      <c r="O918" s="1" t="s">
        <v>35</v>
      </c>
      <c r="P918" s="1" t="s">
        <v>53</v>
      </c>
    </row>
    <row r="919" spans="1:16" x14ac:dyDescent="0.25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>
        <v>45</v>
      </c>
      <c r="J919" s="3">
        <v>34471.81</v>
      </c>
      <c r="K919" s="2">
        <v>0.5</v>
      </c>
      <c r="L919" s="3">
        <v>1543475.29</v>
      </c>
      <c r="M919">
        <v>46090</v>
      </c>
      <c r="N919" s="1" t="s">
        <v>45</v>
      </c>
      <c r="O919" s="1" t="s">
        <v>35</v>
      </c>
      <c r="P919" s="1" t="s">
        <v>36</v>
      </c>
    </row>
    <row r="920" spans="1:16" x14ac:dyDescent="0.25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>
        <v>28</v>
      </c>
      <c r="J920" s="3">
        <v>17556.150000000001</v>
      </c>
      <c r="K920" s="2">
        <v>2.5099999999999998</v>
      </c>
      <c r="L920" s="3">
        <v>479233.74</v>
      </c>
      <c r="M920">
        <v>46139</v>
      </c>
      <c r="N920" s="1" t="s">
        <v>68</v>
      </c>
      <c r="O920" s="1" t="s">
        <v>35</v>
      </c>
      <c r="P920" s="1" t="s">
        <v>26</v>
      </c>
    </row>
    <row r="921" spans="1:16" x14ac:dyDescent="0.25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>
        <v>48</v>
      </c>
      <c r="J921" s="3">
        <v>47109.07</v>
      </c>
      <c r="K921" s="2">
        <v>11.21</v>
      </c>
      <c r="L921" s="3">
        <v>2007750.88</v>
      </c>
      <c r="M921">
        <v>46314</v>
      </c>
      <c r="N921" s="1" t="s">
        <v>58</v>
      </c>
      <c r="O921" s="1" t="s">
        <v>35</v>
      </c>
      <c r="P921" s="1" t="s">
        <v>26</v>
      </c>
    </row>
    <row r="922" spans="1:16" x14ac:dyDescent="0.25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>
        <v>8</v>
      </c>
      <c r="J922" s="3">
        <v>17181.43</v>
      </c>
      <c r="K922" s="2">
        <v>11.22</v>
      </c>
      <c r="L922" s="3">
        <v>122029.39</v>
      </c>
      <c r="M922">
        <v>46253</v>
      </c>
      <c r="N922" s="1" t="s">
        <v>24</v>
      </c>
      <c r="O922" s="1" t="s">
        <v>35</v>
      </c>
      <c r="P922" s="1" t="s">
        <v>26</v>
      </c>
    </row>
    <row r="923" spans="1:16" x14ac:dyDescent="0.25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>
        <v>9</v>
      </c>
      <c r="J923" s="3">
        <v>31020.13</v>
      </c>
      <c r="K923" s="2">
        <v>15.26</v>
      </c>
      <c r="L923" s="3">
        <v>236578.12</v>
      </c>
      <c r="M923">
        <v>46141</v>
      </c>
      <c r="N923" s="1" t="s">
        <v>113</v>
      </c>
      <c r="O923" s="1" t="s">
        <v>35</v>
      </c>
      <c r="P923" s="1" t="s">
        <v>26</v>
      </c>
    </row>
    <row r="924" spans="1:16" x14ac:dyDescent="0.25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>
        <v>14</v>
      </c>
      <c r="J924" s="3">
        <v>43526.27</v>
      </c>
      <c r="K924" s="2">
        <v>14.75</v>
      </c>
      <c r="L924" s="3">
        <v>519486.03</v>
      </c>
      <c r="M924">
        <v>46184</v>
      </c>
      <c r="N924" s="1" t="s">
        <v>58</v>
      </c>
      <c r="O924" s="1" t="s">
        <v>35</v>
      </c>
      <c r="P924" s="1" t="s">
        <v>26</v>
      </c>
    </row>
    <row r="925" spans="1:16" x14ac:dyDescent="0.25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>
        <v>33</v>
      </c>
      <c r="J925" s="3">
        <v>17168.82</v>
      </c>
      <c r="K925" s="2">
        <v>7.43</v>
      </c>
      <c r="L925" s="3">
        <v>524474.82999999996</v>
      </c>
      <c r="M925">
        <v>46190</v>
      </c>
      <c r="N925" s="1" t="s">
        <v>24</v>
      </c>
      <c r="O925" s="1" t="s">
        <v>35</v>
      </c>
      <c r="P925" s="1" t="s">
        <v>53</v>
      </c>
    </row>
    <row r="926" spans="1:16" x14ac:dyDescent="0.25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>
        <v>42</v>
      </c>
      <c r="J926" s="3">
        <v>42851.35</v>
      </c>
      <c r="K926" s="2">
        <v>7.52</v>
      </c>
      <c r="L926" s="3">
        <v>1664415</v>
      </c>
      <c r="M926">
        <v>46204</v>
      </c>
      <c r="N926" s="1" t="s">
        <v>113</v>
      </c>
      <c r="O926" s="1" t="s">
        <v>35</v>
      </c>
      <c r="P926" s="1" t="s">
        <v>26</v>
      </c>
    </row>
    <row r="927" spans="1:16" x14ac:dyDescent="0.25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>
        <v>30</v>
      </c>
      <c r="J927" s="3">
        <v>31418.84</v>
      </c>
      <c r="K927" s="2">
        <v>0.96</v>
      </c>
      <c r="L927" s="3">
        <v>933516.57</v>
      </c>
      <c r="M927">
        <v>46318</v>
      </c>
      <c r="N927" s="1" t="s">
        <v>68</v>
      </c>
      <c r="O927" s="1" t="s">
        <v>25</v>
      </c>
      <c r="P927" s="1" t="s">
        <v>53</v>
      </c>
    </row>
    <row r="928" spans="1:16" x14ac:dyDescent="0.25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>
        <v>33</v>
      </c>
      <c r="J928" s="3">
        <v>1984.91</v>
      </c>
      <c r="K928" s="2">
        <v>10.050000000000001</v>
      </c>
      <c r="L928" s="3">
        <v>58919.08</v>
      </c>
      <c r="M928">
        <v>46044</v>
      </c>
      <c r="N928" s="1" t="s">
        <v>113</v>
      </c>
      <c r="O928" s="1" t="s">
        <v>35</v>
      </c>
      <c r="P928" s="1" t="s">
        <v>53</v>
      </c>
    </row>
    <row r="929" spans="1:16" x14ac:dyDescent="0.25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>
        <v>4</v>
      </c>
      <c r="J929" s="3">
        <v>1307.3399999999999</v>
      </c>
      <c r="K929" s="2">
        <v>12.87</v>
      </c>
      <c r="L929" s="3">
        <v>4556.34</v>
      </c>
      <c r="M929">
        <v>46113</v>
      </c>
      <c r="N929" s="1" t="s">
        <v>24</v>
      </c>
      <c r="O929" s="1" t="s">
        <v>35</v>
      </c>
      <c r="P929" s="1" t="s">
        <v>36</v>
      </c>
    </row>
    <row r="930" spans="1:16" x14ac:dyDescent="0.25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>
        <v>17</v>
      </c>
      <c r="J930" s="3">
        <v>25565.71</v>
      </c>
      <c r="K930" s="2">
        <v>14.54</v>
      </c>
      <c r="L930" s="3">
        <v>371423.75</v>
      </c>
      <c r="M930">
        <v>46355</v>
      </c>
      <c r="N930" s="1" t="s">
        <v>113</v>
      </c>
      <c r="O930" s="1" t="s">
        <v>35</v>
      </c>
      <c r="P930" s="1" t="s">
        <v>53</v>
      </c>
    </row>
    <row r="931" spans="1:16" x14ac:dyDescent="0.25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>
        <v>15</v>
      </c>
      <c r="J931" s="3">
        <v>1437.89</v>
      </c>
      <c r="K931" s="2">
        <v>11.89</v>
      </c>
      <c r="L931" s="3">
        <v>19003.87</v>
      </c>
      <c r="M931">
        <v>46191</v>
      </c>
      <c r="N931" s="1" t="s">
        <v>45</v>
      </c>
      <c r="O931" s="1" t="s">
        <v>35</v>
      </c>
      <c r="P931" s="1" t="s">
        <v>36</v>
      </c>
    </row>
    <row r="932" spans="1:16" x14ac:dyDescent="0.25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>
        <v>3</v>
      </c>
      <c r="J932" s="3">
        <v>13996.46</v>
      </c>
      <c r="K932" s="2">
        <v>6.23</v>
      </c>
      <c r="L932" s="3">
        <v>39373.440000000002</v>
      </c>
      <c r="M932">
        <v>46083</v>
      </c>
      <c r="N932" s="1" t="s">
        <v>58</v>
      </c>
      <c r="O932" s="1" t="s">
        <v>35</v>
      </c>
      <c r="P932" s="1" t="s">
        <v>53</v>
      </c>
    </row>
    <row r="933" spans="1:16" x14ac:dyDescent="0.25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>
        <v>41</v>
      </c>
      <c r="J933" s="3">
        <v>14315.43</v>
      </c>
      <c r="K933" s="2">
        <v>11.51</v>
      </c>
      <c r="L933" s="3">
        <v>519376.68</v>
      </c>
      <c r="M933">
        <v>46251</v>
      </c>
      <c r="N933" s="1" t="s">
        <v>68</v>
      </c>
      <c r="O933" s="1" t="s">
        <v>35</v>
      </c>
      <c r="P933" s="1" t="s">
        <v>53</v>
      </c>
    </row>
    <row r="934" spans="1:16" x14ac:dyDescent="0.25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>
        <v>20</v>
      </c>
      <c r="J934" s="3">
        <v>30763.61</v>
      </c>
      <c r="K934" s="2">
        <v>14.29</v>
      </c>
      <c r="L934" s="3">
        <v>527349.80000000005</v>
      </c>
      <c r="M934">
        <v>46039</v>
      </c>
      <c r="N934" s="1" t="s">
        <v>58</v>
      </c>
      <c r="O934" s="1" t="s">
        <v>35</v>
      </c>
      <c r="P934" s="1" t="s">
        <v>26</v>
      </c>
    </row>
    <row r="935" spans="1:16" x14ac:dyDescent="0.25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>
        <v>19</v>
      </c>
      <c r="J935" s="3">
        <v>7092.06</v>
      </c>
      <c r="K935" s="2">
        <v>5.6</v>
      </c>
      <c r="L935" s="3">
        <v>127203.19</v>
      </c>
      <c r="M935">
        <v>46371</v>
      </c>
      <c r="N935" s="1" t="s">
        <v>68</v>
      </c>
      <c r="O935" s="1" t="s">
        <v>35</v>
      </c>
      <c r="P935" s="1" t="s">
        <v>36</v>
      </c>
    </row>
    <row r="936" spans="1:16" x14ac:dyDescent="0.25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>
        <v>23</v>
      </c>
      <c r="J936" s="3">
        <v>11284.87</v>
      </c>
      <c r="K936" s="2">
        <v>2.63</v>
      </c>
      <c r="L936" s="3">
        <v>252725.79</v>
      </c>
      <c r="M936">
        <v>46129</v>
      </c>
      <c r="N936" s="1" t="s">
        <v>24</v>
      </c>
      <c r="O936" s="1" t="s">
        <v>35</v>
      </c>
      <c r="P936" s="1" t="s">
        <v>26</v>
      </c>
    </row>
    <row r="937" spans="1:16" x14ac:dyDescent="0.25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>
        <v>21</v>
      </c>
      <c r="J937" s="3">
        <v>36886.5</v>
      </c>
      <c r="K937" s="2">
        <v>19.02</v>
      </c>
      <c r="L937" s="3">
        <v>627284.43999999994</v>
      </c>
      <c r="M937">
        <v>46056</v>
      </c>
      <c r="N937" s="1" t="s">
        <v>45</v>
      </c>
      <c r="O937" s="1" t="s">
        <v>35</v>
      </c>
      <c r="P937" s="1" t="s">
        <v>36</v>
      </c>
    </row>
    <row r="938" spans="1:16" x14ac:dyDescent="0.25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>
        <v>29</v>
      </c>
      <c r="J938" s="3">
        <v>41532.69</v>
      </c>
      <c r="K938" s="2">
        <v>3.91</v>
      </c>
      <c r="L938" s="3">
        <v>1157354.0900000001</v>
      </c>
      <c r="M938">
        <v>46214</v>
      </c>
      <c r="N938" s="1" t="s">
        <v>58</v>
      </c>
      <c r="O938" s="1" t="s">
        <v>35</v>
      </c>
      <c r="P938" s="1" t="s">
        <v>36</v>
      </c>
    </row>
    <row r="939" spans="1:16" x14ac:dyDescent="0.25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>
        <v>12</v>
      </c>
      <c r="J939" s="3">
        <v>38153.79</v>
      </c>
      <c r="K939" s="2">
        <v>10.11</v>
      </c>
      <c r="L939" s="3">
        <v>411557.3</v>
      </c>
      <c r="M939">
        <v>46214</v>
      </c>
      <c r="N939" s="1" t="s">
        <v>68</v>
      </c>
      <c r="O939" s="1" t="s">
        <v>35</v>
      </c>
      <c r="P939" s="1" t="s">
        <v>53</v>
      </c>
    </row>
    <row r="940" spans="1:16" x14ac:dyDescent="0.25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>
        <v>15</v>
      </c>
      <c r="J940" s="3">
        <v>9086.65</v>
      </c>
      <c r="K940" s="2">
        <v>8.64</v>
      </c>
      <c r="L940" s="3">
        <v>124523.45</v>
      </c>
      <c r="M940">
        <v>46382</v>
      </c>
      <c r="N940" s="1" t="s">
        <v>24</v>
      </c>
      <c r="O940" s="1" t="s">
        <v>25</v>
      </c>
      <c r="P940" s="1" t="s">
        <v>26</v>
      </c>
    </row>
    <row r="941" spans="1:16" x14ac:dyDescent="0.25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>
        <v>29</v>
      </c>
      <c r="J941" s="3">
        <v>5110.71</v>
      </c>
      <c r="K941" s="2">
        <v>1.99</v>
      </c>
      <c r="L941" s="3">
        <v>145261.20000000001</v>
      </c>
      <c r="M941">
        <v>46262</v>
      </c>
      <c r="N941" s="1" t="s">
        <v>45</v>
      </c>
      <c r="O941" s="1" t="s">
        <v>25</v>
      </c>
      <c r="P941" s="1" t="s">
        <v>53</v>
      </c>
    </row>
    <row r="942" spans="1:16" x14ac:dyDescent="0.25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>
        <v>27</v>
      </c>
      <c r="J942" s="3">
        <v>6840.65</v>
      </c>
      <c r="K942" s="2">
        <v>15.51</v>
      </c>
      <c r="L942" s="3">
        <v>156050.96</v>
      </c>
      <c r="M942">
        <v>46197</v>
      </c>
      <c r="N942" s="1" t="s">
        <v>68</v>
      </c>
      <c r="O942" s="1" t="s">
        <v>35</v>
      </c>
      <c r="P942" s="1" t="s">
        <v>26</v>
      </c>
    </row>
    <row r="943" spans="1:16" x14ac:dyDescent="0.25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>
        <v>23</v>
      </c>
      <c r="J943" s="3">
        <v>21806.880000000001</v>
      </c>
      <c r="K943" s="2">
        <v>9.2200000000000006</v>
      </c>
      <c r="L943" s="3">
        <v>455314.57</v>
      </c>
      <c r="M943">
        <v>46135</v>
      </c>
      <c r="N943" s="1" t="s">
        <v>113</v>
      </c>
      <c r="O943" s="1" t="s">
        <v>35</v>
      </c>
      <c r="P943" s="1" t="s">
        <v>26</v>
      </c>
    </row>
    <row r="944" spans="1:16" x14ac:dyDescent="0.25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>
        <v>32</v>
      </c>
      <c r="J944" s="3">
        <v>29335.33</v>
      </c>
      <c r="K944" s="2">
        <v>12.3</v>
      </c>
      <c r="L944" s="3">
        <v>823266.7</v>
      </c>
      <c r="M944">
        <v>46337</v>
      </c>
      <c r="N944" s="1" t="s">
        <v>58</v>
      </c>
      <c r="O944" s="1" t="s">
        <v>35</v>
      </c>
      <c r="P944" s="1" t="s">
        <v>53</v>
      </c>
    </row>
    <row r="945" spans="1:16" x14ac:dyDescent="0.25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>
        <v>30</v>
      </c>
      <c r="J945" s="3">
        <v>47208.79</v>
      </c>
      <c r="K945" s="2">
        <v>2.89</v>
      </c>
      <c r="L945" s="3">
        <v>1375333.68</v>
      </c>
      <c r="M945">
        <v>46248</v>
      </c>
      <c r="N945" s="1" t="s">
        <v>113</v>
      </c>
      <c r="O945" s="1" t="s">
        <v>35</v>
      </c>
      <c r="P945" s="1" t="s">
        <v>26</v>
      </c>
    </row>
    <row r="946" spans="1:16" x14ac:dyDescent="0.25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>
        <v>2</v>
      </c>
      <c r="J946" s="3">
        <v>1516.95</v>
      </c>
      <c r="K946" s="2">
        <v>6.07</v>
      </c>
      <c r="L946" s="3">
        <v>2849.74</v>
      </c>
      <c r="M946">
        <v>46226</v>
      </c>
      <c r="N946" s="1" t="s">
        <v>24</v>
      </c>
      <c r="O946" s="1" t="s">
        <v>35</v>
      </c>
      <c r="P946" s="1" t="s">
        <v>53</v>
      </c>
    </row>
    <row r="947" spans="1:16" x14ac:dyDescent="0.25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>
        <v>1</v>
      </c>
      <c r="J947" s="3">
        <v>17243.62</v>
      </c>
      <c r="K947" s="2">
        <v>10.15</v>
      </c>
      <c r="L947" s="3">
        <v>15493.39</v>
      </c>
      <c r="M947">
        <v>46081</v>
      </c>
      <c r="N947" s="1" t="s">
        <v>113</v>
      </c>
      <c r="O947" s="1" t="s">
        <v>35</v>
      </c>
      <c r="P947" s="1" t="s">
        <v>53</v>
      </c>
    </row>
    <row r="948" spans="1:16" x14ac:dyDescent="0.25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>
        <v>8</v>
      </c>
      <c r="J948" s="3">
        <v>1277.06</v>
      </c>
      <c r="K948" s="2">
        <v>19.68</v>
      </c>
      <c r="L948" s="3">
        <v>8205.8799999999992</v>
      </c>
      <c r="M948">
        <v>46215</v>
      </c>
      <c r="N948" s="1" t="s">
        <v>24</v>
      </c>
      <c r="O948" s="1" t="s">
        <v>35</v>
      </c>
      <c r="P948" s="1" t="s">
        <v>53</v>
      </c>
    </row>
    <row r="949" spans="1:16" x14ac:dyDescent="0.25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>
        <v>34</v>
      </c>
      <c r="J949" s="3">
        <v>36892.870000000003</v>
      </c>
      <c r="K949" s="2">
        <v>17.53</v>
      </c>
      <c r="L949" s="3">
        <v>1034468.7</v>
      </c>
      <c r="M949">
        <v>46108</v>
      </c>
      <c r="N949" s="1" t="s">
        <v>113</v>
      </c>
      <c r="O949" s="1" t="s">
        <v>35</v>
      </c>
      <c r="P949" s="1" t="s">
        <v>26</v>
      </c>
    </row>
    <row r="950" spans="1:16" x14ac:dyDescent="0.25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>
        <v>43</v>
      </c>
      <c r="J950" s="3">
        <v>47726.19</v>
      </c>
      <c r="K950" s="2">
        <v>11.18</v>
      </c>
      <c r="L950" s="3">
        <v>1822787.28</v>
      </c>
      <c r="M950">
        <v>46270</v>
      </c>
      <c r="N950" s="1" t="s">
        <v>24</v>
      </c>
      <c r="O950" s="1" t="s">
        <v>35</v>
      </c>
      <c r="P950" s="1" t="s">
        <v>53</v>
      </c>
    </row>
    <row r="951" spans="1:16" x14ac:dyDescent="0.25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>
        <v>7</v>
      </c>
      <c r="J951" s="3">
        <v>16129.28</v>
      </c>
      <c r="K951" s="2">
        <v>10.039999999999999</v>
      </c>
      <c r="L951" s="3">
        <v>101569.3</v>
      </c>
      <c r="M951">
        <v>46192</v>
      </c>
      <c r="N951" s="1" t="s">
        <v>113</v>
      </c>
      <c r="O951" s="1" t="s">
        <v>35</v>
      </c>
      <c r="P951" s="1" t="s">
        <v>26</v>
      </c>
    </row>
    <row r="952" spans="1:16" x14ac:dyDescent="0.25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>
        <v>42</v>
      </c>
      <c r="J952" s="3">
        <v>3003.18</v>
      </c>
      <c r="K952" s="2">
        <v>3.29</v>
      </c>
      <c r="L952" s="3">
        <v>121983.77</v>
      </c>
      <c r="M952">
        <v>46138</v>
      </c>
      <c r="N952" s="1" t="s">
        <v>68</v>
      </c>
      <c r="O952" s="1" t="s">
        <v>35</v>
      </c>
      <c r="P952" s="1" t="s">
        <v>26</v>
      </c>
    </row>
    <row r="953" spans="1:16" x14ac:dyDescent="0.25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>
        <v>21</v>
      </c>
      <c r="J953" s="3">
        <v>13773.63</v>
      </c>
      <c r="K953" s="2">
        <v>0.68</v>
      </c>
      <c r="L953" s="3">
        <v>287279.35999999999</v>
      </c>
      <c r="M953">
        <v>46054</v>
      </c>
      <c r="N953" s="1" t="s">
        <v>113</v>
      </c>
      <c r="O953" s="1" t="s">
        <v>25</v>
      </c>
      <c r="P953" s="1" t="s">
        <v>53</v>
      </c>
    </row>
    <row r="954" spans="1:16" x14ac:dyDescent="0.25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>
        <v>13</v>
      </c>
      <c r="J954" s="3">
        <v>19704.43</v>
      </c>
      <c r="K954" s="2">
        <v>19.190000000000001</v>
      </c>
      <c r="L954" s="3">
        <v>207000.95</v>
      </c>
      <c r="M954">
        <v>46140</v>
      </c>
      <c r="N954" s="1" t="s">
        <v>24</v>
      </c>
      <c r="O954" s="1" t="s">
        <v>35</v>
      </c>
      <c r="P954" s="1" t="s">
        <v>36</v>
      </c>
    </row>
    <row r="955" spans="1:16" x14ac:dyDescent="0.25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>
        <v>1</v>
      </c>
      <c r="J955" s="3">
        <v>36877.33</v>
      </c>
      <c r="K955" s="2">
        <v>14.42</v>
      </c>
      <c r="L955" s="3">
        <v>31559.62</v>
      </c>
      <c r="M955">
        <v>46247</v>
      </c>
      <c r="N955" s="1" t="s">
        <v>45</v>
      </c>
      <c r="O955" s="1" t="s">
        <v>35</v>
      </c>
      <c r="P955" s="1" t="s">
        <v>53</v>
      </c>
    </row>
    <row r="956" spans="1:16" x14ac:dyDescent="0.25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>
        <v>48</v>
      </c>
      <c r="J956" s="3">
        <v>36029.17</v>
      </c>
      <c r="K956" s="2">
        <v>7.75</v>
      </c>
      <c r="L956" s="3">
        <v>1595371.65</v>
      </c>
      <c r="M956">
        <v>46036</v>
      </c>
      <c r="N956" s="1" t="s">
        <v>24</v>
      </c>
      <c r="O956" s="1" t="s">
        <v>35</v>
      </c>
      <c r="P956" s="1" t="s">
        <v>26</v>
      </c>
    </row>
    <row r="957" spans="1:16" x14ac:dyDescent="0.25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>
        <v>44</v>
      </c>
      <c r="J957" s="3">
        <v>44092.7</v>
      </c>
      <c r="K957" s="2">
        <v>8.9</v>
      </c>
      <c r="L957" s="3">
        <v>1767411.79</v>
      </c>
      <c r="M957">
        <v>46127</v>
      </c>
      <c r="N957" s="1" t="s">
        <v>68</v>
      </c>
      <c r="O957" s="1" t="s">
        <v>35</v>
      </c>
      <c r="P957" s="1" t="s">
        <v>53</v>
      </c>
    </row>
    <row r="958" spans="1:16" x14ac:dyDescent="0.25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>
        <v>6</v>
      </c>
      <c r="J958" s="3">
        <v>13927.46</v>
      </c>
      <c r="K958" s="2">
        <v>9.3000000000000007</v>
      </c>
      <c r="L958" s="3">
        <v>75793.240000000005</v>
      </c>
      <c r="M958">
        <v>46068</v>
      </c>
      <c r="N958" s="1" t="s">
        <v>24</v>
      </c>
      <c r="O958" s="1" t="s">
        <v>35</v>
      </c>
      <c r="P958" s="1" t="s">
        <v>36</v>
      </c>
    </row>
    <row r="959" spans="1:16" x14ac:dyDescent="0.25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>
        <v>8</v>
      </c>
      <c r="J959" s="3">
        <v>10931.64</v>
      </c>
      <c r="K959" s="2">
        <v>0.94</v>
      </c>
      <c r="L959" s="3">
        <v>86631.06</v>
      </c>
      <c r="M959">
        <v>46057</v>
      </c>
      <c r="N959" s="1" t="s">
        <v>58</v>
      </c>
      <c r="O959" s="1" t="s">
        <v>35</v>
      </c>
      <c r="P959" s="1" t="s">
        <v>36</v>
      </c>
    </row>
    <row r="960" spans="1:16" x14ac:dyDescent="0.25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>
        <v>49</v>
      </c>
      <c r="J960" s="3">
        <v>16559.97</v>
      </c>
      <c r="K960" s="2">
        <v>9.25</v>
      </c>
      <c r="L960" s="3">
        <v>736380.47</v>
      </c>
      <c r="M960">
        <v>46108</v>
      </c>
      <c r="N960" s="1" t="s">
        <v>45</v>
      </c>
      <c r="O960" s="1" t="s">
        <v>35</v>
      </c>
      <c r="P960" s="1" t="s">
        <v>26</v>
      </c>
    </row>
    <row r="961" spans="1:16" x14ac:dyDescent="0.25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>
        <v>37</v>
      </c>
      <c r="J961" s="3">
        <v>22077.25</v>
      </c>
      <c r="K961" s="2">
        <v>10.029999999999999</v>
      </c>
      <c r="L961" s="3">
        <v>734927.37</v>
      </c>
      <c r="M961">
        <v>46218</v>
      </c>
      <c r="N961" s="1" t="s">
        <v>24</v>
      </c>
      <c r="O961" s="1" t="s">
        <v>35</v>
      </c>
      <c r="P961" s="1" t="s">
        <v>36</v>
      </c>
    </row>
    <row r="962" spans="1:16" x14ac:dyDescent="0.25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>
        <v>28</v>
      </c>
      <c r="J962" s="3">
        <v>46046.11</v>
      </c>
      <c r="K962" s="2">
        <v>15.67</v>
      </c>
      <c r="L962" s="3">
        <v>1087259.17</v>
      </c>
      <c r="M962">
        <v>46182</v>
      </c>
      <c r="N962" s="1" t="s">
        <v>58</v>
      </c>
      <c r="O962" s="1" t="s">
        <v>35</v>
      </c>
      <c r="P962" s="1" t="s">
        <v>36</v>
      </c>
    </row>
    <row r="963" spans="1:16" x14ac:dyDescent="0.25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>
        <v>8</v>
      </c>
      <c r="J963" s="3">
        <v>45271.05</v>
      </c>
      <c r="K963" s="2">
        <v>8.43</v>
      </c>
      <c r="L963" s="3">
        <v>331637.59999999998</v>
      </c>
      <c r="M963">
        <v>46126</v>
      </c>
      <c r="N963" s="1" t="s">
        <v>24</v>
      </c>
      <c r="O963" s="1" t="s">
        <v>35</v>
      </c>
      <c r="P963" s="1" t="s">
        <v>26</v>
      </c>
    </row>
    <row r="964" spans="1:16" x14ac:dyDescent="0.25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>
        <v>3</v>
      </c>
      <c r="J964" s="3">
        <v>30439.89</v>
      </c>
      <c r="K964" s="2">
        <v>17.399999999999999</v>
      </c>
      <c r="L964" s="3">
        <v>75430.05</v>
      </c>
      <c r="M964">
        <v>46259</v>
      </c>
      <c r="N964" s="1" t="s">
        <v>45</v>
      </c>
      <c r="O964" s="1" t="s">
        <v>35</v>
      </c>
      <c r="P964" s="1" t="s">
        <v>53</v>
      </c>
    </row>
    <row r="965" spans="1:16" x14ac:dyDescent="0.25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>
        <v>30</v>
      </c>
      <c r="J965" s="3">
        <v>40579.42</v>
      </c>
      <c r="K965" s="2">
        <v>15.61</v>
      </c>
      <c r="L965" s="3">
        <v>1027349.18</v>
      </c>
      <c r="M965">
        <v>46055</v>
      </c>
      <c r="N965" s="1" t="s">
        <v>58</v>
      </c>
      <c r="O965" s="1" t="s">
        <v>35</v>
      </c>
      <c r="P965" s="1" t="s">
        <v>26</v>
      </c>
    </row>
    <row r="966" spans="1:16" x14ac:dyDescent="0.25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>
        <v>40</v>
      </c>
      <c r="J966" s="3">
        <v>16945.21</v>
      </c>
      <c r="K966" s="2">
        <v>8.2799999999999994</v>
      </c>
      <c r="L966" s="3">
        <v>621685.86</v>
      </c>
      <c r="M966">
        <v>46144</v>
      </c>
      <c r="N966" s="1" t="s">
        <v>24</v>
      </c>
      <c r="O966" s="1" t="s">
        <v>35</v>
      </c>
      <c r="P966" s="1" t="s">
        <v>53</v>
      </c>
    </row>
    <row r="967" spans="1:16" x14ac:dyDescent="0.25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>
        <v>29</v>
      </c>
      <c r="J967" s="3">
        <v>6373.03</v>
      </c>
      <c r="K967" s="2">
        <v>5.05</v>
      </c>
      <c r="L967" s="3">
        <v>175484.57</v>
      </c>
      <c r="M967">
        <v>46181</v>
      </c>
      <c r="N967" s="1" t="s">
        <v>68</v>
      </c>
      <c r="O967" s="1" t="s">
        <v>35</v>
      </c>
      <c r="P967" s="1" t="s">
        <v>26</v>
      </c>
    </row>
    <row r="968" spans="1:16" x14ac:dyDescent="0.25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>
        <v>12</v>
      </c>
      <c r="J968" s="3">
        <v>20971.759999999998</v>
      </c>
      <c r="K968" s="2">
        <v>5.4</v>
      </c>
      <c r="L968" s="3">
        <v>238071.42</v>
      </c>
      <c r="M968">
        <v>46381</v>
      </c>
      <c r="N968" s="1" t="s">
        <v>45</v>
      </c>
      <c r="O968" s="1" t="s">
        <v>35</v>
      </c>
      <c r="P968" s="1" t="s">
        <v>26</v>
      </c>
    </row>
    <row r="969" spans="1:16" x14ac:dyDescent="0.25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>
        <v>1</v>
      </c>
      <c r="J969" s="3">
        <v>5123.58</v>
      </c>
      <c r="K969" s="2">
        <v>15</v>
      </c>
      <c r="L969" s="3">
        <v>4355.04</v>
      </c>
      <c r="M969">
        <v>46300</v>
      </c>
      <c r="N969" s="1" t="s">
        <v>113</v>
      </c>
      <c r="O969" s="1" t="s">
        <v>35</v>
      </c>
      <c r="P969" s="1" t="s">
        <v>36</v>
      </c>
    </row>
    <row r="970" spans="1:16" x14ac:dyDescent="0.25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>
        <v>11</v>
      </c>
      <c r="J970" s="3">
        <v>13188.45</v>
      </c>
      <c r="K970" s="2">
        <v>4.55</v>
      </c>
      <c r="L970" s="3">
        <v>138472.13</v>
      </c>
      <c r="M970">
        <v>46260</v>
      </c>
      <c r="N970" s="1" t="s">
        <v>113</v>
      </c>
      <c r="O970" s="1" t="s">
        <v>25</v>
      </c>
      <c r="P970" s="1" t="s">
        <v>36</v>
      </c>
    </row>
    <row r="971" spans="1:16" x14ac:dyDescent="0.25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>
        <v>22</v>
      </c>
      <c r="J971" s="3">
        <v>27970.07</v>
      </c>
      <c r="K971" s="2">
        <v>19.96</v>
      </c>
      <c r="L971" s="3">
        <v>492519.37</v>
      </c>
      <c r="M971">
        <v>46366</v>
      </c>
      <c r="N971" s="1" t="s">
        <v>45</v>
      </c>
      <c r="O971" s="1" t="s">
        <v>35</v>
      </c>
      <c r="P971" s="1" t="s">
        <v>26</v>
      </c>
    </row>
    <row r="972" spans="1:16" x14ac:dyDescent="0.25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>
        <v>34</v>
      </c>
      <c r="J972" s="3">
        <v>10192.02</v>
      </c>
      <c r="K972" s="2">
        <v>6.35</v>
      </c>
      <c r="L972" s="3">
        <v>324524.11</v>
      </c>
      <c r="M972">
        <v>46366</v>
      </c>
      <c r="N972" s="1" t="s">
        <v>113</v>
      </c>
      <c r="O972" s="1" t="s">
        <v>35</v>
      </c>
      <c r="P972" s="1" t="s">
        <v>53</v>
      </c>
    </row>
    <row r="973" spans="1:16" x14ac:dyDescent="0.25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>
        <v>50</v>
      </c>
      <c r="J973" s="3">
        <v>46615.91</v>
      </c>
      <c r="K973" s="2">
        <v>11.98</v>
      </c>
      <c r="L973" s="3">
        <v>2051566.2</v>
      </c>
      <c r="M973">
        <v>46345</v>
      </c>
      <c r="N973" s="1" t="s">
        <v>113</v>
      </c>
      <c r="O973" s="1" t="s">
        <v>35</v>
      </c>
      <c r="P973" s="1" t="s">
        <v>26</v>
      </c>
    </row>
    <row r="974" spans="1:16" x14ac:dyDescent="0.25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>
        <v>42</v>
      </c>
      <c r="J974" s="3">
        <v>21149.11</v>
      </c>
      <c r="K974" s="2">
        <v>9.5299999999999994</v>
      </c>
      <c r="L974" s="3">
        <v>803611.19</v>
      </c>
      <c r="M974">
        <v>46272</v>
      </c>
      <c r="N974" s="1" t="s">
        <v>24</v>
      </c>
      <c r="O974" s="1" t="s">
        <v>35</v>
      </c>
      <c r="P974" s="1" t="s">
        <v>53</v>
      </c>
    </row>
    <row r="975" spans="1:16" x14ac:dyDescent="0.25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>
        <v>16</v>
      </c>
      <c r="J975" s="3">
        <v>20217.79</v>
      </c>
      <c r="K975" s="2">
        <v>18.63</v>
      </c>
      <c r="L975" s="3">
        <v>263219.45</v>
      </c>
      <c r="M975">
        <v>46143</v>
      </c>
      <c r="N975" s="1" t="s">
        <v>68</v>
      </c>
      <c r="O975" s="1" t="s">
        <v>35</v>
      </c>
      <c r="P975" s="1" t="s">
        <v>53</v>
      </c>
    </row>
    <row r="976" spans="1:16" x14ac:dyDescent="0.25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>
        <v>16</v>
      </c>
      <c r="J976" s="3">
        <v>28070.560000000001</v>
      </c>
      <c r="K976" s="2">
        <v>6</v>
      </c>
      <c r="L976" s="3">
        <v>422181.22</v>
      </c>
      <c r="M976">
        <v>46175</v>
      </c>
      <c r="N976" s="1" t="s">
        <v>45</v>
      </c>
      <c r="O976" s="1" t="s">
        <v>35</v>
      </c>
      <c r="P976" s="1" t="s">
        <v>53</v>
      </c>
    </row>
    <row r="977" spans="1:16" x14ac:dyDescent="0.25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>
        <v>3</v>
      </c>
      <c r="J977" s="3">
        <v>28151.88</v>
      </c>
      <c r="K977" s="2">
        <v>3.96</v>
      </c>
      <c r="L977" s="3">
        <v>81111.199999999997</v>
      </c>
      <c r="M977">
        <v>46316</v>
      </c>
      <c r="N977" s="1" t="s">
        <v>45</v>
      </c>
      <c r="O977" s="1" t="s">
        <v>35</v>
      </c>
      <c r="P977" s="1" t="s">
        <v>26</v>
      </c>
    </row>
    <row r="978" spans="1:16" x14ac:dyDescent="0.25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>
        <v>31</v>
      </c>
      <c r="J978" s="3">
        <v>41377.18</v>
      </c>
      <c r="K978" s="2">
        <v>14.04</v>
      </c>
      <c r="L978" s="3">
        <v>1102602.54</v>
      </c>
      <c r="M978">
        <v>46161</v>
      </c>
      <c r="N978" s="1" t="s">
        <v>24</v>
      </c>
      <c r="O978" s="1" t="s">
        <v>35</v>
      </c>
      <c r="P978" s="1" t="s">
        <v>53</v>
      </c>
    </row>
    <row r="979" spans="1:16" x14ac:dyDescent="0.25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>
        <v>48</v>
      </c>
      <c r="J979" s="3">
        <v>45255.8</v>
      </c>
      <c r="K979" s="2">
        <v>4.3899999999999997</v>
      </c>
      <c r="L979" s="3">
        <v>2076915.38</v>
      </c>
      <c r="M979">
        <v>46041</v>
      </c>
      <c r="N979" s="1" t="s">
        <v>24</v>
      </c>
      <c r="O979" s="1" t="s">
        <v>35</v>
      </c>
      <c r="P979" s="1" t="s">
        <v>26</v>
      </c>
    </row>
    <row r="980" spans="1:16" x14ac:dyDescent="0.25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>
        <v>41</v>
      </c>
      <c r="J980" s="3">
        <v>49010.55</v>
      </c>
      <c r="K980" s="2">
        <v>16.38</v>
      </c>
      <c r="L980" s="3">
        <v>1680287.5</v>
      </c>
      <c r="M980">
        <v>46130</v>
      </c>
      <c r="N980" s="1" t="s">
        <v>58</v>
      </c>
      <c r="O980" s="1" t="s">
        <v>59</v>
      </c>
      <c r="P980" s="1" t="s">
        <v>53</v>
      </c>
    </row>
    <row r="981" spans="1:16" x14ac:dyDescent="0.25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>
        <v>47</v>
      </c>
      <c r="J981" s="3">
        <v>4154.37</v>
      </c>
      <c r="K981" s="2">
        <v>18.079999999999998</v>
      </c>
      <c r="L981" s="3">
        <v>159953.22</v>
      </c>
      <c r="M981">
        <v>46042</v>
      </c>
      <c r="N981" s="1" t="s">
        <v>68</v>
      </c>
      <c r="O981" s="1" t="s">
        <v>35</v>
      </c>
      <c r="P981" s="1" t="s">
        <v>26</v>
      </c>
    </row>
    <row r="982" spans="1:16" x14ac:dyDescent="0.25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>
        <v>38</v>
      </c>
      <c r="J982" s="3">
        <v>44592.94</v>
      </c>
      <c r="K982" s="2">
        <v>8.9499999999999993</v>
      </c>
      <c r="L982" s="3">
        <v>1542871.13</v>
      </c>
      <c r="M982">
        <v>46080</v>
      </c>
      <c r="N982" s="1" t="s">
        <v>68</v>
      </c>
      <c r="O982" s="1" t="s">
        <v>35</v>
      </c>
      <c r="P982" s="1" t="s">
        <v>36</v>
      </c>
    </row>
    <row r="983" spans="1:16" x14ac:dyDescent="0.25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>
        <v>4</v>
      </c>
      <c r="J983" s="3">
        <v>43629.86</v>
      </c>
      <c r="K983" s="2">
        <v>10.8</v>
      </c>
      <c r="L983" s="3">
        <v>155671.34</v>
      </c>
      <c r="M983">
        <v>46345</v>
      </c>
      <c r="N983" s="1" t="s">
        <v>68</v>
      </c>
      <c r="O983" s="1" t="s">
        <v>35</v>
      </c>
      <c r="P983" s="1" t="s">
        <v>36</v>
      </c>
    </row>
    <row r="984" spans="1:16" x14ac:dyDescent="0.25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>
        <v>3</v>
      </c>
      <c r="J984" s="3">
        <v>40887.06</v>
      </c>
      <c r="K984" s="2">
        <v>12.65</v>
      </c>
      <c r="L984" s="3">
        <v>107144.54</v>
      </c>
      <c r="M984">
        <v>46134</v>
      </c>
      <c r="N984" s="1" t="s">
        <v>68</v>
      </c>
      <c r="O984" s="1" t="s">
        <v>35</v>
      </c>
      <c r="P984" s="1" t="s">
        <v>26</v>
      </c>
    </row>
    <row r="985" spans="1:16" x14ac:dyDescent="0.25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>
        <v>33</v>
      </c>
      <c r="J985" s="3">
        <v>5431.98</v>
      </c>
      <c r="K985" s="2">
        <v>1.1399999999999999</v>
      </c>
      <c r="L985" s="3">
        <v>177211.83</v>
      </c>
      <c r="M985">
        <v>46143</v>
      </c>
      <c r="N985" s="1" t="s">
        <v>113</v>
      </c>
      <c r="O985" s="1" t="s">
        <v>25</v>
      </c>
      <c r="P985" s="1" t="s">
        <v>26</v>
      </c>
    </row>
    <row r="986" spans="1:16" x14ac:dyDescent="0.25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>
        <v>33</v>
      </c>
      <c r="J986" s="3">
        <v>24867.82</v>
      </c>
      <c r="K986" s="2">
        <v>13.74</v>
      </c>
      <c r="L986" s="3">
        <v>707882.39</v>
      </c>
      <c r="M986">
        <v>46359</v>
      </c>
      <c r="N986" s="1" t="s">
        <v>68</v>
      </c>
      <c r="O986" s="1" t="s">
        <v>35</v>
      </c>
      <c r="P986" s="1" t="s">
        <v>53</v>
      </c>
    </row>
    <row r="987" spans="1:16" x14ac:dyDescent="0.25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>
        <v>22</v>
      </c>
      <c r="J987" s="3">
        <v>1479.43</v>
      </c>
      <c r="K987" s="2">
        <v>10.09</v>
      </c>
      <c r="L987" s="3">
        <v>29263.42</v>
      </c>
      <c r="M987">
        <v>46212</v>
      </c>
      <c r="N987" s="1" t="s">
        <v>58</v>
      </c>
      <c r="O987" s="1" t="s">
        <v>35</v>
      </c>
      <c r="P987" s="1" t="s">
        <v>26</v>
      </c>
    </row>
    <row r="988" spans="1:16" x14ac:dyDescent="0.25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>
        <v>15</v>
      </c>
      <c r="J988" s="3">
        <v>30672.27</v>
      </c>
      <c r="K988" s="2">
        <v>13.73</v>
      </c>
      <c r="L988" s="3">
        <v>396914.51</v>
      </c>
      <c r="M988">
        <v>46119</v>
      </c>
      <c r="N988" s="1" t="s">
        <v>24</v>
      </c>
      <c r="O988" s="1" t="s">
        <v>35</v>
      </c>
      <c r="P988" s="1" t="s">
        <v>36</v>
      </c>
    </row>
    <row r="989" spans="1:16" x14ac:dyDescent="0.25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>
        <v>23</v>
      </c>
      <c r="J989" s="3">
        <v>4599.0600000000004</v>
      </c>
      <c r="K989" s="2">
        <v>5.74</v>
      </c>
      <c r="L989" s="3">
        <v>99706.7</v>
      </c>
      <c r="M989">
        <v>46271</v>
      </c>
      <c r="N989" s="1" t="s">
        <v>58</v>
      </c>
      <c r="O989" s="1" t="s">
        <v>35</v>
      </c>
      <c r="P989" s="1" t="s">
        <v>36</v>
      </c>
    </row>
    <row r="990" spans="1:16" x14ac:dyDescent="0.25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>
        <v>21</v>
      </c>
      <c r="J990" s="3">
        <v>25037.94</v>
      </c>
      <c r="K990" s="2">
        <v>11.8</v>
      </c>
      <c r="L990" s="3">
        <v>463752.72</v>
      </c>
      <c r="M990">
        <v>46372</v>
      </c>
      <c r="N990" s="1" t="s">
        <v>58</v>
      </c>
      <c r="O990" s="1" t="s">
        <v>35</v>
      </c>
      <c r="P990" s="1" t="s">
        <v>26</v>
      </c>
    </row>
    <row r="991" spans="1:16" x14ac:dyDescent="0.25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>
        <v>41</v>
      </c>
      <c r="J991" s="3">
        <v>14112.89</v>
      </c>
      <c r="K991" s="2">
        <v>13.58</v>
      </c>
      <c r="L991" s="3">
        <v>500050.74</v>
      </c>
      <c r="M991">
        <v>46053</v>
      </c>
      <c r="N991" s="1" t="s">
        <v>68</v>
      </c>
      <c r="O991" s="1" t="s">
        <v>35</v>
      </c>
      <c r="P991" s="1" t="s">
        <v>26</v>
      </c>
    </row>
    <row r="992" spans="1:16" x14ac:dyDescent="0.25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>
        <v>38</v>
      </c>
      <c r="J992" s="3">
        <v>48939.85</v>
      </c>
      <c r="K992" s="2">
        <v>3.51</v>
      </c>
      <c r="L992" s="3">
        <v>1794438.33</v>
      </c>
      <c r="M992">
        <v>46237</v>
      </c>
      <c r="N992" s="1" t="s">
        <v>45</v>
      </c>
      <c r="O992" s="1" t="s">
        <v>35</v>
      </c>
      <c r="P992" s="1" t="s">
        <v>53</v>
      </c>
    </row>
    <row r="993" spans="1:16" x14ac:dyDescent="0.25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>
        <v>3</v>
      </c>
      <c r="J993" s="3">
        <v>2018.58</v>
      </c>
      <c r="K993" s="2">
        <v>0.02</v>
      </c>
      <c r="L993" s="3">
        <v>6054.53</v>
      </c>
      <c r="M993">
        <v>46082</v>
      </c>
      <c r="N993" s="1" t="s">
        <v>24</v>
      </c>
      <c r="O993" s="1" t="s">
        <v>35</v>
      </c>
      <c r="P993" s="1" t="s">
        <v>53</v>
      </c>
    </row>
    <row r="994" spans="1:16" x14ac:dyDescent="0.25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>
        <v>2</v>
      </c>
      <c r="J994" s="3">
        <v>37534.910000000003</v>
      </c>
      <c r="K994" s="2">
        <v>18.97</v>
      </c>
      <c r="L994" s="3">
        <v>60829.08</v>
      </c>
      <c r="M994">
        <v>46361</v>
      </c>
      <c r="N994" s="1" t="s">
        <v>24</v>
      </c>
      <c r="O994" s="1" t="s">
        <v>35</v>
      </c>
      <c r="P994" s="1" t="s">
        <v>26</v>
      </c>
    </row>
    <row r="995" spans="1:16" x14ac:dyDescent="0.25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>
        <v>33</v>
      </c>
      <c r="J995" s="3">
        <v>21424.22</v>
      </c>
      <c r="K995" s="2">
        <v>12.23</v>
      </c>
      <c r="L995" s="3">
        <v>620533.25</v>
      </c>
      <c r="M995">
        <v>46166</v>
      </c>
      <c r="N995" s="1" t="s">
        <v>45</v>
      </c>
      <c r="O995" s="1" t="s">
        <v>35</v>
      </c>
      <c r="P995" s="1" t="s">
        <v>26</v>
      </c>
    </row>
    <row r="996" spans="1:16" x14ac:dyDescent="0.25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>
        <v>20</v>
      </c>
      <c r="J996" s="3">
        <v>25430.42</v>
      </c>
      <c r="K996" s="2">
        <v>12.28</v>
      </c>
      <c r="L996" s="3">
        <v>446151.29</v>
      </c>
      <c r="M996">
        <v>46310</v>
      </c>
      <c r="N996" s="1" t="s">
        <v>113</v>
      </c>
      <c r="O996" s="1" t="s">
        <v>35</v>
      </c>
      <c r="P996" s="1" t="s">
        <v>36</v>
      </c>
    </row>
    <row r="997" spans="1:16" x14ac:dyDescent="0.25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>
        <v>18</v>
      </c>
      <c r="J997" s="3">
        <v>18804.96</v>
      </c>
      <c r="K997" s="2">
        <v>11.67</v>
      </c>
      <c r="L997" s="3">
        <v>298987.58</v>
      </c>
      <c r="M997">
        <v>46030</v>
      </c>
      <c r="N997" s="1" t="s">
        <v>45</v>
      </c>
      <c r="O997" s="1" t="s">
        <v>25</v>
      </c>
      <c r="P997" s="1" t="s">
        <v>26</v>
      </c>
    </row>
    <row r="998" spans="1:16" x14ac:dyDescent="0.25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>
        <v>48</v>
      </c>
      <c r="J998" s="3">
        <v>34472.080000000002</v>
      </c>
      <c r="K998" s="2">
        <v>14.93</v>
      </c>
      <c r="L998" s="3">
        <v>1407619.13</v>
      </c>
      <c r="M998">
        <v>46264</v>
      </c>
      <c r="N998" s="1" t="s">
        <v>24</v>
      </c>
      <c r="O998" s="1" t="s">
        <v>25</v>
      </c>
      <c r="P998" s="1" t="s">
        <v>36</v>
      </c>
    </row>
    <row r="999" spans="1:16" x14ac:dyDescent="0.25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>
        <v>45</v>
      </c>
      <c r="J999" s="3">
        <v>1971.91</v>
      </c>
      <c r="K999" s="2">
        <v>11.39</v>
      </c>
      <c r="L999" s="3">
        <v>78628.929999999993</v>
      </c>
      <c r="M999">
        <v>46145</v>
      </c>
      <c r="N999" s="1" t="s">
        <v>58</v>
      </c>
      <c r="O999" s="1" t="s">
        <v>35</v>
      </c>
      <c r="P999" s="1" t="s">
        <v>36</v>
      </c>
    </row>
    <row r="1000" spans="1:16" x14ac:dyDescent="0.25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>
        <v>7</v>
      </c>
      <c r="J1000" s="3">
        <v>14955.54</v>
      </c>
      <c r="K1000" s="2">
        <v>6.32</v>
      </c>
      <c r="L1000" s="3">
        <v>98072.45</v>
      </c>
      <c r="M1000">
        <v>46097</v>
      </c>
      <c r="N1000" s="1" t="s">
        <v>45</v>
      </c>
      <c r="O1000" s="1" t="s">
        <v>35</v>
      </c>
      <c r="P1000" s="1" t="s">
        <v>26</v>
      </c>
    </row>
    <row r="1001" spans="1:16" x14ac:dyDescent="0.25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>
        <v>14</v>
      </c>
      <c r="J1001" s="3">
        <v>32826.370000000003</v>
      </c>
      <c r="K1001" s="2">
        <v>0.3</v>
      </c>
      <c r="L1001" s="3">
        <v>458190.47</v>
      </c>
      <c r="M1001">
        <v>46303</v>
      </c>
      <c r="N1001" s="1" t="s">
        <v>113</v>
      </c>
      <c r="O1001" s="1" t="s">
        <v>35</v>
      </c>
      <c r="P1001" s="1" t="s">
        <v>26</v>
      </c>
    </row>
    <row r="1002" spans="1:16" x14ac:dyDescent="0.25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>
        <v>44</v>
      </c>
      <c r="J1002" s="3">
        <v>2697.86</v>
      </c>
      <c r="K1002" s="2">
        <v>14.71</v>
      </c>
      <c r="L1002" s="3">
        <v>101244.21</v>
      </c>
      <c r="M1002">
        <v>46077</v>
      </c>
      <c r="N1002" s="1" t="s">
        <v>24</v>
      </c>
      <c r="O1002" s="1" t="s">
        <v>35</v>
      </c>
      <c r="P1002" s="1" t="s">
        <v>36</v>
      </c>
    </row>
    <row r="1003" spans="1:16" x14ac:dyDescent="0.25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>
        <v>18</v>
      </c>
      <c r="J1003" s="3">
        <v>28147.05</v>
      </c>
      <c r="K1003" s="2">
        <v>15.04</v>
      </c>
      <c r="L1003" s="3">
        <v>430447.21</v>
      </c>
      <c r="M1003">
        <v>46072</v>
      </c>
      <c r="N1003" s="1" t="s">
        <v>24</v>
      </c>
      <c r="O1003" s="1" t="s">
        <v>35</v>
      </c>
      <c r="P1003" s="1" t="s">
        <v>36</v>
      </c>
    </row>
    <row r="1004" spans="1:16" x14ac:dyDescent="0.25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>
        <v>41</v>
      </c>
      <c r="J1004" s="3">
        <v>49922.239999999998</v>
      </c>
      <c r="K1004" s="2">
        <v>4.1399999999999997</v>
      </c>
      <c r="L1004" s="3">
        <v>1962073.83</v>
      </c>
      <c r="M1004">
        <v>46147</v>
      </c>
      <c r="N1004" s="1" t="s">
        <v>24</v>
      </c>
      <c r="O1004" s="1" t="s">
        <v>35</v>
      </c>
      <c r="P1004" s="1" t="s">
        <v>36</v>
      </c>
    </row>
    <row r="1005" spans="1:16" x14ac:dyDescent="0.25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>
        <v>36</v>
      </c>
      <c r="J1005" s="3">
        <v>36076.5</v>
      </c>
      <c r="K1005" s="2">
        <v>9.91</v>
      </c>
      <c r="L1005" s="3">
        <v>1170047.48</v>
      </c>
      <c r="M1005">
        <v>46128</v>
      </c>
      <c r="N1005" s="1" t="s">
        <v>113</v>
      </c>
      <c r="O1005" s="1" t="s">
        <v>35</v>
      </c>
      <c r="P1005" s="1" t="s">
        <v>36</v>
      </c>
    </row>
    <row r="1006" spans="1:16" x14ac:dyDescent="0.25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>
        <v>5</v>
      </c>
      <c r="J1006" s="3">
        <v>3394.63</v>
      </c>
      <c r="K1006" s="2">
        <v>5.84</v>
      </c>
      <c r="L1006" s="3">
        <v>15981.92</v>
      </c>
      <c r="M1006">
        <v>46319</v>
      </c>
      <c r="N1006" s="1" t="s">
        <v>45</v>
      </c>
      <c r="O1006" s="1" t="s">
        <v>35</v>
      </c>
      <c r="P1006" s="1" t="s">
        <v>53</v>
      </c>
    </row>
    <row r="1007" spans="1:16" x14ac:dyDescent="0.25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>
        <v>15</v>
      </c>
      <c r="J1007" s="3">
        <v>12831.08</v>
      </c>
      <c r="K1007" s="2">
        <v>18.53</v>
      </c>
      <c r="L1007" s="3">
        <v>156802.21</v>
      </c>
      <c r="M1007">
        <v>46341</v>
      </c>
      <c r="N1007" s="1" t="s">
        <v>113</v>
      </c>
      <c r="O1007" s="1" t="s">
        <v>35</v>
      </c>
      <c r="P1007" s="1" t="s">
        <v>26</v>
      </c>
    </row>
    <row r="1008" spans="1:16" x14ac:dyDescent="0.25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>
        <v>49</v>
      </c>
      <c r="J1008" s="3">
        <v>49544.3</v>
      </c>
      <c r="K1008" s="2">
        <v>5.01</v>
      </c>
      <c r="L1008" s="3">
        <v>2306044.4</v>
      </c>
      <c r="M1008">
        <v>46143</v>
      </c>
      <c r="N1008" s="1" t="s">
        <v>68</v>
      </c>
      <c r="O1008" s="1" t="s">
        <v>59</v>
      </c>
      <c r="P1008" s="1" t="s">
        <v>53</v>
      </c>
    </row>
    <row r="1009" spans="1:16" x14ac:dyDescent="0.25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>
        <v>1</v>
      </c>
      <c r="J1009" s="3">
        <v>16539.099999999999</v>
      </c>
      <c r="K1009" s="2">
        <v>12.57</v>
      </c>
      <c r="L1009" s="3">
        <v>14460.14</v>
      </c>
      <c r="M1009">
        <v>46128</v>
      </c>
      <c r="N1009" s="1" t="s">
        <v>45</v>
      </c>
      <c r="O1009" s="1" t="s">
        <v>35</v>
      </c>
      <c r="P1009" s="1" t="s">
        <v>36</v>
      </c>
    </row>
    <row r="1010" spans="1:16" x14ac:dyDescent="0.25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>
        <v>21</v>
      </c>
      <c r="J1010" s="3">
        <v>27960.86</v>
      </c>
      <c r="K1010" s="2">
        <v>13.79</v>
      </c>
      <c r="L1010" s="3">
        <v>506206.21</v>
      </c>
      <c r="M1010">
        <v>46142</v>
      </c>
      <c r="N1010" s="1" t="s">
        <v>24</v>
      </c>
      <c r="O1010" s="1" t="s">
        <v>35</v>
      </c>
      <c r="P1010" s="1" t="s">
        <v>26</v>
      </c>
    </row>
    <row r="1011" spans="1:16" x14ac:dyDescent="0.25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>
        <v>9</v>
      </c>
      <c r="J1011" s="3">
        <v>2043.11</v>
      </c>
      <c r="K1011" s="2">
        <v>8.27</v>
      </c>
      <c r="L1011" s="3">
        <v>16867.3</v>
      </c>
      <c r="M1011">
        <v>46291</v>
      </c>
      <c r="N1011" s="1" t="s">
        <v>68</v>
      </c>
      <c r="O1011" s="1" t="s">
        <v>35</v>
      </c>
      <c r="P1011" s="1" t="s">
        <v>26</v>
      </c>
    </row>
    <row r="1012" spans="1:16" x14ac:dyDescent="0.25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>
        <v>38</v>
      </c>
      <c r="J1012" s="3">
        <v>12355.46</v>
      </c>
      <c r="K1012" s="2">
        <v>18.16</v>
      </c>
      <c r="L1012" s="3">
        <v>384244.92</v>
      </c>
      <c r="M1012">
        <v>46293</v>
      </c>
      <c r="N1012" s="1" t="s">
        <v>24</v>
      </c>
      <c r="O1012" s="1" t="s">
        <v>35</v>
      </c>
      <c r="P1012" s="1" t="s">
        <v>53</v>
      </c>
    </row>
    <row r="1013" spans="1:16" x14ac:dyDescent="0.25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>
        <v>49</v>
      </c>
      <c r="J1013" s="3">
        <v>37276.31</v>
      </c>
      <c r="K1013" s="2">
        <v>11.44</v>
      </c>
      <c r="L1013" s="3">
        <v>1617583.11</v>
      </c>
      <c r="M1013">
        <v>46116</v>
      </c>
      <c r="N1013" s="1" t="s">
        <v>24</v>
      </c>
      <c r="O1013" s="1" t="s">
        <v>35</v>
      </c>
      <c r="P1013" s="1" t="s">
        <v>53</v>
      </c>
    </row>
    <row r="1014" spans="1:16" x14ac:dyDescent="0.25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>
        <v>3</v>
      </c>
      <c r="J1014" s="3">
        <v>8045</v>
      </c>
      <c r="K1014" s="2">
        <v>18.25</v>
      </c>
      <c r="L1014" s="3">
        <v>19730.36</v>
      </c>
      <c r="M1014">
        <v>46357</v>
      </c>
      <c r="N1014" s="1" t="s">
        <v>58</v>
      </c>
      <c r="O1014" s="1" t="s">
        <v>35</v>
      </c>
      <c r="P1014" s="1" t="s">
        <v>26</v>
      </c>
    </row>
    <row r="1015" spans="1:16" x14ac:dyDescent="0.25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>
        <v>32</v>
      </c>
      <c r="J1015" s="3">
        <v>27621.41</v>
      </c>
      <c r="K1015" s="2">
        <v>15.09</v>
      </c>
      <c r="L1015" s="3">
        <v>750506.86</v>
      </c>
      <c r="M1015">
        <v>46023</v>
      </c>
      <c r="N1015" s="1" t="s">
        <v>24</v>
      </c>
      <c r="O1015" s="1" t="s">
        <v>25</v>
      </c>
      <c r="P1015" s="1" t="s">
        <v>53</v>
      </c>
    </row>
    <row r="1016" spans="1:16" x14ac:dyDescent="0.25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>
        <v>38</v>
      </c>
      <c r="J1016" s="3">
        <v>3335.8</v>
      </c>
      <c r="K1016" s="2">
        <v>14.03</v>
      </c>
      <c r="L1016" s="3">
        <v>108975.92</v>
      </c>
      <c r="M1016">
        <v>46261</v>
      </c>
      <c r="N1016" s="1" t="s">
        <v>45</v>
      </c>
      <c r="O1016" s="1" t="s">
        <v>35</v>
      </c>
      <c r="P1016" s="1" t="s">
        <v>26</v>
      </c>
    </row>
    <row r="1017" spans="1:16" x14ac:dyDescent="0.25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>
        <v>27</v>
      </c>
      <c r="J1017" s="3">
        <v>4783.3900000000003</v>
      </c>
      <c r="K1017" s="2">
        <v>12.06</v>
      </c>
      <c r="L1017" s="3">
        <v>113575.86</v>
      </c>
      <c r="M1017">
        <v>46247</v>
      </c>
      <c r="N1017" s="1" t="s">
        <v>58</v>
      </c>
      <c r="O1017" s="1" t="s">
        <v>35</v>
      </c>
      <c r="P1017" s="1" t="s">
        <v>26</v>
      </c>
    </row>
    <row r="1018" spans="1:16" x14ac:dyDescent="0.25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>
        <v>16</v>
      </c>
      <c r="J1018" s="3">
        <v>42496.89</v>
      </c>
      <c r="K1018" s="2">
        <v>16.149999999999999</v>
      </c>
      <c r="L1018" s="3">
        <v>570138.28</v>
      </c>
      <c r="M1018">
        <v>46318</v>
      </c>
      <c r="N1018" s="1" t="s">
        <v>68</v>
      </c>
      <c r="O1018" s="1" t="s">
        <v>35</v>
      </c>
      <c r="P1018" s="1" t="s">
        <v>26</v>
      </c>
    </row>
    <row r="1019" spans="1:16" x14ac:dyDescent="0.25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>
        <v>20</v>
      </c>
      <c r="J1019" s="3">
        <v>37213.01</v>
      </c>
      <c r="K1019" s="2">
        <v>0.59</v>
      </c>
      <c r="L1019" s="3">
        <v>739869.06</v>
      </c>
      <c r="M1019">
        <v>46345</v>
      </c>
      <c r="N1019" s="1" t="s">
        <v>68</v>
      </c>
      <c r="O1019" s="1" t="s">
        <v>25</v>
      </c>
      <c r="P1019" s="1" t="s">
        <v>53</v>
      </c>
    </row>
    <row r="1020" spans="1:16" x14ac:dyDescent="0.25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>
        <v>37</v>
      </c>
      <c r="J1020" s="3">
        <v>46508.61</v>
      </c>
      <c r="K1020" s="2">
        <v>19.5</v>
      </c>
      <c r="L1020" s="3">
        <v>1385258.95</v>
      </c>
      <c r="M1020">
        <v>46099</v>
      </c>
      <c r="N1020" s="1" t="s">
        <v>24</v>
      </c>
      <c r="O1020" s="1" t="s">
        <v>35</v>
      </c>
      <c r="P1020" s="1" t="s">
        <v>53</v>
      </c>
    </row>
    <row r="1021" spans="1:16" x14ac:dyDescent="0.25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>
        <v>7</v>
      </c>
      <c r="J1021" s="3">
        <v>40203.58</v>
      </c>
      <c r="K1021" s="2">
        <v>5.44</v>
      </c>
      <c r="L1021" s="3">
        <v>266115.53999999998</v>
      </c>
      <c r="M1021">
        <v>46246</v>
      </c>
      <c r="N1021" s="1" t="s">
        <v>24</v>
      </c>
      <c r="O1021" s="1" t="s">
        <v>35</v>
      </c>
      <c r="P1021" s="1" t="s">
        <v>53</v>
      </c>
    </row>
    <row r="1022" spans="1:16" x14ac:dyDescent="0.25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>
        <v>41</v>
      </c>
      <c r="J1022" s="3">
        <v>17474.830000000002</v>
      </c>
      <c r="K1022" s="2">
        <v>17.37</v>
      </c>
      <c r="L1022" s="3">
        <v>592017.53</v>
      </c>
      <c r="M1022">
        <v>46228</v>
      </c>
      <c r="N1022" s="1" t="s">
        <v>113</v>
      </c>
      <c r="O1022" s="1" t="s">
        <v>59</v>
      </c>
      <c r="P1022" s="1" t="s">
        <v>36</v>
      </c>
    </row>
    <row r="1023" spans="1:16" x14ac:dyDescent="0.25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>
        <v>22</v>
      </c>
      <c r="J1023" s="3">
        <v>41529.47</v>
      </c>
      <c r="K1023" s="2">
        <v>5.92</v>
      </c>
      <c r="L1023" s="3">
        <v>859560.36</v>
      </c>
      <c r="M1023">
        <v>46216</v>
      </c>
      <c r="N1023" s="1" t="s">
        <v>24</v>
      </c>
      <c r="O1023" s="1" t="s">
        <v>35</v>
      </c>
      <c r="P1023" s="1" t="s">
        <v>26</v>
      </c>
    </row>
    <row r="1024" spans="1:16" x14ac:dyDescent="0.25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>
        <v>48</v>
      </c>
      <c r="J1024" s="3">
        <v>27470.65</v>
      </c>
      <c r="K1024" s="2">
        <v>10.92</v>
      </c>
      <c r="L1024" s="3">
        <v>1174601.04</v>
      </c>
      <c r="M1024">
        <v>46080</v>
      </c>
      <c r="N1024" s="1" t="s">
        <v>45</v>
      </c>
      <c r="O1024" s="1" t="s">
        <v>25</v>
      </c>
      <c r="P1024" s="1" t="s">
        <v>26</v>
      </c>
    </row>
    <row r="1025" spans="1:16" x14ac:dyDescent="0.25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>
        <v>44</v>
      </c>
      <c r="J1025" s="3">
        <v>22608.22</v>
      </c>
      <c r="K1025" s="2">
        <v>9.39</v>
      </c>
      <c r="L1025" s="3">
        <v>901353.56</v>
      </c>
      <c r="M1025">
        <v>46190</v>
      </c>
      <c r="N1025" s="1" t="s">
        <v>24</v>
      </c>
      <c r="O1025" s="1" t="s">
        <v>35</v>
      </c>
      <c r="P1025" s="1" t="s">
        <v>26</v>
      </c>
    </row>
    <row r="1026" spans="1:16" x14ac:dyDescent="0.25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>
        <v>42</v>
      </c>
      <c r="J1026" s="3">
        <v>35018.400000000001</v>
      </c>
      <c r="K1026" s="2">
        <v>4.25</v>
      </c>
      <c r="L1026" s="3">
        <v>1408264.96</v>
      </c>
      <c r="M1026">
        <v>46365</v>
      </c>
      <c r="N1026" s="1" t="s">
        <v>113</v>
      </c>
      <c r="O1026" s="1" t="s">
        <v>35</v>
      </c>
      <c r="P1026" s="1" t="s">
        <v>26</v>
      </c>
    </row>
    <row r="1027" spans="1:16" x14ac:dyDescent="0.25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>
        <v>22</v>
      </c>
      <c r="J1027" s="3">
        <v>28283.360000000001</v>
      </c>
      <c r="K1027" s="2">
        <v>11.3</v>
      </c>
      <c r="L1027" s="3">
        <v>551921.49</v>
      </c>
      <c r="M1027">
        <v>46300</v>
      </c>
      <c r="N1027" s="1" t="s">
        <v>24</v>
      </c>
      <c r="O1027" s="1" t="s">
        <v>35</v>
      </c>
      <c r="P1027" s="1" t="s">
        <v>26</v>
      </c>
    </row>
    <row r="1028" spans="1:16" x14ac:dyDescent="0.25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>
        <v>14</v>
      </c>
      <c r="J1028" s="3">
        <v>43851.9</v>
      </c>
      <c r="K1028" s="2">
        <v>0.79</v>
      </c>
      <c r="L1028" s="3">
        <v>609076.57999999996</v>
      </c>
      <c r="M1028">
        <v>46337</v>
      </c>
      <c r="N1028" s="1" t="s">
        <v>113</v>
      </c>
      <c r="O1028" s="1" t="s">
        <v>59</v>
      </c>
      <c r="P1028" s="1" t="s">
        <v>53</v>
      </c>
    </row>
    <row r="1029" spans="1:16" x14ac:dyDescent="0.25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>
        <v>31</v>
      </c>
      <c r="J1029" s="3">
        <v>29896.3</v>
      </c>
      <c r="K1029" s="2">
        <v>2.11</v>
      </c>
      <c r="L1029" s="3">
        <v>907230.13</v>
      </c>
      <c r="M1029">
        <v>46207</v>
      </c>
      <c r="N1029" s="1" t="s">
        <v>113</v>
      </c>
      <c r="O1029" s="1" t="s">
        <v>35</v>
      </c>
      <c r="P1029" s="1" t="s">
        <v>53</v>
      </c>
    </row>
    <row r="1030" spans="1:16" x14ac:dyDescent="0.25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>
        <v>45</v>
      </c>
      <c r="J1030" s="3">
        <v>22950.21</v>
      </c>
      <c r="K1030" s="2">
        <v>4.87</v>
      </c>
      <c r="L1030" s="3">
        <v>982464.06</v>
      </c>
      <c r="M1030">
        <v>46216</v>
      </c>
      <c r="N1030" s="1" t="s">
        <v>68</v>
      </c>
      <c r="O1030" s="1" t="s">
        <v>35</v>
      </c>
      <c r="P1030" s="1" t="s">
        <v>36</v>
      </c>
    </row>
    <row r="1031" spans="1:16" x14ac:dyDescent="0.25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>
        <v>2</v>
      </c>
      <c r="J1031" s="3">
        <v>11912.78</v>
      </c>
      <c r="K1031" s="2">
        <v>2.21</v>
      </c>
      <c r="L1031" s="3">
        <v>23299.02</v>
      </c>
      <c r="M1031">
        <v>46333</v>
      </c>
      <c r="N1031" s="1" t="s">
        <v>58</v>
      </c>
      <c r="O1031" s="1" t="s">
        <v>35</v>
      </c>
      <c r="P1031" s="1" t="s">
        <v>53</v>
      </c>
    </row>
    <row r="1032" spans="1:16" x14ac:dyDescent="0.25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>
        <v>29</v>
      </c>
      <c r="J1032" s="3">
        <v>25688.94</v>
      </c>
      <c r="K1032" s="2">
        <v>5.18</v>
      </c>
      <c r="L1032" s="3">
        <v>706389.33</v>
      </c>
      <c r="M1032">
        <v>46152</v>
      </c>
      <c r="N1032" s="1" t="s">
        <v>24</v>
      </c>
      <c r="O1032" s="1" t="s">
        <v>35</v>
      </c>
      <c r="P1032" s="1" t="s">
        <v>53</v>
      </c>
    </row>
    <row r="1033" spans="1:16" x14ac:dyDescent="0.25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>
        <v>30</v>
      </c>
      <c r="J1033" s="3">
        <v>29664.66</v>
      </c>
      <c r="K1033" s="2">
        <v>1.34</v>
      </c>
      <c r="L1033" s="3">
        <v>878014.61</v>
      </c>
      <c r="M1033">
        <v>46232</v>
      </c>
      <c r="N1033" s="1" t="s">
        <v>24</v>
      </c>
      <c r="O1033" s="1" t="s">
        <v>35</v>
      </c>
      <c r="P1033" s="1" t="s">
        <v>26</v>
      </c>
    </row>
    <row r="1034" spans="1:16" x14ac:dyDescent="0.25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>
        <v>16</v>
      </c>
      <c r="J1034" s="3">
        <v>980.18</v>
      </c>
      <c r="K1034" s="2">
        <v>11.15</v>
      </c>
      <c r="L1034" s="3">
        <v>13934.24</v>
      </c>
      <c r="M1034">
        <v>46260</v>
      </c>
      <c r="N1034" s="1" t="s">
        <v>45</v>
      </c>
      <c r="O1034" s="1" t="s">
        <v>35</v>
      </c>
      <c r="P1034" s="1" t="s">
        <v>26</v>
      </c>
    </row>
    <row r="1035" spans="1:16" x14ac:dyDescent="0.25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>
        <v>11</v>
      </c>
      <c r="J1035" s="3">
        <v>49533.42</v>
      </c>
      <c r="K1035" s="2">
        <v>6.29</v>
      </c>
      <c r="L1035" s="3">
        <v>510595.45</v>
      </c>
      <c r="M1035">
        <v>46194</v>
      </c>
      <c r="N1035" s="1" t="s">
        <v>68</v>
      </c>
      <c r="O1035" s="1" t="s">
        <v>59</v>
      </c>
      <c r="P1035" s="1" t="s">
        <v>53</v>
      </c>
    </row>
    <row r="1036" spans="1:16" x14ac:dyDescent="0.25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>
        <v>3</v>
      </c>
      <c r="J1036" s="3">
        <v>35527.06</v>
      </c>
      <c r="K1036" s="2">
        <v>16.86</v>
      </c>
      <c r="L1036" s="3">
        <v>88611.59</v>
      </c>
      <c r="M1036">
        <v>46380</v>
      </c>
      <c r="N1036" s="1" t="s">
        <v>24</v>
      </c>
      <c r="O1036" s="1" t="s">
        <v>35</v>
      </c>
      <c r="P1036" s="1" t="s">
        <v>36</v>
      </c>
    </row>
    <row r="1037" spans="1:16" x14ac:dyDescent="0.25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>
        <v>42</v>
      </c>
      <c r="J1037" s="3">
        <v>17740.97</v>
      </c>
      <c r="K1037" s="2">
        <v>2.13</v>
      </c>
      <c r="L1037" s="3">
        <v>729249.67</v>
      </c>
      <c r="M1037">
        <v>46061</v>
      </c>
      <c r="N1037" s="1" t="s">
        <v>45</v>
      </c>
      <c r="O1037" s="1" t="s">
        <v>35</v>
      </c>
      <c r="P1037" s="1" t="s">
        <v>26</v>
      </c>
    </row>
    <row r="1038" spans="1:16" x14ac:dyDescent="0.25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>
        <v>41</v>
      </c>
      <c r="J1038" s="3">
        <v>47549.61</v>
      </c>
      <c r="K1038" s="2">
        <v>10.51</v>
      </c>
      <c r="L1038" s="3">
        <v>1744637.99</v>
      </c>
      <c r="M1038">
        <v>46170</v>
      </c>
      <c r="N1038" s="1" t="s">
        <v>113</v>
      </c>
      <c r="O1038" s="1" t="s">
        <v>25</v>
      </c>
      <c r="P1038" s="1" t="s">
        <v>36</v>
      </c>
    </row>
    <row r="1039" spans="1:16" x14ac:dyDescent="0.25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>
        <v>19</v>
      </c>
      <c r="J1039" s="3">
        <v>3656.97</v>
      </c>
      <c r="K1039" s="2">
        <v>15.41</v>
      </c>
      <c r="L1039" s="3">
        <v>58775.19</v>
      </c>
      <c r="M1039">
        <v>46331</v>
      </c>
      <c r="N1039" s="1" t="s">
        <v>58</v>
      </c>
      <c r="O1039" s="1" t="s">
        <v>35</v>
      </c>
      <c r="P1039" s="1" t="s">
        <v>26</v>
      </c>
    </row>
    <row r="1040" spans="1:16" x14ac:dyDescent="0.25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>
        <v>43</v>
      </c>
      <c r="J1040" s="3">
        <v>33838.699999999997</v>
      </c>
      <c r="K1040" s="2">
        <v>10.16</v>
      </c>
      <c r="L1040" s="3">
        <v>1307229.5900000001</v>
      </c>
      <c r="M1040">
        <v>46231</v>
      </c>
      <c r="N1040" s="1" t="s">
        <v>58</v>
      </c>
      <c r="O1040" s="1" t="s">
        <v>35</v>
      </c>
      <c r="P1040" s="1" t="s">
        <v>53</v>
      </c>
    </row>
    <row r="1041" spans="1:16" x14ac:dyDescent="0.25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>
        <v>11</v>
      </c>
      <c r="J1041" s="3">
        <v>12065.07</v>
      </c>
      <c r="K1041" s="2">
        <v>11.1</v>
      </c>
      <c r="L1041" s="3">
        <v>117984.32000000001</v>
      </c>
      <c r="M1041">
        <v>46369</v>
      </c>
      <c r="N1041" s="1" t="s">
        <v>45</v>
      </c>
      <c r="O1041" s="1" t="s">
        <v>35</v>
      </c>
      <c r="P1041" s="1" t="s">
        <v>36</v>
      </c>
    </row>
    <row r="1042" spans="1:16" x14ac:dyDescent="0.25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>
        <v>24</v>
      </c>
      <c r="J1042" s="3">
        <v>42576.6</v>
      </c>
      <c r="K1042" s="2">
        <v>11.76</v>
      </c>
      <c r="L1042" s="3">
        <v>901670.2</v>
      </c>
      <c r="M1042">
        <v>46150</v>
      </c>
      <c r="N1042" s="1" t="s">
        <v>24</v>
      </c>
      <c r="O1042" s="1" t="s">
        <v>35</v>
      </c>
      <c r="P1042" s="1" t="s">
        <v>36</v>
      </c>
    </row>
    <row r="1043" spans="1:16" x14ac:dyDescent="0.25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>
        <v>7</v>
      </c>
      <c r="J1043" s="3">
        <v>15477.24</v>
      </c>
      <c r="K1043" s="2">
        <v>15.94</v>
      </c>
      <c r="L1043" s="3">
        <v>91071.18</v>
      </c>
      <c r="M1043">
        <v>46081</v>
      </c>
      <c r="N1043" s="1" t="s">
        <v>58</v>
      </c>
      <c r="O1043" s="1" t="s">
        <v>35</v>
      </c>
      <c r="P1043" s="1" t="s">
        <v>26</v>
      </c>
    </row>
    <row r="1044" spans="1:16" x14ac:dyDescent="0.25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>
        <v>49</v>
      </c>
      <c r="J1044" s="3">
        <v>42721.07</v>
      </c>
      <c r="K1044" s="2">
        <v>12.95</v>
      </c>
      <c r="L1044" s="3">
        <v>1822245.88</v>
      </c>
      <c r="M1044">
        <v>46098</v>
      </c>
      <c r="N1044" s="1" t="s">
        <v>68</v>
      </c>
      <c r="O1044" s="1" t="s">
        <v>35</v>
      </c>
      <c r="P1044" s="1" t="s">
        <v>36</v>
      </c>
    </row>
    <row r="1045" spans="1:16" x14ac:dyDescent="0.25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>
        <v>7</v>
      </c>
      <c r="J1045" s="3">
        <v>13662.91</v>
      </c>
      <c r="K1045" s="2">
        <v>8.2200000000000006</v>
      </c>
      <c r="L1045" s="3">
        <v>87778.73</v>
      </c>
      <c r="M1045">
        <v>46335</v>
      </c>
      <c r="N1045" s="1" t="s">
        <v>45</v>
      </c>
      <c r="O1045" s="1" t="s">
        <v>35</v>
      </c>
      <c r="P1045" s="1" t="s">
        <v>36</v>
      </c>
    </row>
    <row r="1046" spans="1:16" x14ac:dyDescent="0.25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>
        <v>38</v>
      </c>
      <c r="J1046" s="3">
        <v>42724.73</v>
      </c>
      <c r="K1046" s="2">
        <v>9.3800000000000008</v>
      </c>
      <c r="L1046" s="3">
        <v>1471251.71</v>
      </c>
      <c r="M1046">
        <v>46330</v>
      </c>
      <c r="N1046" s="1" t="s">
        <v>113</v>
      </c>
      <c r="O1046" s="1" t="s">
        <v>35</v>
      </c>
      <c r="P1046" s="1" t="s">
        <v>53</v>
      </c>
    </row>
    <row r="1047" spans="1:16" x14ac:dyDescent="0.25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>
        <v>35</v>
      </c>
      <c r="J1047" s="3">
        <v>4416.8100000000004</v>
      </c>
      <c r="K1047" s="2">
        <v>17</v>
      </c>
      <c r="L1047" s="3">
        <v>128308.33</v>
      </c>
      <c r="M1047">
        <v>46063</v>
      </c>
      <c r="N1047" s="1" t="s">
        <v>24</v>
      </c>
      <c r="O1047" s="1" t="s">
        <v>35</v>
      </c>
      <c r="P1047" s="1" t="s">
        <v>53</v>
      </c>
    </row>
    <row r="1048" spans="1:16" x14ac:dyDescent="0.25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>
        <v>41</v>
      </c>
      <c r="J1048" s="3">
        <v>37783.03</v>
      </c>
      <c r="K1048" s="2">
        <v>11.31</v>
      </c>
      <c r="L1048" s="3">
        <v>1373900.54</v>
      </c>
      <c r="M1048">
        <v>46101</v>
      </c>
      <c r="N1048" s="1" t="s">
        <v>45</v>
      </c>
      <c r="O1048" s="1" t="s">
        <v>35</v>
      </c>
      <c r="P1048" s="1" t="s">
        <v>26</v>
      </c>
    </row>
    <row r="1049" spans="1:16" x14ac:dyDescent="0.25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>
        <v>19</v>
      </c>
      <c r="J1049" s="3">
        <v>43607.87</v>
      </c>
      <c r="K1049" s="2">
        <v>8.09</v>
      </c>
      <c r="L1049" s="3">
        <v>761519.87</v>
      </c>
      <c r="M1049">
        <v>46147</v>
      </c>
      <c r="N1049" s="1" t="s">
        <v>58</v>
      </c>
      <c r="O1049" s="1" t="s">
        <v>35</v>
      </c>
      <c r="P1049" s="1" t="s">
        <v>36</v>
      </c>
    </row>
    <row r="1050" spans="1:16" x14ac:dyDescent="0.25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>
        <v>8</v>
      </c>
      <c r="J1050" s="3">
        <v>8356.56</v>
      </c>
      <c r="K1050" s="2">
        <v>12.29</v>
      </c>
      <c r="L1050" s="3">
        <v>58636.31</v>
      </c>
      <c r="M1050">
        <v>46176</v>
      </c>
      <c r="N1050" s="1" t="s">
        <v>45</v>
      </c>
      <c r="O1050" s="1" t="s">
        <v>35</v>
      </c>
      <c r="P1050" s="1" t="s">
        <v>36</v>
      </c>
    </row>
    <row r="1051" spans="1:16" x14ac:dyDescent="0.25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>
        <v>45</v>
      </c>
      <c r="J1051" s="3">
        <v>43203.6</v>
      </c>
      <c r="K1051" s="2">
        <v>7.03</v>
      </c>
      <c r="L1051" s="3">
        <v>1807487.41</v>
      </c>
      <c r="M1051">
        <v>46154</v>
      </c>
      <c r="N1051" s="1" t="s">
        <v>68</v>
      </c>
      <c r="O1051" s="1" t="s">
        <v>25</v>
      </c>
      <c r="P1051" s="1" t="s">
        <v>53</v>
      </c>
    </row>
    <row r="1052" spans="1:16" x14ac:dyDescent="0.25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>
        <v>25</v>
      </c>
      <c r="J1052" s="3">
        <v>29253.24</v>
      </c>
      <c r="K1052" s="2">
        <v>7.93</v>
      </c>
      <c r="L1052" s="3">
        <v>673336.45</v>
      </c>
      <c r="M1052">
        <v>46272</v>
      </c>
      <c r="N1052" s="1" t="s">
        <v>68</v>
      </c>
      <c r="O1052" s="1" t="s">
        <v>59</v>
      </c>
      <c r="P1052" s="1" t="s">
        <v>26</v>
      </c>
    </row>
    <row r="1053" spans="1:16" x14ac:dyDescent="0.25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>
        <v>20</v>
      </c>
      <c r="J1053" s="3">
        <v>14772.91</v>
      </c>
      <c r="K1053" s="2">
        <v>14.66</v>
      </c>
      <c r="L1053" s="3">
        <v>252144.03</v>
      </c>
      <c r="M1053">
        <v>46056</v>
      </c>
      <c r="N1053" s="1" t="s">
        <v>24</v>
      </c>
      <c r="O1053" s="1" t="s">
        <v>35</v>
      </c>
      <c r="P1053" s="1" t="s">
        <v>26</v>
      </c>
    </row>
    <row r="1054" spans="1:16" x14ac:dyDescent="0.25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>
        <v>26</v>
      </c>
      <c r="J1054" s="3">
        <v>21481.98</v>
      </c>
      <c r="K1054" s="2">
        <v>15.05</v>
      </c>
      <c r="L1054" s="3">
        <v>474472.49</v>
      </c>
      <c r="M1054">
        <v>46109</v>
      </c>
      <c r="N1054" s="1" t="s">
        <v>24</v>
      </c>
      <c r="O1054" s="1" t="s">
        <v>35</v>
      </c>
      <c r="P1054" s="1" t="s">
        <v>36</v>
      </c>
    </row>
    <row r="1055" spans="1:16" x14ac:dyDescent="0.25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>
        <v>6</v>
      </c>
      <c r="J1055" s="3">
        <v>38656.9</v>
      </c>
      <c r="K1055" s="2">
        <v>4.21</v>
      </c>
      <c r="L1055" s="3">
        <v>222176.67</v>
      </c>
      <c r="M1055">
        <v>46077</v>
      </c>
      <c r="N1055" s="1" t="s">
        <v>58</v>
      </c>
      <c r="O1055" s="1" t="s">
        <v>35</v>
      </c>
      <c r="P1055" s="1" t="s">
        <v>26</v>
      </c>
    </row>
    <row r="1056" spans="1:16" x14ac:dyDescent="0.25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>
        <v>27</v>
      </c>
      <c r="J1056" s="3">
        <v>27900.959999999999</v>
      </c>
      <c r="K1056" s="2">
        <v>16.91</v>
      </c>
      <c r="L1056" s="3">
        <v>625938.51</v>
      </c>
      <c r="M1056">
        <v>46333</v>
      </c>
      <c r="N1056" s="1" t="s">
        <v>45</v>
      </c>
      <c r="O1056" s="1" t="s">
        <v>35</v>
      </c>
      <c r="P1056" s="1" t="s">
        <v>36</v>
      </c>
    </row>
    <row r="1057" spans="1:16" x14ac:dyDescent="0.25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>
        <v>23</v>
      </c>
      <c r="J1057" s="3">
        <v>43479.3</v>
      </c>
      <c r="K1057" s="2">
        <v>16.03</v>
      </c>
      <c r="L1057" s="3">
        <v>839720.07</v>
      </c>
      <c r="M1057">
        <v>46111</v>
      </c>
      <c r="N1057" s="1" t="s">
        <v>68</v>
      </c>
      <c r="O1057" s="1" t="s">
        <v>35</v>
      </c>
      <c r="P1057" s="1" t="s">
        <v>26</v>
      </c>
    </row>
    <row r="1058" spans="1:16" x14ac:dyDescent="0.25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>
        <v>1</v>
      </c>
      <c r="J1058" s="3">
        <v>24303.07</v>
      </c>
      <c r="K1058" s="2">
        <v>14.68</v>
      </c>
      <c r="L1058" s="3">
        <v>20735.38</v>
      </c>
      <c r="M1058">
        <v>46350</v>
      </c>
      <c r="N1058" s="1" t="s">
        <v>68</v>
      </c>
      <c r="O1058" s="1" t="s">
        <v>35</v>
      </c>
      <c r="P1058" s="1" t="s">
        <v>36</v>
      </c>
    </row>
    <row r="1059" spans="1:16" x14ac:dyDescent="0.25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>
        <v>28</v>
      </c>
      <c r="J1059" s="3">
        <v>27778.47</v>
      </c>
      <c r="K1059" s="2">
        <v>10.97</v>
      </c>
      <c r="L1059" s="3">
        <v>692472.81</v>
      </c>
      <c r="M1059">
        <v>46190</v>
      </c>
      <c r="N1059" s="1" t="s">
        <v>58</v>
      </c>
      <c r="O1059" s="1" t="s">
        <v>59</v>
      </c>
      <c r="P1059" s="1" t="s">
        <v>36</v>
      </c>
    </row>
    <row r="1060" spans="1:16" x14ac:dyDescent="0.25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>
        <v>30</v>
      </c>
      <c r="J1060" s="3">
        <v>29907.52</v>
      </c>
      <c r="K1060" s="2">
        <v>13.62</v>
      </c>
      <c r="L1060" s="3">
        <v>775023.47</v>
      </c>
      <c r="M1060">
        <v>46146</v>
      </c>
      <c r="N1060" s="1" t="s">
        <v>68</v>
      </c>
      <c r="O1060" s="1" t="s">
        <v>35</v>
      </c>
      <c r="P1060" s="1" t="s">
        <v>53</v>
      </c>
    </row>
    <row r="1061" spans="1:16" x14ac:dyDescent="0.25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>
        <v>32</v>
      </c>
      <c r="J1061" s="3">
        <v>24507.85</v>
      </c>
      <c r="K1061" s="2">
        <v>9.06</v>
      </c>
      <c r="L1061" s="3">
        <v>713198.04</v>
      </c>
      <c r="M1061">
        <v>46259</v>
      </c>
      <c r="N1061" s="1" t="s">
        <v>45</v>
      </c>
      <c r="O1061" s="1" t="s">
        <v>35</v>
      </c>
      <c r="P1061" s="1" t="s">
        <v>36</v>
      </c>
    </row>
    <row r="1062" spans="1:16" x14ac:dyDescent="0.25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>
        <v>19</v>
      </c>
      <c r="J1062" s="3">
        <v>46842.36</v>
      </c>
      <c r="K1062" s="2">
        <v>8.89</v>
      </c>
      <c r="L1062" s="3">
        <v>810883.41</v>
      </c>
      <c r="M1062">
        <v>46283</v>
      </c>
      <c r="N1062" s="1" t="s">
        <v>58</v>
      </c>
      <c r="O1062" s="1" t="s">
        <v>35</v>
      </c>
      <c r="P1062" s="1" t="s">
        <v>26</v>
      </c>
    </row>
    <row r="1063" spans="1:16" x14ac:dyDescent="0.25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>
        <v>25</v>
      </c>
      <c r="J1063" s="3">
        <v>1440.65</v>
      </c>
      <c r="K1063" s="2">
        <v>17.82</v>
      </c>
      <c r="L1063" s="3">
        <v>29598.15</v>
      </c>
      <c r="M1063">
        <v>46114</v>
      </c>
      <c r="N1063" s="1" t="s">
        <v>58</v>
      </c>
      <c r="O1063" s="1" t="s">
        <v>59</v>
      </c>
      <c r="P1063" s="1" t="s">
        <v>26</v>
      </c>
    </row>
    <row r="1064" spans="1:16" x14ac:dyDescent="0.25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>
        <v>43</v>
      </c>
      <c r="J1064" s="3">
        <v>937.49</v>
      </c>
      <c r="K1064" s="2">
        <v>5.21</v>
      </c>
      <c r="L1064" s="3">
        <v>38211.81</v>
      </c>
      <c r="M1064">
        <v>46096</v>
      </c>
      <c r="N1064" s="1" t="s">
        <v>68</v>
      </c>
      <c r="O1064" s="1" t="s">
        <v>35</v>
      </c>
      <c r="P1064" s="1" t="s">
        <v>36</v>
      </c>
    </row>
    <row r="1065" spans="1:16" x14ac:dyDescent="0.25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>
        <v>43</v>
      </c>
      <c r="J1065" s="3">
        <v>9233.89</v>
      </c>
      <c r="K1065" s="2">
        <v>7.68</v>
      </c>
      <c r="L1065" s="3">
        <v>366563.27</v>
      </c>
      <c r="M1065">
        <v>46111</v>
      </c>
      <c r="N1065" s="1" t="s">
        <v>68</v>
      </c>
      <c r="O1065" s="1" t="s">
        <v>35</v>
      </c>
      <c r="P1065" s="1" t="s">
        <v>53</v>
      </c>
    </row>
    <row r="1066" spans="1:16" x14ac:dyDescent="0.25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>
        <v>19</v>
      </c>
      <c r="J1066" s="3">
        <v>38406.17</v>
      </c>
      <c r="K1066" s="2">
        <v>11.2</v>
      </c>
      <c r="L1066" s="3">
        <v>647988.9</v>
      </c>
      <c r="M1066">
        <v>46309</v>
      </c>
      <c r="N1066" s="1" t="s">
        <v>24</v>
      </c>
      <c r="O1066" s="1" t="s">
        <v>35</v>
      </c>
      <c r="P1066" s="1" t="s">
        <v>53</v>
      </c>
    </row>
    <row r="1067" spans="1:16" x14ac:dyDescent="0.25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>
        <v>48</v>
      </c>
      <c r="J1067" s="3">
        <v>35244.550000000003</v>
      </c>
      <c r="K1067" s="2">
        <v>6.59</v>
      </c>
      <c r="L1067" s="3">
        <v>1580252.84</v>
      </c>
      <c r="M1067">
        <v>46175</v>
      </c>
      <c r="N1067" s="1" t="s">
        <v>45</v>
      </c>
      <c r="O1067" s="1" t="s">
        <v>35</v>
      </c>
      <c r="P1067" s="1" t="s">
        <v>53</v>
      </c>
    </row>
    <row r="1068" spans="1:16" x14ac:dyDescent="0.25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>
        <v>21</v>
      </c>
      <c r="J1068" s="3">
        <v>23734.080000000002</v>
      </c>
      <c r="K1068" s="2">
        <v>8.3800000000000008</v>
      </c>
      <c r="L1068" s="3">
        <v>456648.45</v>
      </c>
      <c r="M1068">
        <v>46237</v>
      </c>
      <c r="N1068" s="1" t="s">
        <v>58</v>
      </c>
      <c r="O1068" s="1" t="s">
        <v>35</v>
      </c>
      <c r="P1068" s="1" t="s">
        <v>26</v>
      </c>
    </row>
    <row r="1069" spans="1:16" x14ac:dyDescent="0.25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>
        <v>46</v>
      </c>
      <c r="J1069" s="3">
        <v>32175.78</v>
      </c>
      <c r="K1069" s="2">
        <v>11.99</v>
      </c>
      <c r="L1069" s="3">
        <v>1302623.58</v>
      </c>
      <c r="M1069">
        <v>46057</v>
      </c>
      <c r="N1069" s="1" t="s">
        <v>58</v>
      </c>
      <c r="O1069" s="1" t="s">
        <v>35</v>
      </c>
      <c r="P1069" s="1" t="s">
        <v>36</v>
      </c>
    </row>
    <row r="1070" spans="1:16" x14ac:dyDescent="0.25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>
        <v>11</v>
      </c>
      <c r="J1070" s="3">
        <v>13921.82</v>
      </c>
      <c r="K1070" s="2">
        <v>15.35</v>
      </c>
      <c r="L1070" s="3">
        <v>129633.03</v>
      </c>
      <c r="M1070">
        <v>46045</v>
      </c>
      <c r="N1070" s="1" t="s">
        <v>45</v>
      </c>
      <c r="O1070" s="1" t="s">
        <v>35</v>
      </c>
      <c r="P1070" s="1" t="s">
        <v>36</v>
      </c>
    </row>
    <row r="1071" spans="1:16" x14ac:dyDescent="0.25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>
        <v>10</v>
      </c>
      <c r="J1071" s="3">
        <v>32334.91</v>
      </c>
      <c r="K1071" s="2">
        <v>10.33</v>
      </c>
      <c r="L1071" s="3">
        <v>289947.14</v>
      </c>
      <c r="M1071">
        <v>46063</v>
      </c>
      <c r="N1071" s="1" t="s">
        <v>68</v>
      </c>
      <c r="O1071" s="1" t="s">
        <v>35</v>
      </c>
      <c r="P1071" s="1" t="s">
        <v>53</v>
      </c>
    </row>
    <row r="1072" spans="1:16" x14ac:dyDescent="0.25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>
        <v>39</v>
      </c>
      <c r="J1072" s="3">
        <v>6684.63</v>
      </c>
      <c r="K1072" s="2">
        <v>8.26</v>
      </c>
      <c r="L1072" s="3">
        <v>239166.7</v>
      </c>
      <c r="M1072">
        <v>46161</v>
      </c>
      <c r="N1072" s="1" t="s">
        <v>45</v>
      </c>
      <c r="O1072" s="1" t="s">
        <v>35</v>
      </c>
      <c r="P1072" s="1" t="s">
        <v>53</v>
      </c>
    </row>
    <row r="1073" spans="1:16" x14ac:dyDescent="0.25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>
        <v>29</v>
      </c>
      <c r="J1073" s="3">
        <v>42490.66</v>
      </c>
      <c r="K1073" s="2">
        <v>4.2</v>
      </c>
      <c r="L1073" s="3">
        <v>1180475.52</v>
      </c>
      <c r="M1073">
        <v>46365</v>
      </c>
      <c r="N1073" s="1" t="s">
        <v>24</v>
      </c>
      <c r="O1073" s="1" t="s">
        <v>35</v>
      </c>
      <c r="P1073" s="1" t="s">
        <v>53</v>
      </c>
    </row>
    <row r="1074" spans="1:16" x14ac:dyDescent="0.25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>
        <v>43</v>
      </c>
      <c r="J1074" s="3">
        <v>12486.58</v>
      </c>
      <c r="K1074" s="2">
        <v>2.06</v>
      </c>
      <c r="L1074" s="3">
        <v>525862.32999999996</v>
      </c>
      <c r="M1074">
        <v>46308</v>
      </c>
      <c r="N1074" s="1" t="s">
        <v>113</v>
      </c>
      <c r="O1074" s="1" t="s">
        <v>35</v>
      </c>
      <c r="P1074" s="1" t="s">
        <v>53</v>
      </c>
    </row>
    <row r="1075" spans="1:16" x14ac:dyDescent="0.25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>
        <v>44</v>
      </c>
      <c r="J1075" s="3">
        <v>6745.46</v>
      </c>
      <c r="K1075" s="2">
        <v>8.91</v>
      </c>
      <c r="L1075" s="3">
        <v>270355.34000000003</v>
      </c>
      <c r="M1075">
        <v>46322</v>
      </c>
      <c r="N1075" s="1" t="s">
        <v>45</v>
      </c>
      <c r="O1075" s="1" t="s">
        <v>25</v>
      </c>
      <c r="P1075" s="1" t="s">
        <v>36</v>
      </c>
    </row>
    <row r="1076" spans="1:16" x14ac:dyDescent="0.25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>
        <v>46</v>
      </c>
      <c r="J1076" s="3">
        <v>39922.379999999997</v>
      </c>
      <c r="K1076" s="2">
        <v>4.22</v>
      </c>
      <c r="L1076" s="3">
        <v>1758932.16</v>
      </c>
      <c r="M1076">
        <v>46108</v>
      </c>
      <c r="N1076" s="1" t="s">
        <v>58</v>
      </c>
      <c r="O1076" s="1" t="s">
        <v>35</v>
      </c>
      <c r="P1076" s="1" t="s">
        <v>26</v>
      </c>
    </row>
    <row r="1077" spans="1:16" x14ac:dyDescent="0.25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>
        <v>31</v>
      </c>
      <c r="J1077" s="3">
        <v>18574.21</v>
      </c>
      <c r="K1077" s="2">
        <v>5.99</v>
      </c>
      <c r="L1077" s="3">
        <v>541310.06000000006</v>
      </c>
      <c r="M1077">
        <v>46089</v>
      </c>
      <c r="N1077" s="1" t="s">
        <v>68</v>
      </c>
      <c r="O1077" s="1" t="s">
        <v>35</v>
      </c>
      <c r="P1077" s="1" t="s">
        <v>26</v>
      </c>
    </row>
    <row r="1078" spans="1:16" x14ac:dyDescent="0.25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>
        <v>20</v>
      </c>
      <c r="J1078" s="3">
        <v>2140.64</v>
      </c>
      <c r="K1078" s="2">
        <v>19.13</v>
      </c>
      <c r="L1078" s="3">
        <v>34622.71</v>
      </c>
      <c r="M1078">
        <v>46166</v>
      </c>
      <c r="N1078" s="1" t="s">
        <v>24</v>
      </c>
      <c r="O1078" s="1" t="s">
        <v>35</v>
      </c>
      <c r="P1078" s="1" t="s">
        <v>36</v>
      </c>
    </row>
    <row r="1079" spans="1:16" x14ac:dyDescent="0.25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>
        <v>41</v>
      </c>
      <c r="J1079" s="3">
        <v>25391.63</v>
      </c>
      <c r="K1079" s="2">
        <v>1.47</v>
      </c>
      <c r="L1079" s="3">
        <v>1025753.29</v>
      </c>
      <c r="M1079">
        <v>46385</v>
      </c>
      <c r="N1079" s="1" t="s">
        <v>24</v>
      </c>
      <c r="O1079" s="1" t="s">
        <v>35</v>
      </c>
      <c r="P1079" s="1" t="s">
        <v>53</v>
      </c>
    </row>
    <row r="1080" spans="1:16" x14ac:dyDescent="0.25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>
        <v>49</v>
      </c>
      <c r="J1080" s="3">
        <v>5653.92</v>
      </c>
      <c r="K1080" s="2">
        <v>8.1999999999999993</v>
      </c>
      <c r="L1080" s="3">
        <v>254324.63</v>
      </c>
      <c r="M1080">
        <v>46295</v>
      </c>
      <c r="N1080" s="1" t="s">
        <v>45</v>
      </c>
      <c r="O1080" s="1" t="s">
        <v>59</v>
      </c>
      <c r="P1080" s="1" t="s">
        <v>53</v>
      </c>
    </row>
    <row r="1081" spans="1:16" x14ac:dyDescent="0.25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>
        <v>14</v>
      </c>
      <c r="J1081" s="3">
        <v>24116.71</v>
      </c>
      <c r="K1081" s="2">
        <v>12.58</v>
      </c>
      <c r="L1081" s="3">
        <v>295159.59000000003</v>
      </c>
      <c r="M1081">
        <v>46136</v>
      </c>
      <c r="N1081" s="1" t="s">
        <v>24</v>
      </c>
      <c r="O1081" s="1" t="s">
        <v>25</v>
      </c>
      <c r="P1081" s="1" t="s">
        <v>53</v>
      </c>
    </row>
    <row r="1082" spans="1:16" x14ac:dyDescent="0.25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>
        <v>8</v>
      </c>
      <c r="J1082" s="3">
        <v>15252.71</v>
      </c>
      <c r="K1082" s="2">
        <v>7.96</v>
      </c>
      <c r="L1082" s="3">
        <v>112308.75</v>
      </c>
      <c r="M1082">
        <v>46212</v>
      </c>
      <c r="N1082" s="1" t="s">
        <v>24</v>
      </c>
      <c r="O1082" s="1" t="s">
        <v>35</v>
      </c>
      <c r="P1082" s="1" t="s">
        <v>26</v>
      </c>
    </row>
    <row r="1083" spans="1:16" x14ac:dyDescent="0.25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>
        <v>23</v>
      </c>
      <c r="J1083" s="3">
        <v>38969.050000000003</v>
      </c>
      <c r="K1083" s="2">
        <v>2.15</v>
      </c>
      <c r="L1083" s="3">
        <v>877017.95</v>
      </c>
      <c r="M1083">
        <v>46115</v>
      </c>
      <c r="N1083" s="1" t="s">
        <v>45</v>
      </c>
      <c r="O1083" s="1" t="s">
        <v>25</v>
      </c>
      <c r="P1083" s="1" t="s">
        <v>26</v>
      </c>
    </row>
    <row r="1084" spans="1:16" x14ac:dyDescent="0.25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>
        <v>46</v>
      </c>
      <c r="J1084" s="3">
        <v>5533.64</v>
      </c>
      <c r="K1084" s="2">
        <v>3.29</v>
      </c>
      <c r="L1084" s="3">
        <v>246172.83</v>
      </c>
      <c r="M1084">
        <v>46269</v>
      </c>
      <c r="N1084" s="1" t="s">
        <v>24</v>
      </c>
      <c r="O1084" s="1" t="s">
        <v>35</v>
      </c>
      <c r="P1084" s="1" t="s">
        <v>53</v>
      </c>
    </row>
    <row r="1085" spans="1:16" x14ac:dyDescent="0.25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>
        <v>42</v>
      </c>
      <c r="J1085" s="3">
        <v>37415.620000000003</v>
      </c>
      <c r="K1085" s="2">
        <v>13.62</v>
      </c>
      <c r="L1085" s="3">
        <v>1357423.73</v>
      </c>
      <c r="M1085">
        <v>46353</v>
      </c>
      <c r="N1085" s="1" t="s">
        <v>113</v>
      </c>
      <c r="O1085" s="1" t="s">
        <v>59</v>
      </c>
      <c r="P1085" s="1" t="s">
        <v>36</v>
      </c>
    </row>
    <row r="1086" spans="1:16" x14ac:dyDescent="0.25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>
        <v>25</v>
      </c>
      <c r="J1086" s="3">
        <v>43552.61</v>
      </c>
      <c r="K1086" s="2">
        <v>3.46</v>
      </c>
      <c r="L1086" s="3">
        <v>1051142.24</v>
      </c>
      <c r="M1086">
        <v>46350</v>
      </c>
      <c r="N1086" s="1" t="s">
        <v>24</v>
      </c>
      <c r="O1086" s="1" t="s">
        <v>35</v>
      </c>
      <c r="P1086" s="1" t="s">
        <v>26</v>
      </c>
    </row>
    <row r="1087" spans="1:16" x14ac:dyDescent="0.25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>
        <v>18</v>
      </c>
      <c r="J1087" s="3">
        <v>21929.65</v>
      </c>
      <c r="K1087" s="2">
        <v>15.78</v>
      </c>
      <c r="L1087" s="3">
        <v>332444.71999999997</v>
      </c>
      <c r="M1087">
        <v>46112</v>
      </c>
      <c r="N1087" s="1" t="s">
        <v>58</v>
      </c>
      <c r="O1087" s="1" t="s">
        <v>35</v>
      </c>
      <c r="P1087" s="1" t="s">
        <v>26</v>
      </c>
    </row>
    <row r="1088" spans="1:16" x14ac:dyDescent="0.25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>
        <v>49</v>
      </c>
      <c r="J1088" s="3">
        <v>47787.5</v>
      </c>
      <c r="K1088" s="2">
        <v>5.57</v>
      </c>
      <c r="L1088" s="3">
        <v>2211161.08</v>
      </c>
      <c r="M1088">
        <v>46172</v>
      </c>
      <c r="N1088" s="1" t="s">
        <v>24</v>
      </c>
      <c r="O1088" s="1" t="s">
        <v>35</v>
      </c>
      <c r="P1088" s="1" t="s">
        <v>26</v>
      </c>
    </row>
    <row r="1089" spans="1:16" x14ac:dyDescent="0.25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>
        <v>11</v>
      </c>
      <c r="J1089" s="3">
        <v>6371.7</v>
      </c>
      <c r="K1089" s="2">
        <v>15.49</v>
      </c>
      <c r="L1089" s="3">
        <v>59231.96</v>
      </c>
      <c r="M1089">
        <v>46051</v>
      </c>
      <c r="N1089" s="1" t="s">
        <v>45</v>
      </c>
      <c r="O1089" s="1" t="s">
        <v>35</v>
      </c>
      <c r="P1089" s="1" t="s">
        <v>26</v>
      </c>
    </row>
    <row r="1090" spans="1:16" x14ac:dyDescent="0.25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>
        <v>33</v>
      </c>
      <c r="J1090" s="3">
        <v>10298.23</v>
      </c>
      <c r="K1090" s="2">
        <v>17.309999999999999</v>
      </c>
      <c r="L1090" s="3">
        <v>281015.01</v>
      </c>
      <c r="M1090">
        <v>46240</v>
      </c>
      <c r="N1090" s="1" t="s">
        <v>58</v>
      </c>
      <c r="O1090" s="1" t="s">
        <v>35</v>
      </c>
      <c r="P1090" s="1" t="s">
        <v>26</v>
      </c>
    </row>
    <row r="1091" spans="1:16" x14ac:dyDescent="0.25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>
        <v>47</v>
      </c>
      <c r="J1091" s="3">
        <v>46302.16</v>
      </c>
      <c r="K1091" s="2">
        <v>17.43</v>
      </c>
      <c r="L1091" s="3">
        <v>1796889.6000000001</v>
      </c>
      <c r="M1091">
        <v>46344</v>
      </c>
      <c r="N1091" s="1" t="s">
        <v>68</v>
      </c>
      <c r="O1091" s="1" t="s">
        <v>35</v>
      </c>
      <c r="P1091" s="1" t="s">
        <v>26</v>
      </c>
    </row>
    <row r="1092" spans="1:16" x14ac:dyDescent="0.25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>
        <v>29</v>
      </c>
      <c r="J1092" s="3">
        <v>11786.26</v>
      </c>
      <c r="K1092" s="2">
        <v>10.17</v>
      </c>
      <c r="L1092" s="3">
        <v>307040.32</v>
      </c>
      <c r="M1092">
        <v>46233</v>
      </c>
      <c r="N1092" s="1" t="s">
        <v>45</v>
      </c>
      <c r="O1092" s="1" t="s">
        <v>25</v>
      </c>
      <c r="P1092" s="1" t="s">
        <v>26</v>
      </c>
    </row>
    <row r="1093" spans="1:16" x14ac:dyDescent="0.25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>
        <v>29</v>
      </c>
      <c r="J1093" s="3">
        <v>31387.98</v>
      </c>
      <c r="K1093" s="2">
        <v>9.23</v>
      </c>
      <c r="L1093" s="3">
        <v>826235.21</v>
      </c>
      <c r="M1093">
        <v>46351</v>
      </c>
      <c r="N1093" s="1" t="s">
        <v>68</v>
      </c>
      <c r="O1093" s="1" t="s">
        <v>35</v>
      </c>
      <c r="P1093" s="1" t="s">
        <v>53</v>
      </c>
    </row>
    <row r="1094" spans="1:16" x14ac:dyDescent="0.25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>
        <v>44</v>
      </c>
      <c r="J1094" s="3">
        <v>32984.660000000003</v>
      </c>
      <c r="K1094" s="2">
        <v>1.7</v>
      </c>
      <c r="L1094" s="3">
        <v>1426652.51</v>
      </c>
      <c r="M1094">
        <v>46186</v>
      </c>
      <c r="N1094" s="1" t="s">
        <v>24</v>
      </c>
      <c r="O1094" s="1" t="s">
        <v>35</v>
      </c>
      <c r="P1094" s="1" t="s">
        <v>53</v>
      </c>
    </row>
    <row r="1095" spans="1:16" x14ac:dyDescent="0.25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>
        <v>11</v>
      </c>
      <c r="J1095" s="3">
        <v>33479.74</v>
      </c>
      <c r="K1095" s="2">
        <v>16.34</v>
      </c>
      <c r="L1095" s="3">
        <v>308100.65999999997</v>
      </c>
      <c r="M1095">
        <v>46184</v>
      </c>
      <c r="N1095" s="1" t="s">
        <v>113</v>
      </c>
      <c r="O1095" s="1" t="s">
        <v>35</v>
      </c>
      <c r="P1095" s="1" t="s">
        <v>26</v>
      </c>
    </row>
    <row r="1096" spans="1:16" x14ac:dyDescent="0.25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>
        <v>19</v>
      </c>
      <c r="J1096" s="3">
        <v>12326.91</v>
      </c>
      <c r="K1096" s="2">
        <v>2.57</v>
      </c>
      <c r="L1096" s="3">
        <v>228192.06</v>
      </c>
      <c r="M1096">
        <v>46036</v>
      </c>
      <c r="N1096" s="1" t="s">
        <v>113</v>
      </c>
      <c r="O1096" s="1" t="s">
        <v>35</v>
      </c>
      <c r="P1096" s="1" t="s">
        <v>36</v>
      </c>
    </row>
    <row r="1097" spans="1:16" x14ac:dyDescent="0.25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>
        <v>39</v>
      </c>
      <c r="J1097" s="3">
        <v>10484.44</v>
      </c>
      <c r="K1097" s="2">
        <v>17.850000000000001</v>
      </c>
      <c r="L1097" s="3">
        <v>335905.73</v>
      </c>
      <c r="M1097">
        <v>46069</v>
      </c>
      <c r="N1097" s="1" t="s">
        <v>45</v>
      </c>
      <c r="O1097" s="1" t="s">
        <v>35</v>
      </c>
      <c r="P1097" s="1" t="s">
        <v>26</v>
      </c>
    </row>
    <row r="1098" spans="1:16" x14ac:dyDescent="0.25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>
        <v>23</v>
      </c>
      <c r="J1098" s="3">
        <v>2258.63</v>
      </c>
      <c r="K1098" s="2">
        <v>12.04</v>
      </c>
      <c r="L1098" s="3">
        <v>45693.89</v>
      </c>
      <c r="M1098">
        <v>46263</v>
      </c>
      <c r="N1098" s="1" t="s">
        <v>58</v>
      </c>
      <c r="O1098" s="1" t="s">
        <v>35</v>
      </c>
      <c r="P1098" s="1" t="s">
        <v>53</v>
      </c>
    </row>
    <row r="1099" spans="1:16" x14ac:dyDescent="0.25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>
        <v>1</v>
      </c>
      <c r="J1099" s="3">
        <v>42242.16</v>
      </c>
      <c r="K1099" s="2">
        <v>19.22</v>
      </c>
      <c r="L1099" s="3">
        <v>34123.22</v>
      </c>
      <c r="M1099">
        <v>46373</v>
      </c>
      <c r="N1099" s="1" t="s">
        <v>68</v>
      </c>
      <c r="O1099" s="1" t="s">
        <v>35</v>
      </c>
      <c r="P1099" s="1" t="s">
        <v>36</v>
      </c>
    </row>
    <row r="1100" spans="1:16" x14ac:dyDescent="0.25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>
        <v>1</v>
      </c>
      <c r="J1100" s="3">
        <v>38298.199999999997</v>
      </c>
      <c r="K1100" s="2">
        <v>6.27</v>
      </c>
      <c r="L1100" s="3">
        <v>35896.9</v>
      </c>
      <c r="M1100">
        <v>46327</v>
      </c>
      <c r="N1100" s="1" t="s">
        <v>45</v>
      </c>
      <c r="O1100" s="1" t="s">
        <v>25</v>
      </c>
      <c r="P1100" s="1" t="s">
        <v>26</v>
      </c>
    </row>
    <row r="1101" spans="1:16" x14ac:dyDescent="0.25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>
        <v>37</v>
      </c>
      <c r="J1101" s="3">
        <v>4268.92</v>
      </c>
      <c r="K1101" s="2">
        <v>14.75</v>
      </c>
      <c r="L1101" s="3">
        <v>134652.41</v>
      </c>
      <c r="M1101">
        <v>46098</v>
      </c>
      <c r="N1101" s="1" t="s">
        <v>24</v>
      </c>
      <c r="O1101" s="1" t="s">
        <v>35</v>
      </c>
      <c r="P1101" s="1" t="s">
        <v>26</v>
      </c>
    </row>
    <row r="1102" spans="1:16" x14ac:dyDescent="0.25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>
        <v>29</v>
      </c>
      <c r="J1102" s="3">
        <v>3930.31</v>
      </c>
      <c r="K1102" s="2">
        <v>6.32</v>
      </c>
      <c r="L1102" s="3">
        <v>106775.52</v>
      </c>
      <c r="M1102">
        <v>46355</v>
      </c>
      <c r="N1102" s="1" t="s">
        <v>68</v>
      </c>
      <c r="O1102" s="1" t="s">
        <v>35</v>
      </c>
      <c r="P1102" s="1" t="s">
        <v>53</v>
      </c>
    </row>
    <row r="1103" spans="1:16" x14ac:dyDescent="0.25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>
        <v>4</v>
      </c>
      <c r="J1103" s="3">
        <v>40702.03</v>
      </c>
      <c r="K1103" s="2">
        <v>2</v>
      </c>
      <c r="L1103" s="3">
        <v>159551.96</v>
      </c>
      <c r="M1103">
        <v>46276</v>
      </c>
      <c r="N1103" s="1" t="s">
        <v>68</v>
      </c>
      <c r="O1103" s="1" t="s">
        <v>25</v>
      </c>
      <c r="P1103" s="1" t="s">
        <v>36</v>
      </c>
    </row>
    <row r="1104" spans="1:16" x14ac:dyDescent="0.25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>
        <v>8</v>
      </c>
      <c r="J1104" s="3">
        <v>47895.13</v>
      </c>
      <c r="K1104" s="2">
        <v>19.190000000000001</v>
      </c>
      <c r="L1104" s="3">
        <v>309632.44</v>
      </c>
      <c r="M1104">
        <v>46030</v>
      </c>
      <c r="N1104" s="1" t="s">
        <v>113</v>
      </c>
      <c r="O1104" s="1" t="s">
        <v>35</v>
      </c>
      <c r="P1104" s="1" t="s">
        <v>26</v>
      </c>
    </row>
    <row r="1105" spans="1:16" x14ac:dyDescent="0.25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>
        <v>50</v>
      </c>
      <c r="J1105" s="3">
        <v>4195.09</v>
      </c>
      <c r="K1105" s="2">
        <v>2.57</v>
      </c>
      <c r="L1105" s="3">
        <v>204363.81</v>
      </c>
      <c r="M1105">
        <v>46027</v>
      </c>
      <c r="N1105" s="1" t="s">
        <v>24</v>
      </c>
      <c r="O1105" s="1" t="s">
        <v>35</v>
      </c>
      <c r="P1105" s="1" t="s">
        <v>26</v>
      </c>
    </row>
    <row r="1106" spans="1:16" x14ac:dyDescent="0.25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>
        <v>7</v>
      </c>
      <c r="J1106" s="3">
        <v>7077.1</v>
      </c>
      <c r="K1106" s="2">
        <v>14.16</v>
      </c>
      <c r="L1106" s="3">
        <v>42524.88</v>
      </c>
      <c r="M1106">
        <v>46142</v>
      </c>
      <c r="N1106" s="1" t="s">
        <v>58</v>
      </c>
      <c r="O1106" s="1" t="s">
        <v>35</v>
      </c>
      <c r="P1106" s="1" t="s">
        <v>53</v>
      </c>
    </row>
    <row r="1107" spans="1:16" x14ac:dyDescent="0.25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>
        <v>40</v>
      </c>
      <c r="J1107" s="3">
        <v>7816.66</v>
      </c>
      <c r="K1107" s="2">
        <v>12.02</v>
      </c>
      <c r="L1107" s="3">
        <v>275083.90000000002</v>
      </c>
      <c r="M1107">
        <v>46040</v>
      </c>
      <c r="N1107" s="1" t="s">
        <v>24</v>
      </c>
      <c r="O1107" s="1" t="s">
        <v>25</v>
      </c>
      <c r="P1107" s="1" t="s">
        <v>53</v>
      </c>
    </row>
    <row r="1108" spans="1:16" x14ac:dyDescent="0.25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>
        <v>27</v>
      </c>
      <c r="J1108" s="3">
        <v>10163.459999999999</v>
      </c>
      <c r="K1108" s="2">
        <v>9.9700000000000006</v>
      </c>
      <c r="L1108" s="3">
        <v>247054.4</v>
      </c>
      <c r="M1108">
        <v>46116</v>
      </c>
      <c r="N1108" s="1" t="s">
        <v>24</v>
      </c>
      <c r="O1108" s="1" t="s">
        <v>35</v>
      </c>
      <c r="P1108" s="1" t="s">
        <v>36</v>
      </c>
    </row>
    <row r="1109" spans="1:16" x14ac:dyDescent="0.25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>
        <v>42</v>
      </c>
      <c r="J1109" s="3">
        <v>5642.8</v>
      </c>
      <c r="K1109" s="2">
        <v>16.670000000000002</v>
      </c>
      <c r="L1109" s="3">
        <v>197490.1</v>
      </c>
      <c r="M1109">
        <v>46042</v>
      </c>
      <c r="N1109" s="1" t="s">
        <v>58</v>
      </c>
      <c r="O1109" s="1" t="s">
        <v>35</v>
      </c>
      <c r="P1109" s="1" t="s">
        <v>26</v>
      </c>
    </row>
    <row r="1110" spans="1:16" x14ac:dyDescent="0.25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>
        <v>28</v>
      </c>
      <c r="J1110" s="3">
        <v>19161.93</v>
      </c>
      <c r="K1110" s="2">
        <v>15.46</v>
      </c>
      <c r="L1110" s="3">
        <v>453585.88</v>
      </c>
      <c r="M1110">
        <v>46224</v>
      </c>
      <c r="N1110" s="1" t="s">
        <v>113</v>
      </c>
      <c r="O1110" s="1" t="s">
        <v>35</v>
      </c>
      <c r="P1110" s="1" t="s">
        <v>26</v>
      </c>
    </row>
    <row r="1111" spans="1:16" x14ac:dyDescent="0.25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>
        <v>45</v>
      </c>
      <c r="J1111" s="3">
        <v>33735.21</v>
      </c>
      <c r="K1111" s="2">
        <v>7.56</v>
      </c>
      <c r="L1111" s="3">
        <v>1403317.27</v>
      </c>
      <c r="M1111">
        <v>46346</v>
      </c>
      <c r="N1111" s="1" t="s">
        <v>113</v>
      </c>
      <c r="O1111" s="1" t="s">
        <v>59</v>
      </c>
      <c r="P1111" s="1" t="s">
        <v>36</v>
      </c>
    </row>
    <row r="1112" spans="1:16" x14ac:dyDescent="0.25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>
        <v>46</v>
      </c>
      <c r="J1112" s="3">
        <v>14702.18</v>
      </c>
      <c r="K1112" s="2">
        <v>0.38</v>
      </c>
      <c r="L1112" s="3">
        <v>673730.34</v>
      </c>
      <c r="M1112">
        <v>46227</v>
      </c>
      <c r="N1112" s="1" t="s">
        <v>58</v>
      </c>
      <c r="O1112" s="1" t="s">
        <v>25</v>
      </c>
      <c r="P1112" s="1" t="s">
        <v>53</v>
      </c>
    </row>
    <row r="1113" spans="1:16" x14ac:dyDescent="0.25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>
        <v>24</v>
      </c>
      <c r="J1113" s="3">
        <v>40193.519999999997</v>
      </c>
      <c r="K1113" s="2">
        <v>19.97</v>
      </c>
      <c r="L1113" s="3">
        <v>772004.98</v>
      </c>
      <c r="M1113">
        <v>46310</v>
      </c>
      <c r="N1113" s="1" t="s">
        <v>24</v>
      </c>
      <c r="O1113" s="1" t="s">
        <v>59</v>
      </c>
      <c r="P1113" s="1" t="s">
        <v>26</v>
      </c>
    </row>
    <row r="1114" spans="1:16" x14ac:dyDescent="0.25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>
        <v>46</v>
      </c>
      <c r="J1114" s="3">
        <v>44408.35</v>
      </c>
      <c r="K1114" s="2">
        <v>4.78</v>
      </c>
      <c r="L1114" s="3">
        <v>1945139.02</v>
      </c>
      <c r="M1114">
        <v>46046</v>
      </c>
      <c r="N1114" s="1" t="s">
        <v>58</v>
      </c>
      <c r="O1114" s="1" t="s">
        <v>35</v>
      </c>
      <c r="P1114" s="1" t="s">
        <v>53</v>
      </c>
    </row>
    <row r="1115" spans="1:16" x14ac:dyDescent="0.25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>
        <v>44</v>
      </c>
      <c r="J1115" s="3">
        <v>18544.91</v>
      </c>
      <c r="K1115" s="2">
        <v>15.41</v>
      </c>
      <c r="L1115" s="3">
        <v>690234.13</v>
      </c>
      <c r="M1115">
        <v>46244</v>
      </c>
      <c r="N1115" s="1" t="s">
        <v>113</v>
      </c>
      <c r="O1115" s="1" t="s">
        <v>35</v>
      </c>
      <c r="P1115" s="1" t="s">
        <v>36</v>
      </c>
    </row>
    <row r="1116" spans="1:16" x14ac:dyDescent="0.25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>
        <v>35</v>
      </c>
      <c r="J1116" s="3">
        <v>49730.3</v>
      </c>
      <c r="K1116" s="2">
        <v>8.4499999999999993</v>
      </c>
      <c r="L1116" s="3">
        <v>1593483.14</v>
      </c>
      <c r="M1116">
        <v>46289</v>
      </c>
      <c r="N1116" s="1" t="s">
        <v>58</v>
      </c>
      <c r="O1116" s="1" t="s">
        <v>35</v>
      </c>
      <c r="P1116" s="1" t="s">
        <v>36</v>
      </c>
    </row>
    <row r="1117" spans="1:16" x14ac:dyDescent="0.25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>
        <v>2</v>
      </c>
      <c r="J1117" s="3">
        <v>40226.199999999997</v>
      </c>
      <c r="K1117" s="2">
        <v>13.05</v>
      </c>
      <c r="L1117" s="3">
        <v>69953.36</v>
      </c>
      <c r="M1117">
        <v>46150</v>
      </c>
      <c r="N1117" s="1" t="s">
        <v>113</v>
      </c>
      <c r="O1117" s="1" t="s">
        <v>35</v>
      </c>
      <c r="P1117" s="1" t="s">
        <v>26</v>
      </c>
    </row>
    <row r="1118" spans="1:16" x14ac:dyDescent="0.25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>
        <v>42</v>
      </c>
      <c r="J1118" s="3">
        <v>31978.19</v>
      </c>
      <c r="K1118" s="2">
        <v>9.31</v>
      </c>
      <c r="L1118" s="3">
        <v>1218042.8600000001</v>
      </c>
      <c r="M1118">
        <v>46236</v>
      </c>
      <c r="N1118" s="1" t="s">
        <v>58</v>
      </c>
      <c r="O1118" s="1" t="s">
        <v>35</v>
      </c>
      <c r="P1118" s="1" t="s">
        <v>53</v>
      </c>
    </row>
    <row r="1119" spans="1:16" x14ac:dyDescent="0.25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>
        <v>18</v>
      </c>
      <c r="J1119" s="3">
        <v>49420.800000000003</v>
      </c>
      <c r="K1119" s="2">
        <v>11.89</v>
      </c>
      <c r="L1119" s="3">
        <v>783804</v>
      </c>
      <c r="M1119">
        <v>46035</v>
      </c>
      <c r="N1119" s="1" t="s">
        <v>113</v>
      </c>
      <c r="O1119" s="1" t="s">
        <v>35</v>
      </c>
      <c r="P1119" s="1" t="s">
        <v>53</v>
      </c>
    </row>
    <row r="1120" spans="1:16" x14ac:dyDescent="0.25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>
        <v>12</v>
      </c>
      <c r="J1120" s="3">
        <v>37639.11</v>
      </c>
      <c r="K1120" s="2">
        <v>13.9</v>
      </c>
      <c r="L1120" s="3">
        <v>388887.28</v>
      </c>
      <c r="M1120">
        <v>46341</v>
      </c>
      <c r="N1120" s="1" t="s">
        <v>58</v>
      </c>
      <c r="O1120" s="1" t="s">
        <v>35</v>
      </c>
      <c r="P1120" s="1" t="s">
        <v>36</v>
      </c>
    </row>
    <row r="1121" spans="1:16" x14ac:dyDescent="0.25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>
        <v>27</v>
      </c>
      <c r="J1121" s="3">
        <v>5722.39</v>
      </c>
      <c r="K1121" s="2">
        <v>5.37</v>
      </c>
      <c r="L1121" s="3">
        <v>146207.64000000001</v>
      </c>
      <c r="M1121">
        <v>46176</v>
      </c>
      <c r="N1121" s="1" t="s">
        <v>68</v>
      </c>
      <c r="O1121" s="1" t="s">
        <v>35</v>
      </c>
      <c r="P1121" s="1" t="s">
        <v>36</v>
      </c>
    </row>
    <row r="1122" spans="1:16" x14ac:dyDescent="0.25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>
        <v>12</v>
      </c>
      <c r="J1122" s="3">
        <v>16047.72</v>
      </c>
      <c r="K1122" s="2">
        <v>13.49</v>
      </c>
      <c r="L1122" s="3">
        <v>166594.59</v>
      </c>
      <c r="M1122">
        <v>46177</v>
      </c>
      <c r="N1122" s="1" t="s">
        <v>45</v>
      </c>
      <c r="O1122" s="1" t="s">
        <v>35</v>
      </c>
      <c r="P1122" s="1" t="s">
        <v>36</v>
      </c>
    </row>
    <row r="1123" spans="1:16" x14ac:dyDescent="0.25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>
        <v>34</v>
      </c>
      <c r="J1123" s="3">
        <v>32995.81</v>
      </c>
      <c r="K1123" s="2">
        <v>18.649999999999999</v>
      </c>
      <c r="L1123" s="3">
        <v>912631.11</v>
      </c>
      <c r="M1123">
        <v>46136</v>
      </c>
      <c r="N1123" s="1" t="s">
        <v>68</v>
      </c>
      <c r="O1123" s="1" t="s">
        <v>35</v>
      </c>
      <c r="P1123" s="1" t="s">
        <v>53</v>
      </c>
    </row>
    <row r="1124" spans="1:16" x14ac:dyDescent="0.25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>
        <v>2</v>
      </c>
      <c r="J1124" s="3">
        <v>41293.26</v>
      </c>
      <c r="K1124" s="2">
        <v>16.87</v>
      </c>
      <c r="L1124" s="3">
        <v>68654.17</v>
      </c>
      <c r="M1124">
        <v>46216</v>
      </c>
      <c r="N1124" s="1" t="s">
        <v>113</v>
      </c>
      <c r="O1124" s="1" t="s">
        <v>35</v>
      </c>
      <c r="P1124" s="1" t="s">
        <v>26</v>
      </c>
    </row>
    <row r="1125" spans="1:16" x14ac:dyDescent="0.25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>
        <v>18</v>
      </c>
      <c r="J1125" s="3">
        <v>28845.06</v>
      </c>
      <c r="K1125" s="2">
        <v>9.2100000000000009</v>
      </c>
      <c r="L1125" s="3">
        <v>471391.74</v>
      </c>
      <c r="M1125">
        <v>46334</v>
      </c>
      <c r="N1125" s="1" t="s">
        <v>24</v>
      </c>
      <c r="O1125" s="1" t="s">
        <v>59</v>
      </c>
      <c r="P1125" s="1" t="s">
        <v>53</v>
      </c>
    </row>
    <row r="1126" spans="1:16" x14ac:dyDescent="0.25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>
        <v>46</v>
      </c>
      <c r="J1126" s="3">
        <v>7084.09</v>
      </c>
      <c r="K1126" s="2">
        <v>11.15</v>
      </c>
      <c r="L1126" s="3">
        <v>289533.84000000003</v>
      </c>
      <c r="M1126">
        <v>46385</v>
      </c>
      <c r="N1126" s="1" t="s">
        <v>58</v>
      </c>
      <c r="O1126" s="1" t="s">
        <v>59</v>
      </c>
      <c r="P1126" s="1" t="s">
        <v>26</v>
      </c>
    </row>
    <row r="1127" spans="1:16" x14ac:dyDescent="0.25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>
        <v>28</v>
      </c>
      <c r="J1127" s="3">
        <v>28587.35</v>
      </c>
      <c r="K1127" s="2">
        <v>8.18</v>
      </c>
      <c r="L1127" s="3">
        <v>734969.33</v>
      </c>
      <c r="M1127">
        <v>46035</v>
      </c>
      <c r="N1127" s="1" t="s">
        <v>45</v>
      </c>
      <c r="O1127" s="1" t="s">
        <v>35</v>
      </c>
      <c r="P1127" s="1" t="s">
        <v>26</v>
      </c>
    </row>
    <row r="1128" spans="1:16" x14ac:dyDescent="0.25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>
        <v>45</v>
      </c>
      <c r="J1128" s="3">
        <v>24508.39</v>
      </c>
      <c r="K1128" s="2">
        <v>15.55</v>
      </c>
      <c r="L1128" s="3">
        <v>931380.09</v>
      </c>
      <c r="M1128">
        <v>46145</v>
      </c>
      <c r="N1128" s="1" t="s">
        <v>113</v>
      </c>
      <c r="O1128" s="1" t="s">
        <v>35</v>
      </c>
      <c r="P1128" s="1" t="s">
        <v>36</v>
      </c>
    </row>
    <row r="1129" spans="1:16" x14ac:dyDescent="0.25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>
        <v>34</v>
      </c>
      <c r="J1129" s="3">
        <v>16690.41</v>
      </c>
      <c r="K1129" s="2">
        <v>14.7</v>
      </c>
      <c r="L1129" s="3">
        <v>484055.27</v>
      </c>
      <c r="M1129">
        <v>46186</v>
      </c>
      <c r="N1129" s="1" t="s">
        <v>24</v>
      </c>
      <c r="O1129" s="1" t="s">
        <v>35</v>
      </c>
      <c r="P1129" s="1" t="s">
        <v>36</v>
      </c>
    </row>
    <row r="1130" spans="1:16" x14ac:dyDescent="0.25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>
        <v>49</v>
      </c>
      <c r="J1130" s="3">
        <v>12969.6</v>
      </c>
      <c r="K1130" s="2">
        <v>17.420000000000002</v>
      </c>
      <c r="L1130" s="3">
        <v>524804.49</v>
      </c>
      <c r="M1130">
        <v>46335</v>
      </c>
      <c r="N1130" s="1" t="s">
        <v>68</v>
      </c>
      <c r="O1130" s="1" t="s">
        <v>35</v>
      </c>
      <c r="P1130" s="1" t="s">
        <v>36</v>
      </c>
    </row>
    <row r="1131" spans="1:16" x14ac:dyDescent="0.25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>
        <v>21</v>
      </c>
      <c r="J1131" s="3">
        <v>21427.11</v>
      </c>
      <c r="K1131" s="2">
        <v>19.45</v>
      </c>
      <c r="L1131" s="3">
        <v>362450.28</v>
      </c>
      <c r="M1131">
        <v>46111</v>
      </c>
      <c r="N1131" s="1" t="s">
        <v>68</v>
      </c>
      <c r="O1131" s="1" t="s">
        <v>35</v>
      </c>
      <c r="P1131" s="1" t="s">
        <v>36</v>
      </c>
    </row>
    <row r="1132" spans="1:16" x14ac:dyDescent="0.25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>
        <v>49</v>
      </c>
      <c r="J1132" s="3">
        <v>38683.11</v>
      </c>
      <c r="K1132" s="2">
        <v>3.93</v>
      </c>
      <c r="L1132" s="3">
        <v>1820980.33</v>
      </c>
      <c r="M1132">
        <v>46312</v>
      </c>
      <c r="N1132" s="1" t="s">
        <v>113</v>
      </c>
      <c r="O1132" s="1" t="s">
        <v>35</v>
      </c>
      <c r="P1132" s="1" t="s">
        <v>53</v>
      </c>
    </row>
    <row r="1133" spans="1:16" x14ac:dyDescent="0.25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>
        <v>37</v>
      </c>
      <c r="J1133" s="3">
        <v>17755.21</v>
      </c>
      <c r="K1133" s="2">
        <v>18.760000000000002</v>
      </c>
      <c r="L1133" s="3">
        <v>533700.31000000006</v>
      </c>
      <c r="M1133">
        <v>46176</v>
      </c>
      <c r="N1133" s="1" t="s">
        <v>45</v>
      </c>
      <c r="O1133" s="1" t="s">
        <v>59</v>
      </c>
      <c r="P1133" s="1" t="s">
        <v>36</v>
      </c>
    </row>
    <row r="1134" spans="1:16" x14ac:dyDescent="0.25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>
        <v>17</v>
      </c>
      <c r="J1134" s="3">
        <v>1902.79</v>
      </c>
      <c r="K1134" s="2">
        <v>8.89</v>
      </c>
      <c r="L1134" s="3">
        <v>29471.74</v>
      </c>
      <c r="M1134">
        <v>46338</v>
      </c>
      <c r="N1134" s="1" t="s">
        <v>58</v>
      </c>
      <c r="O1134" s="1" t="s">
        <v>35</v>
      </c>
      <c r="P1134" s="1" t="s">
        <v>36</v>
      </c>
    </row>
    <row r="1135" spans="1:16" x14ac:dyDescent="0.25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>
        <v>43</v>
      </c>
      <c r="J1135" s="3">
        <v>35247.589999999997</v>
      </c>
      <c r="K1135" s="2">
        <v>19.93</v>
      </c>
      <c r="L1135" s="3">
        <v>1213578.05</v>
      </c>
      <c r="M1135">
        <v>46263</v>
      </c>
      <c r="N1135" s="1" t="s">
        <v>24</v>
      </c>
      <c r="O1135" s="1" t="s">
        <v>25</v>
      </c>
      <c r="P1135" s="1" t="s">
        <v>53</v>
      </c>
    </row>
    <row r="1136" spans="1:16" x14ac:dyDescent="0.25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>
        <v>6</v>
      </c>
      <c r="J1136" s="3">
        <v>32333.68</v>
      </c>
      <c r="K1136" s="2">
        <v>1.1499999999999999</v>
      </c>
      <c r="L1136" s="3">
        <v>191771.06</v>
      </c>
      <c r="M1136">
        <v>46252</v>
      </c>
      <c r="N1136" s="1" t="s">
        <v>45</v>
      </c>
      <c r="O1136" s="1" t="s">
        <v>35</v>
      </c>
      <c r="P1136" s="1" t="s">
        <v>26</v>
      </c>
    </row>
    <row r="1137" spans="1:16" x14ac:dyDescent="0.25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>
        <v>35</v>
      </c>
      <c r="J1137" s="3">
        <v>12293.48</v>
      </c>
      <c r="K1137" s="2">
        <v>15.34</v>
      </c>
      <c r="L1137" s="3">
        <v>364268.11</v>
      </c>
      <c r="M1137">
        <v>46286</v>
      </c>
      <c r="N1137" s="1" t="s">
        <v>58</v>
      </c>
      <c r="O1137" s="1" t="s">
        <v>35</v>
      </c>
      <c r="P1137" s="1" t="s">
        <v>53</v>
      </c>
    </row>
    <row r="1138" spans="1:16" x14ac:dyDescent="0.25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>
        <v>39</v>
      </c>
      <c r="J1138" s="3">
        <v>22744.36</v>
      </c>
      <c r="K1138" s="2">
        <v>16.850000000000001</v>
      </c>
      <c r="L1138" s="3">
        <v>737565.48</v>
      </c>
      <c r="M1138">
        <v>46096</v>
      </c>
      <c r="N1138" s="1" t="s">
        <v>58</v>
      </c>
      <c r="O1138" s="1" t="s">
        <v>35</v>
      </c>
      <c r="P1138" s="1" t="s">
        <v>26</v>
      </c>
    </row>
    <row r="1139" spans="1:16" x14ac:dyDescent="0.25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>
        <v>8</v>
      </c>
      <c r="J1139" s="3">
        <v>48423.12</v>
      </c>
      <c r="K1139" s="2">
        <v>13.58</v>
      </c>
      <c r="L1139" s="3">
        <v>334778.08</v>
      </c>
      <c r="M1139">
        <v>46043</v>
      </c>
      <c r="N1139" s="1" t="s">
        <v>58</v>
      </c>
      <c r="O1139" s="1" t="s">
        <v>35</v>
      </c>
      <c r="P1139" s="1" t="s">
        <v>53</v>
      </c>
    </row>
    <row r="1140" spans="1:16" x14ac:dyDescent="0.25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>
        <v>13</v>
      </c>
      <c r="J1140" s="3">
        <v>8847.82</v>
      </c>
      <c r="K1140" s="2">
        <v>10.3</v>
      </c>
      <c r="L1140" s="3">
        <v>103174.43</v>
      </c>
      <c r="M1140">
        <v>46331</v>
      </c>
      <c r="N1140" s="1" t="s">
        <v>58</v>
      </c>
      <c r="O1140" s="1" t="s">
        <v>35</v>
      </c>
      <c r="P1140" s="1" t="s">
        <v>26</v>
      </c>
    </row>
    <row r="1141" spans="1:16" x14ac:dyDescent="0.25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>
        <v>6</v>
      </c>
      <c r="J1141" s="3">
        <v>15619.1</v>
      </c>
      <c r="K1141" s="2">
        <v>16.260000000000002</v>
      </c>
      <c r="L1141" s="3">
        <v>78476.61</v>
      </c>
      <c r="M1141">
        <v>46378</v>
      </c>
      <c r="N1141" s="1" t="s">
        <v>24</v>
      </c>
      <c r="O1141" s="1" t="s">
        <v>35</v>
      </c>
      <c r="P1141" s="1" t="s">
        <v>53</v>
      </c>
    </row>
    <row r="1142" spans="1:16" x14ac:dyDescent="0.25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>
        <v>42</v>
      </c>
      <c r="J1142" s="3">
        <v>33392.1</v>
      </c>
      <c r="K1142" s="2">
        <v>17.57</v>
      </c>
      <c r="L1142" s="3">
        <v>1156054.54</v>
      </c>
      <c r="M1142">
        <v>46166</v>
      </c>
      <c r="N1142" s="1" t="s">
        <v>58</v>
      </c>
      <c r="O1142" s="1" t="s">
        <v>35</v>
      </c>
      <c r="P1142" s="1" t="s">
        <v>36</v>
      </c>
    </row>
    <row r="1143" spans="1:16" x14ac:dyDescent="0.25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>
        <v>31</v>
      </c>
      <c r="J1143" s="3">
        <v>545.51</v>
      </c>
      <c r="K1143" s="2">
        <v>14.67</v>
      </c>
      <c r="L1143" s="3">
        <v>14429.99</v>
      </c>
      <c r="M1143">
        <v>46045</v>
      </c>
      <c r="N1143" s="1" t="s">
        <v>24</v>
      </c>
      <c r="O1143" s="1" t="s">
        <v>25</v>
      </c>
      <c r="P1143" s="1" t="s">
        <v>53</v>
      </c>
    </row>
    <row r="1144" spans="1:16" x14ac:dyDescent="0.25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>
        <v>8</v>
      </c>
      <c r="J1144" s="3">
        <v>4980.8900000000003</v>
      </c>
      <c r="K1144" s="2">
        <v>18.559999999999999</v>
      </c>
      <c r="L1144" s="3">
        <v>32451.49</v>
      </c>
      <c r="M1144">
        <v>46159</v>
      </c>
      <c r="N1144" s="1" t="s">
        <v>58</v>
      </c>
      <c r="O1144" s="1" t="s">
        <v>35</v>
      </c>
      <c r="P1144" s="1" t="s">
        <v>36</v>
      </c>
    </row>
    <row r="1145" spans="1:16" x14ac:dyDescent="0.25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>
        <v>4</v>
      </c>
      <c r="J1145" s="3">
        <v>30198.26</v>
      </c>
      <c r="K1145" s="2">
        <v>16.72</v>
      </c>
      <c r="L1145" s="3">
        <v>100596.44</v>
      </c>
      <c r="M1145">
        <v>46150</v>
      </c>
      <c r="N1145" s="1" t="s">
        <v>58</v>
      </c>
      <c r="O1145" s="1" t="s">
        <v>25</v>
      </c>
      <c r="P1145" s="1" t="s">
        <v>26</v>
      </c>
    </row>
    <row r="1146" spans="1:16" x14ac:dyDescent="0.25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>
        <v>34</v>
      </c>
      <c r="J1146" s="3">
        <v>18379.419999999998</v>
      </c>
      <c r="K1146" s="2">
        <v>1.94</v>
      </c>
      <c r="L1146" s="3">
        <v>612777.21</v>
      </c>
      <c r="M1146">
        <v>46350</v>
      </c>
      <c r="N1146" s="1" t="s">
        <v>24</v>
      </c>
      <c r="O1146" s="1" t="s">
        <v>35</v>
      </c>
      <c r="P1146" s="1" t="s">
        <v>53</v>
      </c>
    </row>
    <row r="1147" spans="1:16" x14ac:dyDescent="0.25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>
        <v>34</v>
      </c>
      <c r="J1147" s="3">
        <v>34371.54</v>
      </c>
      <c r="K1147" s="2">
        <v>3.1</v>
      </c>
      <c r="L1147" s="3">
        <v>1132404.76</v>
      </c>
      <c r="M1147">
        <v>46034</v>
      </c>
      <c r="N1147" s="1" t="s">
        <v>58</v>
      </c>
      <c r="O1147" s="1" t="s">
        <v>35</v>
      </c>
      <c r="P1147" s="1" t="s">
        <v>36</v>
      </c>
    </row>
    <row r="1148" spans="1:16" x14ac:dyDescent="0.25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>
        <v>10</v>
      </c>
      <c r="J1148" s="3">
        <v>1289.81</v>
      </c>
      <c r="K1148" s="2">
        <v>7.9</v>
      </c>
      <c r="L1148" s="3">
        <v>11879.15</v>
      </c>
      <c r="M1148">
        <v>46367</v>
      </c>
      <c r="N1148" s="1" t="s">
        <v>113</v>
      </c>
      <c r="O1148" s="1" t="s">
        <v>25</v>
      </c>
      <c r="P1148" s="1" t="s">
        <v>36</v>
      </c>
    </row>
    <row r="1149" spans="1:16" x14ac:dyDescent="0.25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>
        <v>37</v>
      </c>
      <c r="J1149" s="3">
        <v>15766.7</v>
      </c>
      <c r="K1149" s="2">
        <v>5.41</v>
      </c>
      <c r="L1149" s="3">
        <v>551807.69999999995</v>
      </c>
      <c r="M1149">
        <v>46080</v>
      </c>
      <c r="N1149" s="1" t="s">
        <v>68</v>
      </c>
      <c r="O1149" s="1" t="s">
        <v>35</v>
      </c>
      <c r="P1149" s="1" t="s">
        <v>26</v>
      </c>
    </row>
    <row r="1150" spans="1:16" x14ac:dyDescent="0.25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>
        <v>24</v>
      </c>
      <c r="J1150" s="3">
        <v>34686.269999999997</v>
      </c>
      <c r="K1150" s="2">
        <v>4.3</v>
      </c>
      <c r="L1150" s="3">
        <v>796674.25</v>
      </c>
      <c r="M1150">
        <v>46208</v>
      </c>
      <c r="N1150" s="1" t="s">
        <v>45</v>
      </c>
      <c r="O1150" s="1" t="s">
        <v>35</v>
      </c>
      <c r="P1150" s="1" t="s">
        <v>36</v>
      </c>
    </row>
    <row r="1151" spans="1:16" x14ac:dyDescent="0.25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>
        <v>39</v>
      </c>
      <c r="J1151" s="3">
        <v>34129.4</v>
      </c>
      <c r="K1151" s="2">
        <v>18.23</v>
      </c>
      <c r="L1151" s="3">
        <v>1088396.8</v>
      </c>
      <c r="M1151">
        <v>46161</v>
      </c>
      <c r="N1151" s="1" t="s">
        <v>24</v>
      </c>
      <c r="O1151" s="1" t="s">
        <v>35</v>
      </c>
      <c r="P1151" s="1" t="s">
        <v>36</v>
      </c>
    </row>
    <row r="1152" spans="1:16" x14ac:dyDescent="0.25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>
        <v>11</v>
      </c>
      <c r="J1152" s="3">
        <v>4880.5200000000004</v>
      </c>
      <c r="K1152" s="2">
        <v>0.21</v>
      </c>
      <c r="L1152" s="3">
        <v>53572.98</v>
      </c>
      <c r="M1152">
        <v>46295</v>
      </c>
      <c r="N1152" s="1" t="s">
        <v>58</v>
      </c>
      <c r="O1152" s="1" t="s">
        <v>35</v>
      </c>
      <c r="P1152" s="1" t="s">
        <v>53</v>
      </c>
    </row>
    <row r="1153" spans="1:16" x14ac:dyDescent="0.25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>
        <v>28</v>
      </c>
      <c r="J1153" s="3">
        <v>5084.8999999999996</v>
      </c>
      <c r="K1153" s="2">
        <v>14.3</v>
      </c>
      <c r="L1153" s="3">
        <v>122017.26</v>
      </c>
      <c r="M1153">
        <v>46340</v>
      </c>
      <c r="N1153" s="1" t="s">
        <v>113</v>
      </c>
      <c r="O1153" s="1" t="s">
        <v>35</v>
      </c>
      <c r="P1153" s="1" t="s">
        <v>53</v>
      </c>
    </row>
    <row r="1154" spans="1:16" x14ac:dyDescent="0.25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>
        <v>23</v>
      </c>
      <c r="J1154" s="3">
        <v>30269.75</v>
      </c>
      <c r="K1154" s="2">
        <v>4.7300000000000004</v>
      </c>
      <c r="L1154" s="3">
        <v>663273.79</v>
      </c>
      <c r="M1154">
        <v>46344</v>
      </c>
      <c r="N1154" s="1" t="s">
        <v>24</v>
      </c>
      <c r="O1154" s="1" t="s">
        <v>35</v>
      </c>
      <c r="P1154" s="1" t="s">
        <v>36</v>
      </c>
    </row>
    <row r="1155" spans="1:16" x14ac:dyDescent="0.25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>
        <v>31</v>
      </c>
      <c r="J1155" s="3">
        <v>42182.89</v>
      </c>
      <c r="K1155" s="2">
        <v>5.51</v>
      </c>
      <c r="L1155" s="3">
        <v>1235617</v>
      </c>
      <c r="M1155">
        <v>46113</v>
      </c>
      <c r="N1155" s="1" t="s">
        <v>113</v>
      </c>
      <c r="O1155" s="1" t="s">
        <v>35</v>
      </c>
      <c r="P1155" s="1" t="s">
        <v>53</v>
      </c>
    </row>
    <row r="1156" spans="1:16" x14ac:dyDescent="0.25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>
        <v>8</v>
      </c>
      <c r="J1156" s="3">
        <v>42849.94</v>
      </c>
      <c r="K1156" s="2">
        <v>12.73</v>
      </c>
      <c r="L1156" s="3">
        <v>299161.14</v>
      </c>
      <c r="M1156">
        <v>46191</v>
      </c>
      <c r="N1156" s="1" t="s">
        <v>24</v>
      </c>
      <c r="O1156" s="1" t="s">
        <v>59</v>
      </c>
      <c r="P1156" s="1" t="s">
        <v>53</v>
      </c>
    </row>
    <row r="1157" spans="1:16" x14ac:dyDescent="0.25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>
        <v>36</v>
      </c>
      <c r="J1157" s="3">
        <v>7000.67</v>
      </c>
      <c r="K1157" s="2">
        <v>4.7699999999999996</v>
      </c>
      <c r="L1157" s="3">
        <v>240002.57</v>
      </c>
      <c r="M1157">
        <v>46168</v>
      </c>
      <c r="N1157" s="1" t="s">
        <v>68</v>
      </c>
      <c r="O1157" s="1" t="s">
        <v>35</v>
      </c>
      <c r="P1157" s="1" t="s">
        <v>36</v>
      </c>
    </row>
    <row r="1158" spans="1:16" x14ac:dyDescent="0.25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>
        <v>32</v>
      </c>
      <c r="J1158" s="3">
        <v>23137.98</v>
      </c>
      <c r="K1158" s="2">
        <v>13.04</v>
      </c>
      <c r="L1158" s="3">
        <v>643865.19999999995</v>
      </c>
      <c r="M1158">
        <v>46260</v>
      </c>
      <c r="N1158" s="1" t="s">
        <v>68</v>
      </c>
      <c r="O1158" s="1" t="s">
        <v>35</v>
      </c>
      <c r="P1158" s="1" t="s">
        <v>53</v>
      </c>
    </row>
    <row r="1159" spans="1:16" x14ac:dyDescent="0.25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>
        <v>36</v>
      </c>
      <c r="J1159" s="3">
        <v>42807.94</v>
      </c>
      <c r="K1159" s="2">
        <v>14.72</v>
      </c>
      <c r="L1159" s="3">
        <v>1314238</v>
      </c>
      <c r="M1159">
        <v>46024</v>
      </c>
      <c r="N1159" s="1" t="s">
        <v>58</v>
      </c>
      <c r="O1159" s="1" t="s">
        <v>35</v>
      </c>
      <c r="P1159" s="1" t="s">
        <v>36</v>
      </c>
    </row>
    <row r="1160" spans="1:16" x14ac:dyDescent="0.25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>
        <v>22</v>
      </c>
      <c r="J1160" s="3">
        <v>13794.58</v>
      </c>
      <c r="K1160" s="2">
        <v>18.57</v>
      </c>
      <c r="L1160" s="3">
        <v>247124.38</v>
      </c>
      <c r="M1160">
        <v>46236</v>
      </c>
      <c r="N1160" s="1" t="s">
        <v>24</v>
      </c>
      <c r="O1160" s="1" t="s">
        <v>35</v>
      </c>
      <c r="P1160" s="1" t="s">
        <v>36</v>
      </c>
    </row>
    <row r="1161" spans="1:16" x14ac:dyDescent="0.25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>
        <v>33</v>
      </c>
      <c r="J1161" s="3">
        <v>28738.67</v>
      </c>
      <c r="K1161" s="2">
        <v>5.04</v>
      </c>
      <c r="L1161" s="3">
        <v>900577.95</v>
      </c>
      <c r="M1161">
        <v>46318</v>
      </c>
      <c r="N1161" s="1" t="s">
        <v>113</v>
      </c>
      <c r="O1161" s="1" t="s">
        <v>35</v>
      </c>
      <c r="P1161" s="1" t="s">
        <v>26</v>
      </c>
    </row>
    <row r="1162" spans="1:16" x14ac:dyDescent="0.25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>
        <v>19</v>
      </c>
      <c r="J1162" s="3">
        <v>2269.6</v>
      </c>
      <c r="K1162" s="2">
        <v>16.760000000000002</v>
      </c>
      <c r="L1162" s="3">
        <v>35895.089999999997</v>
      </c>
      <c r="M1162">
        <v>46109</v>
      </c>
      <c r="N1162" s="1" t="s">
        <v>68</v>
      </c>
      <c r="O1162" s="1" t="s">
        <v>35</v>
      </c>
      <c r="P1162" s="1" t="s">
        <v>53</v>
      </c>
    </row>
    <row r="1163" spans="1:16" x14ac:dyDescent="0.25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>
        <v>49</v>
      </c>
      <c r="J1163" s="3">
        <v>39628.800000000003</v>
      </c>
      <c r="K1163" s="2">
        <v>12.3</v>
      </c>
      <c r="L1163" s="3">
        <v>1702968.42</v>
      </c>
      <c r="M1163">
        <v>46261</v>
      </c>
      <c r="N1163" s="1" t="s">
        <v>68</v>
      </c>
      <c r="O1163" s="1" t="s">
        <v>25</v>
      </c>
      <c r="P1163" s="1" t="s">
        <v>53</v>
      </c>
    </row>
    <row r="1164" spans="1:16" x14ac:dyDescent="0.25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>
        <v>35</v>
      </c>
      <c r="J1164" s="3">
        <v>4172.43</v>
      </c>
      <c r="K1164" s="2">
        <v>18.72</v>
      </c>
      <c r="L1164" s="3">
        <v>118697.29</v>
      </c>
      <c r="M1164">
        <v>46385</v>
      </c>
      <c r="N1164" s="1" t="s">
        <v>68</v>
      </c>
      <c r="O1164" s="1" t="s">
        <v>25</v>
      </c>
      <c r="P1164" s="1" t="s">
        <v>53</v>
      </c>
    </row>
    <row r="1165" spans="1:16" x14ac:dyDescent="0.25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>
        <v>14</v>
      </c>
      <c r="J1165" s="3">
        <v>42085.69</v>
      </c>
      <c r="K1165" s="2">
        <v>6.81</v>
      </c>
      <c r="L1165" s="3">
        <v>549075.16</v>
      </c>
      <c r="M1165">
        <v>46134</v>
      </c>
      <c r="N1165" s="1" t="s">
        <v>24</v>
      </c>
      <c r="O1165" s="1" t="s">
        <v>25</v>
      </c>
      <c r="P1165" s="1" t="s">
        <v>36</v>
      </c>
    </row>
    <row r="1166" spans="1:16" x14ac:dyDescent="0.25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>
        <v>28</v>
      </c>
      <c r="J1166" s="3">
        <v>33453.440000000002</v>
      </c>
      <c r="K1166" s="2">
        <v>5.94</v>
      </c>
      <c r="L1166" s="3">
        <v>881056.56</v>
      </c>
      <c r="M1166">
        <v>46106</v>
      </c>
      <c r="N1166" s="1" t="s">
        <v>45</v>
      </c>
      <c r="O1166" s="1" t="s">
        <v>35</v>
      </c>
      <c r="P1166" s="1" t="s">
        <v>36</v>
      </c>
    </row>
    <row r="1167" spans="1:16" x14ac:dyDescent="0.25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>
        <v>44</v>
      </c>
      <c r="J1167" s="3">
        <v>39150.720000000001</v>
      </c>
      <c r="K1167" s="2">
        <v>3.29</v>
      </c>
      <c r="L1167" s="3">
        <v>1665957.1</v>
      </c>
      <c r="M1167">
        <v>46162</v>
      </c>
      <c r="N1167" s="1" t="s">
        <v>68</v>
      </c>
      <c r="O1167" s="1" t="s">
        <v>35</v>
      </c>
      <c r="P1167" s="1" t="s">
        <v>53</v>
      </c>
    </row>
    <row r="1168" spans="1:16" x14ac:dyDescent="0.25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>
        <v>50</v>
      </c>
      <c r="J1168" s="3">
        <v>48802.09</v>
      </c>
      <c r="K1168" s="2">
        <v>5.81</v>
      </c>
      <c r="L1168" s="3">
        <v>2298334.4300000002</v>
      </c>
      <c r="M1168">
        <v>46319</v>
      </c>
      <c r="N1168" s="1" t="s">
        <v>58</v>
      </c>
      <c r="O1168" s="1" t="s">
        <v>35</v>
      </c>
      <c r="P1168" s="1" t="s">
        <v>36</v>
      </c>
    </row>
    <row r="1169" spans="1:16" x14ac:dyDescent="0.25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>
        <v>29</v>
      </c>
      <c r="J1169" s="3">
        <v>1454.08</v>
      </c>
      <c r="K1169" s="2">
        <v>17.54</v>
      </c>
      <c r="L1169" s="3">
        <v>34772</v>
      </c>
      <c r="M1169">
        <v>46163</v>
      </c>
      <c r="N1169" s="1" t="s">
        <v>45</v>
      </c>
      <c r="O1169" s="1" t="s">
        <v>35</v>
      </c>
      <c r="P1169" s="1" t="s">
        <v>53</v>
      </c>
    </row>
    <row r="1170" spans="1:16" x14ac:dyDescent="0.25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>
        <v>5</v>
      </c>
      <c r="J1170" s="3">
        <v>5605.7</v>
      </c>
      <c r="K1170" s="2">
        <v>5.65</v>
      </c>
      <c r="L1170" s="3">
        <v>26444.89</v>
      </c>
      <c r="M1170">
        <v>46369</v>
      </c>
      <c r="N1170" s="1" t="s">
        <v>68</v>
      </c>
      <c r="O1170" s="1" t="s">
        <v>59</v>
      </c>
      <c r="P1170" s="1" t="s">
        <v>36</v>
      </c>
    </row>
    <row r="1171" spans="1:16" x14ac:dyDescent="0.25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>
        <v>4</v>
      </c>
      <c r="J1171" s="3">
        <v>10452.57</v>
      </c>
      <c r="K1171" s="2">
        <v>17.2</v>
      </c>
      <c r="L1171" s="3">
        <v>34618.910000000003</v>
      </c>
      <c r="M1171">
        <v>46161</v>
      </c>
      <c r="N1171" s="1" t="s">
        <v>45</v>
      </c>
      <c r="O1171" s="1" t="s">
        <v>25</v>
      </c>
      <c r="P1171" s="1" t="s">
        <v>26</v>
      </c>
    </row>
    <row r="1172" spans="1:16" x14ac:dyDescent="0.25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>
        <v>32</v>
      </c>
      <c r="J1172" s="3">
        <v>30366.53</v>
      </c>
      <c r="K1172" s="2">
        <v>8.9499999999999993</v>
      </c>
      <c r="L1172" s="3">
        <v>884759.22</v>
      </c>
      <c r="M1172">
        <v>46274</v>
      </c>
      <c r="N1172" s="1" t="s">
        <v>68</v>
      </c>
      <c r="O1172" s="1" t="s">
        <v>35</v>
      </c>
      <c r="P1172" s="1" t="s">
        <v>36</v>
      </c>
    </row>
    <row r="1173" spans="1:16" x14ac:dyDescent="0.25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>
        <v>29</v>
      </c>
      <c r="J1173" s="3">
        <v>7653.71</v>
      </c>
      <c r="K1173" s="2">
        <v>3.17</v>
      </c>
      <c r="L1173" s="3">
        <v>214921.53</v>
      </c>
      <c r="M1173">
        <v>46286</v>
      </c>
      <c r="N1173" s="1" t="s">
        <v>45</v>
      </c>
      <c r="O1173" s="1" t="s">
        <v>35</v>
      </c>
      <c r="P1173" s="1" t="s">
        <v>36</v>
      </c>
    </row>
    <row r="1174" spans="1:16" x14ac:dyDescent="0.25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>
        <v>15</v>
      </c>
      <c r="J1174" s="3">
        <v>39332.870000000003</v>
      </c>
      <c r="K1174" s="2">
        <v>18.41</v>
      </c>
      <c r="L1174" s="3">
        <v>481375.33</v>
      </c>
      <c r="M1174">
        <v>46371</v>
      </c>
      <c r="N1174" s="1" t="s">
        <v>113</v>
      </c>
      <c r="O1174" s="1" t="s">
        <v>35</v>
      </c>
      <c r="P1174" s="1" t="s">
        <v>36</v>
      </c>
    </row>
    <row r="1175" spans="1:16" x14ac:dyDescent="0.25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>
        <v>24</v>
      </c>
      <c r="J1175" s="3">
        <v>4534.33</v>
      </c>
      <c r="K1175" s="2">
        <v>17.37</v>
      </c>
      <c r="L1175" s="3">
        <v>89921.21</v>
      </c>
      <c r="M1175">
        <v>46035</v>
      </c>
      <c r="N1175" s="1" t="s">
        <v>113</v>
      </c>
      <c r="O1175" s="1" t="s">
        <v>35</v>
      </c>
      <c r="P1175" s="1" t="s">
        <v>53</v>
      </c>
    </row>
    <row r="1176" spans="1:16" x14ac:dyDescent="0.25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>
        <v>45</v>
      </c>
      <c r="J1176" s="3">
        <v>46609.64</v>
      </c>
      <c r="K1176" s="2">
        <v>15.87</v>
      </c>
      <c r="L1176" s="3">
        <v>1764571.06</v>
      </c>
      <c r="M1176">
        <v>46231</v>
      </c>
      <c r="N1176" s="1" t="s">
        <v>68</v>
      </c>
      <c r="O1176" s="1" t="s">
        <v>59</v>
      </c>
      <c r="P1176" s="1" t="s">
        <v>36</v>
      </c>
    </row>
    <row r="1177" spans="1:16" x14ac:dyDescent="0.25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>
        <v>16</v>
      </c>
      <c r="J1177" s="3">
        <v>10159.14</v>
      </c>
      <c r="K1177" s="2">
        <v>1.64</v>
      </c>
      <c r="L1177" s="3">
        <v>159880.48000000001</v>
      </c>
      <c r="M1177">
        <v>46114</v>
      </c>
      <c r="N1177" s="1" t="s">
        <v>113</v>
      </c>
      <c r="O1177" s="1" t="s">
        <v>25</v>
      </c>
      <c r="P1177" s="1" t="s">
        <v>36</v>
      </c>
    </row>
    <row r="1178" spans="1:16" x14ac:dyDescent="0.25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>
        <v>13</v>
      </c>
      <c r="J1178" s="3">
        <v>11982.88</v>
      </c>
      <c r="K1178" s="2">
        <v>14.24</v>
      </c>
      <c r="L1178" s="3">
        <v>133594.73000000001</v>
      </c>
      <c r="M1178">
        <v>46298</v>
      </c>
      <c r="N1178" s="1" t="s">
        <v>68</v>
      </c>
      <c r="O1178" s="1" t="s">
        <v>35</v>
      </c>
      <c r="P1178" s="1" t="s">
        <v>36</v>
      </c>
    </row>
    <row r="1179" spans="1:16" x14ac:dyDescent="0.25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>
        <v>42</v>
      </c>
      <c r="J1179" s="3">
        <v>12987.99</v>
      </c>
      <c r="K1179" s="2">
        <v>4.7</v>
      </c>
      <c r="L1179" s="3">
        <v>519857.29</v>
      </c>
      <c r="M1179">
        <v>46160</v>
      </c>
      <c r="N1179" s="1" t="s">
        <v>58</v>
      </c>
      <c r="O1179" s="1" t="s">
        <v>35</v>
      </c>
      <c r="P1179" s="1" t="s">
        <v>26</v>
      </c>
    </row>
    <row r="1180" spans="1:16" x14ac:dyDescent="0.25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>
        <v>44</v>
      </c>
      <c r="J1180" s="3">
        <v>40370.730000000003</v>
      </c>
      <c r="K1180" s="2">
        <v>18.989999999999998</v>
      </c>
      <c r="L1180" s="3">
        <v>1438990.45</v>
      </c>
      <c r="M1180">
        <v>46175</v>
      </c>
      <c r="N1180" s="1" t="s">
        <v>68</v>
      </c>
      <c r="O1180" s="1" t="s">
        <v>35</v>
      </c>
      <c r="P1180" s="1" t="s">
        <v>36</v>
      </c>
    </row>
    <row r="1181" spans="1:16" x14ac:dyDescent="0.25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>
        <v>6</v>
      </c>
      <c r="J1181" s="3">
        <v>5206.08</v>
      </c>
      <c r="K1181" s="2">
        <v>19.579999999999998</v>
      </c>
      <c r="L1181" s="3">
        <v>25120.38</v>
      </c>
      <c r="M1181">
        <v>46348</v>
      </c>
      <c r="N1181" s="1" t="s">
        <v>113</v>
      </c>
      <c r="O1181" s="1" t="s">
        <v>35</v>
      </c>
      <c r="P1181" s="1" t="s">
        <v>26</v>
      </c>
    </row>
    <row r="1182" spans="1:16" x14ac:dyDescent="0.25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>
        <v>49</v>
      </c>
      <c r="J1182" s="3">
        <v>23615.15</v>
      </c>
      <c r="K1182" s="2">
        <v>5.79</v>
      </c>
      <c r="L1182" s="3">
        <v>1090143.81</v>
      </c>
      <c r="M1182">
        <v>46252</v>
      </c>
      <c r="N1182" s="1" t="s">
        <v>45</v>
      </c>
      <c r="O1182" s="1" t="s">
        <v>35</v>
      </c>
      <c r="P1182" s="1" t="s">
        <v>36</v>
      </c>
    </row>
    <row r="1183" spans="1:16" x14ac:dyDescent="0.25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>
        <v>13</v>
      </c>
      <c r="J1183" s="3">
        <v>33670.61</v>
      </c>
      <c r="K1183" s="2">
        <v>14.63</v>
      </c>
      <c r="L1183" s="3">
        <v>373679.8</v>
      </c>
      <c r="M1183">
        <v>46116</v>
      </c>
      <c r="N1183" s="1" t="s">
        <v>58</v>
      </c>
      <c r="O1183" s="1" t="s">
        <v>35</v>
      </c>
      <c r="P1183" s="1" t="s">
        <v>53</v>
      </c>
    </row>
    <row r="1184" spans="1:16" x14ac:dyDescent="0.25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>
        <v>45</v>
      </c>
      <c r="J1184" s="3">
        <v>30208.77</v>
      </c>
      <c r="K1184" s="2">
        <v>13.11</v>
      </c>
      <c r="L1184" s="3">
        <v>1181178.01</v>
      </c>
      <c r="M1184">
        <v>46078</v>
      </c>
      <c r="N1184" s="1" t="s">
        <v>68</v>
      </c>
      <c r="O1184" s="1" t="s">
        <v>35</v>
      </c>
      <c r="P1184" s="1" t="s">
        <v>36</v>
      </c>
    </row>
    <row r="1185" spans="1:16" x14ac:dyDescent="0.25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>
        <v>25</v>
      </c>
      <c r="J1185" s="3">
        <v>39324.69</v>
      </c>
      <c r="K1185" s="2">
        <v>8.99</v>
      </c>
      <c r="L1185" s="3">
        <v>894735.01</v>
      </c>
      <c r="M1185">
        <v>46307</v>
      </c>
      <c r="N1185" s="1" t="s">
        <v>113</v>
      </c>
      <c r="O1185" s="1" t="s">
        <v>35</v>
      </c>
      <c r="P1185" s="1" t="s">
        <v>26</v>
      </c>
    </row>
    <row r="1186" spans="1:16" x14ac:dyDescent="0.25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>
        <v>10</v>
      </c>
      <c r="J1186" s="3">
        <v>1370.17</v>
      </c>
      <c r="K1186" s="2">
        <v>12.16</v>
      </c>
      <c r="L1186" s="3">
        <v>12035.57</v>
      </c>
      <c r="M1186">
        <v>46143</v>
      </c>
      <c r="N1186" s="1" t="s">
        <v>24</v>
      </c>
      <c r="O1186" s="1" t="s">
        <v>35</v>
      </c>
      <c r="P1186" s="1" t="s">
        <v>36</v>
      </c>
    </row>
    <row r="1187" spans="1:16" x14ac:dyDescent="0.25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>
        <v>21</v>
      </c>
      <c r="J1187" s="3">
        <v>2236.64</v>
      </c>
      <c r="K1187" s="2">
        <v>18.670000000000002</v>
      </c>
      <c r="L1187" s="3">
        <v>38200.25</v>
      </c>
      <c r="M1187">
        <v>46164</v>
      </c>
      <c r="N1187" s="1" t="s">
        <v>68</v>
      </c>
      <c r="O1187" s="1" t="s">
        <v>35</v>
      </c>
      <c r="P1187" s="1" t="s">
        <v>53</v>
      </c>
    </row>
    <row r="1188" spans="1:16" x14ac:dyDescent="0.25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>
        <v>6</v>
      </c>
      <c r="J1188" s="3">
        <v>49917.13</v>
      </c>
      <c r="K1188" s="2">
        <v>3.5</v>
      </c>
      <c r="L1188" s="3">
        <v>289020.18</v>
      </c>
      <c r="M1188">
        <v>46203</v>
      </c>
      <c r="N1188" s="1" t="s">
        <v>58</v>
      </c>
      <c r="O1188" s="1" t="s">
        <v>35</v>
      </c>
      <c r="P1188" s="1" t="s">
        <v>36</v>
      </c>
    </row>
    <row r="1189" spans="1:16" x14ac:dyDescent="0.25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>
        <v>16</v>
      </c>
      <c r="J1189" s="3">
        <v>10315.69</v>
      </c>
      <c r="K1189" s="2">
        <v>12.77</v>
      </c>
      <c r="L1189" s="3">
        <v>143974.01999999999</v>
      </c>
      <c r="M1189">
        <v>46361</v>
      </c>
      <c r="N1189" s="1" t="s">
        <v>113</v>
      </c>
      <c r="O1189" s="1" t="s">
        <v>35</v>
      </c>
      <c r="P1189" s="1" t="s">
        <v>36</v>
      </c>
    </row>
    <row r="1190" spans="1:16" x14ac:dyDescent="0.25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>
        <v>25</v>
      </c>
      <c r="J1190" s="3">
        <v>33811.86</v>
      </c>
      <c r="K1190" s="2">
        <v>13.15</v>
      </c>
      <c r="L1190" s="3">
        <v>734140.01</v>
      </c>
      <c r="M1190">
        <v>46141</v>
      </c>
      <c r="N1190" s="1" t="s">
        <v>45</v>
      </c>
      <c r="O1190" s="1" t="s">
        <v>35</v>
      </c>
      <c r="P1190" s="1" t="s">
        <v>26</v>
      </c>
    </row>
    <row r="1191" spans="1:16" x14ac:dyDescent="0.25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>
        <v>16</v>
      </c>
      <c r="J1191" s="3">
        <v>13611.49</v>
      </c>
      <c r="K1191" s="2">
        <v>0.87</v>
      </c>
      <c r="L1191" s="3">
        <v>215889.12</v>
      </c>
      <c r="M1191">
        <v>46239</v>
      </c>
      <c r="N1191" s="1" t="s">
        <v>58</v>
      </c>
      <c r="O1191" s="1" t="s">
        <v>35</v>
      </c>
      <c r="P1191" s="1" t="s">
        <v>26</v>
      </c>
    </row>
    <row r="1192" spans="1:16" x14ac:dyDescent="0.25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>
        <v>15</v>
      </c>
      <c r="J1192" s="3">
        <v>43728.46</v>
      </c>
      <c r="K1192" s="2">
        <v>14.51</v>
      </c>
      <c r="L1192" s="3">
        <v>560751.91</v>
      </c>
      <c r="M1192">
        <v>46341</v>
      </c>
      <c r="N1192" s="1" t="s">
        <v>45</v>
      </c>
      <c r="O1192" s="1" t="s">
        <v>35</v>
      </c>
      <c r="P1192" s="1" t="s">
        <v>36</v>
      </c>
    </row>
    <row r="1193" spans="1:16" x14ac:dyDescent="0.25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>
        <v>22</v>
      </c>
      <c r="J1193" s="3">
        <v>20414.7</v>
      </c>
      <c r="K1193" s="2">
        <v>15.6</v>
      </c>
      <c r="L1193" s="3">
        <v>379060.15</v>
      </c>
      <c r="M1193">
        <v>46369</v>
      </c>
      <c r="N1193" s="1" t="s">
        <v>68</v>
      </c>
      <c r="O1193" s="1" t="s">
        <v>35</v>
      </c>
      <c r="P1193" s="1" t="s">
        <v>26</v>
      </c>
    </row>
    <row r="1194" spans="1:16" x14ac:dyDescent="0.25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>
        <v>3</v>
      </c>
      <c r="J1194" s="3">
        <v>9259.69</v>
      </c>
      <c r="K1194" s="2">
        <v>4.8899999999999997</v>
      </c>
      <c r="L1194" s="3">
        <v>26420.67</v>
      </c>
      <c r="M1194">
        <v>46156</v>
      </c>
      <c r="N1194" s="1" t="s">
        <v>68</v>
      </c>
      <c r="O1194" s="1" t="s">
        <v>25</v>
      </c>
      <c r="P1194" s="1" t="s">
        <v>36</v>
      </c>
    </row>
    <row r="1195" spans="1:16" x14ac:dyDescent="0.25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>
        <v>44</v>
      </c>
      <c r="J1195" s="3">
        <v>5251.12</v>
      </c>
      <c r="K1195" s="2">
        <v>13.09</v>
      </c>
      <c r="L1195" s="3">
        <v>200804.93</v>
      </c>
      <c r="M1195">
        <v>46372</v>
      </c>
      <c r="N1195" s="1" t="s">
        <v>68</v>
      </c>
      <c r="O1195" s="1" t="s">
        <v>35</v>
      </c>
      <c r="P1195" s="1" t="s">
        <v>26</v>
      </c>
    </row>
    <row r="1196" spans="1:16" x14ac:dyDescent="0.25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>
        <v>30</v>
      </c>
      <c r="J1196" s="3">
        <v>29914.87</v>
      </c>
      <c r="K1196" s="2">
        <v>3.01</v>
      </c>
      <c r="L1196" s="3">
        <v>870432.97</v>
      </c>
      <c r="M1196">
        <v>46125</v>
      </c>
      <c r="N1196" s="1" t="s">
        <v>113</v>
      </c>
      <c r="O1196" s="1" t="s">
        <v>35</v>
      </c>
      <c r="P1196" s="1" t="s">
        <v>53</v>
      </c>
    </row>
    <row r="1197" spans="1:16" x14ac:dyDescent="0.25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>
        <v>40</v>
      </c>
      <c r="J1197" s="3">
        <v>45166.57</v>
      </c>
      <c r="K1197" s="2">
        <v>7.87</v>
      </c>
      <c r="L1197" s="3">
        <v>1664478.44</v>
      </c>
      <c r="M1197">
        <v>46038</v>
      </c>
      <c r="N1197" s="1" t="s">
        <v>58</v>
      </c>
      <c r="O1197" s="1" t="s">
        <v>35</v>
      </c>
      <c r="P1197" s="1" t="s">
        <v>26</v>
      </c>
    </row>
    <row r="1198" spans="1:16" x14ac:dyDescent="0.25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>
        <v>49</v>
      </c>
      <c r="J1198" s="3">
        <v>46612.71</v>
      </c>
      <c r="K1198" s="2">
        <v>0.7</v>
      </c>
      <c r="L1198" s="3">
        <v>2268034.63</v>
      </c>
      <c r="M1198">
        <v>46190</v>
      </c>
      <c r="N1198" s="1" t="s">
        <v>58</v>
      </c>
      <c r="O1198" s="1" t="s">
        <v>35</v>
      </c>
      <c r="P1198" s="1" t="s">
        <v>36</v>
      </c>
    </row>
    <row r="1199" spans="1:16" x14ac:dyDescent="0.25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>
        <v>39</v>
      </c>
      <c r="J1199" s="3">
        <v>36288.83</v>
      </c>
      <c r="K1199" s="2">
        <v>13.34</v>
      </c>
      <c r="L1199" s="3">
        <v>1226468.1000000001</v>
      </c>
      <c r="M1199">
        <v>46114</v>
      </c>
      <c r="N1199" s="1" t="s">
        <v>113</v>
      </c>
      <c r="O1199" s="1" t="s">
        <v>35</v>
      </c>
      <c r="P1199" s="1" t="s">
        <v>26</v>
      </c>
    </row>
    <row r="1200" spans="1:16" x14ac:dyDescent="0.25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>
        <v>32</v>
      </c>
      <c r="J1200" s="3">
        <v>1177.8699999999999</v>
      </c>
      <c r="K1200" s="2">
        <v>17.45</v>
      </c>
      <c r="L1200" s="3">
        <v>31114.61</v>
      </c>
      <c r="M1200">
        <v>46105</v>
      </c>
      <c r="N1200" s="1" t="s">
        <v>24</v>
      </c>
      <c r="O1200" s="1" t="s">
        <v>35</v>
      </c>
      <c r="P1200" s="1" t="s">
        <v>26</v>
      </c>
    </row>
    <row r="1201" spans="1:16" x14ac:dyDescent="0.25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>
        <v>47</v>
      </c>
      <c r="J1201" s="3">
        <v>35700.53</v>
      </c>
      <c r="K1201" s="2">
        <v>19.8</v>
      </c>
      <c r="L1201" s="3">
        <v>1345695.78</v>
      </c>
      <c r="M1201">
        <v>46364</v>
      </c>
      <c r="N1201" s="1" t="s">
        <v>113</v>
      </c>
      <c r="O1201" s="1" t="s">
        <v>59</v>
      </c>
      <c r="P1201" s="1" t="s">
        <v>36</v>
      </c>
    </row>
    <row r="1202" spans="1:16" x14ac:dyDescent="0.25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>
        <v>28</v>
      </c>
      <c r="J1202" s="3">
        <v>38636.620000000003</v>
      </c>
      <c r="K1202" s="2">
        <v>4.17</v>
      </c>
      <c r="L1202" s="3">
        <v>1036713.24</v>
      </c>
      <c r="M1202">
        <v>46147</v>
      </c>
      <c r="N1202" s="1" t="s">
        <v>24</v>
      </c>
      <c r="O1202" s="1" t="s">
        <v>35</v>
      </c>
      <c r="P1202" s="1" t="s">
        <v>36</v>
      </c>
    </row>
    <row r="1203" spans="1:16" x14ac:dyDescent="0.25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>
        <v>8</v>
      </c>
      <c r="J1203" s="3">
        <v>26558.38</v>
      </c>
      <c r="K1203" s="2">
        <v>0.21</v>
      </c>
      <c r="L1203" s="3">
        <v>212020.86</v>
      </c>
      <c r="M1203">
        <v>46321</v>
      </c>
      <c r="N1203" s="1" t="s">
        <v>24</v>
      </c>
      <c r="O1203" s="1" t="s">
        <v>59</v>
      </c>
      <c r="P1203" s="1" t="s">
        <v>36</v>
      </c>
    </row>
    <row r="1204" spans="1:16" x14ac:dyDescent="0.25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>
        <v>30</v>
      </c>
      <c r="J1204" s="3">
        <v>7811.83</v>
      </c>
      <c r="K1204" s="2">
        <v>3.89</v>
      </c>
      <c r="L1204" s="3">
        <v>225238.49</v>
      </c>
      <c r="M1204">
        <v>46065</v>
      </c>
      <c r="N1204" s="1" t="s">
        <v>24</v>
      </c>
      <c r="O1204" s="1" t="s">
        <v>35</v>
      </c>
      <c r="P1204" s="1" t="s">
        <v>36</v>
      </c>
    </row>
    <row r="1205" spans="1:16" x14ac:dyDescent="0.25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>
        <v>30</v>
      </c>
      <c r="J1205" s="3">
        <v>11169.64</v>
      </c>
      <c r="K1205" s="2">
        <v>13.15</v>
      </c>
      <c r="L1205" s="3">
        <v>291024.96999999997</v>
      </c>
      <c r="M1205">
        <v>46198</v>
      </c>
      <c r="N1205" s="1" t="s">
        <v>113</v>
      </c>
      <c r="O1205" s="1" t="s">
        <v>35</v>
      </c>
      <c r="P1205" s="1" t="s">
        <v>53</v>
      </c>
    </row>
    <row r="1206" spans="1:16" x14ac:dyDescent="0.25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>
        <v>30</v>
      </c>
      <c r="J1206" s="3">
        <v>16671.810000000001</v>
      </c>
      <c r="K1206" s="2">
        <v>3.71</v>
      </c>
      <c r="L1206" s="3">
        <v>481598.58</v>
      </c>
      <c r="M1206">
        <v>46215</v>
      </c>
      <c r="N1206" s="1" t="s">
        <v>24</v>
      </c>
      <c r="O1206" s="1" t="s">
        <v>35</v>
      </c>
      <c r="P1206" s="1" t="s">
        <v>26</v>
      </c>
    </row>
    <row r="1207" spans="1:16" x14ac:dyDescent="0.25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>
        <v>25</v>
      </c>
      <c r="J1207" s="3">
        <v>37338.15</v>
      </c>
      <c r="K1207" s="2">
        <v>17.350000000000001</v>
      </c>
      <c r="L1207" s="3">
        <v>771499.52000000002</v>
      </c>
      <c r="M1207">
        <v>46104</v>
      </c>
      <c r="N1207" s="1" t="s">
        <v>68</v>
      </c>
      <c r="O1207" s="1" t="s">
        <v>35</v>
      </c>
      <c r="P1207" s="1" t="s">
        <v>53</v>
      </c>
    </row>
    <row r="1208" spans="1:16" x14ac:dyDescent="0.25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>
        <v>19</v>
      </c>
      <c r="J1208" s="3">
        <v>20626.919999999998</v>
      </c>
      <c r="K1208" s="2">
        <v>8.48</v>
      </c>
      <c r="L1208" s="3">
        <v>358677.39</v>
      </c>
      <c r="M1208">
        <v>46207</v>
      </c>
      <c r="N1208" s="1" t="s">
        <v>68</v>
      </c>
      <c r="O1208" s="1" t="s">
        <v>35</v>
      </c>
      <c r="P1208" s="1" t="s">
        <v>26</v>
      </c>
    </row>
    <row r="1209" spans="1:16" x14ac:dyDescent="0.25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>
        <v>15</v>
      </c>
      <c r="J1209" s="3">
        <v>1171.17</v>
      </c>
      <c r="K1209" s="2">
        <v>10.14</v>
      </c>
      <c r="L1209" s="3">
        <v>15786.2</v>
      </c>
      <c r="M1209">
        <v>46045</v>
      </c>
      <c r="N1209" s="1" t="s">
        <v>68</v>
      </c>
      <c r="O1209" s="1" t="s">
        <v>35</v>
      </c>
      <c r="P1209" s="1" t="s">
        <v>53</v>
      </c>
    </row>
    <row r="1210" spans="1:16" x14ac:dyDescent="0.25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>
        <v>45</v>
      </c>
      <c r="J1210" s="3">
        <v>32250.23</v>
      </c>
      <c r="K1210" s="2">
        <v>2.5</v>
      </c>
      <c r="L1210" s="3">
        <v>1414978.84</v>
      </c>
      <c r="M1210">
        <v>46025</v>
      </c>
      <c r="N1210" s="1" t="s">
        <v>68</v>
      </c>
      <c r="O1210" s="1" t="s">
        <v>35</v>
      </c>
      <c r="P1210" s="1" t="s">
        <v>36</v>
      </c>
    </row>
    <row r="1211" spans="1:16" x14ac:dyDescent="0.25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>
        <v>16</v>
      </c>
      <c r="J1211" s="3">
        <v>48434.1</v>
      </c>
      <c r="K1211" s="2">
        <v>1.47</v>
      </c>
      <c r="L1211" s="3">
        <v>763553.9</v>
      </c>
      <c r="M1211">
        <v>46272</v>
      </c>
      <c r="N1211" s="1" t="s">
        <v>68</v>
      </c>
      <c r="O1211" s="1" t="s">
        <v>35</v>
      </c>
      <c r="P1211" s="1" t="s">
        <v>53</v>
      </c>
    </row>
    <row r="1212" spans="1:16" x14ac:dyDescent="0.25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>
        <v>16</v>
      </c>
      <c r="J1212" s="3">
        <v>29269.33</v>
      </c>
      <c r="K1212" s="2">
        <v>10.54</v>
      </c>
      <c r="L1212" s="3">
        <v>418949.48</v>
      </c>
      <c r="M1212">
        <v>46302</v>
      </c>
      <c r="N1212" s="1" t="s">
        <v>24</v>
      </c>
      <c r="O1212" s="1" t="s">
        <v>35</v>
      </c>
      <c r="P1212" s="1" t="s">
        <v>26</v>
      </c>
    </row>
    <row r="1213" spans="1:16" x14ac:dyDescent="0.25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>
        <v>28</v>
      </c>
      <c r="J1213" s="3">
        <v>14551.19</v>
      </c>
      <c r="K1213" s="2">
        <v>7.37</v>
      </c>
      <c r="L1213" s="3">
        <v>377405.48</v>
      </c>
      <c r="M1213">
        <v>46069</v>
      </c>
      <c r="N1213" s="1" t="s">
        <v>45</v>
      </c>
      <c r="O1213" s="1" t="s">
        <v>35</v>
      </c>
      <c r="P1213" s="1" t="s">
        <v>36</v>
      </c>
    </row>
    <row r="1214" spans="1:16" x14ac:dyDescent="0.25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>
        <v>47</v>
      </c>
      <c r="J1214" s="3">
        <v>40327.03</v>
      </c>
      <c r="K1214" s="2">
        <v>10.91</v>
      </c>
      <c r="L1214" s="3">
        <v>1688585.5</v>
      </c>
      <c r="M1214">
        <v>46333</v>
      </c>
      <c r="N1214" s="1" t="s">
        <v>24</v>
      </c>
      <c r="O1214" s="1" t="s">
        <v>35</v>
      </c>
      <c r="P1214" s="1" t="s">
        <v>53</v>
      </c>
    </row>
    <row r="1215" spans="1:16" x14ac:dyDescent="0.25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>
        <v>24</v>
      </c>
      <c r="J1215" s="3">
        <v>6386.8</v>
      </c>
      <c r="K1215" s="2">
        <v>12.11</v>
      </c>
      <c r="L1215" s="3">
        <v>134720.6</v>
      </c>
      <c r="M1215">
        <v>46048</v>
      </c>
      <c r="N1215" s="1" t="s">
        <v>58</v>
      </c>
      <c r="O1215" s="1" t="s">
        <v>35</v>
      </c>
      <c r="P1215" s="1" t="s">
        <v>36</v>
      </c>
    </row>
    <row r="1216" spans="1:16" x14ac:dyDescent="0.25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>
        <v>50</v>
      </c>
      <c r="J1216" s="3">
        <v>3279.11</v>
      </c>
      <c r="K1216" s="2">
        <v>7.91</v>
      </c>
      <c r="L1216" s="3">
        <v>150986.62</v>
      </c>
      <c r="M1216">
        <v>46191</v>
      </c>
      <c r="N1216" s="1" t="s">
        <v>45</v>
      </c>
      <c r="O1216" s="1" t="s">
        <v>35</v>
      </c>
      <c r="P1216" s="1" t="s">
        <v>26</v>
      </c>
    </row>
    <row r="1217" spans="1:16" x14ac:dyDescent="0.25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>
        <v>18</v>
      </c>
      <c r="J1217" s="3">
        <v>9719.5400000000009</v>
      </c>
      <c r="K1217" s="2">
        <v>17.66</v>
      </c>
      <c r="L1217" s="3">
        <v>144055.25</v>
      </c>
      <c r="M1217">
        <v>46103</v>
      </c>
      <c r="N1217" s="1" t="s">
        <v>24</v>
      </c>
      <c r="O1217" s="1" t="s">
        <v>35</v>
      </c>
      <c r="P1217" s="1" t="s">
        <v>36</v>
      </c>
    </row>
    <row r="1218" spans="1:16" x14ac:dyDescent="0.25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>
        <v>10</v>
      </c>
      <c r="J1218" s="3">
        <v>41777.440000000002</v>
      </c>
      <c r="K1218" s="2">
        <v>18.78</v>
      </c>
      <c r="L1218" s="3">
        <v>339316.37</v>
      </c>
      <c r="M1218">
        <v>46275</v>
      </c>
      <c r="N1218" s="1" t="s">
        <v>113</v>
      </c>
      <c r="O1218" s="1" t="s">
        <v>35</v>
      </c>
      <c r="P1218" s="1" t="s">
        <v>36</v>
      </c>
    </row>
    <row r="1219" spans="1:16" x14ac:dyDescent="0.25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>
        <v>15</v>
      </c>
      <c r="J1219" s="3">
        <v>2737.09</v>
      </c>
      <c r="K1219" s="2">
        <v>17.72</v>
      </c>
      <c r="L1219" s="3">
        <v>33781.160000000003</v>
      </c>
      <c r="M1219">
        <v>46329</v>
      </c>
      <c r="N1219" s="1" t="s">
        <v>58</v>
      </c>
      <c r="O1219" s="1" t="s">
        <v>35</v>
      </c>
      <c r="P1219" s="1" t="s">
        <v>26</v>
      </c>
    </row>
    <row r="1220" spans="1:16" x14ac:dyDescent="0.25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>
        <v>28</v>
      </c>
      <c r="J1220" s="3">
        <v>49214.3</v>
      </c>
      <c r="K1220" s="2">
        <v>9.42</v>
      </c>
      <c r="L1220" s="3">
        <v>1248192.76</v>
      </c>
      <c r="M1220">
        <v>46128</v>
      </c>
      <c r="N1220" s="1" t="s">
        <v>58</v>
      </c>
      <c r="O1220" s="1" t="s">
        <v>35</v>
      </c>
      <c r="P1220" s="1" t="s">
        <v>26</v>
      </c>
    </row>
    <row r="1221" spans="1:16" x14ac:dyDescent="0.25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>
        <v>36</v>
      </c>
      <c r="J1221" s="3">
        <v>2438.6999999999998</v>
      </c>
      <c r="K1221" s="2">
        <v>17.07</v>
      </c>
      <c r="L1221" s="3">
        <v>72806.899999999994</v>
      </c>
      <c r="M1221">
        <v>46331</v>
      </c>
      <c r="N1221" s="1" t="s">
        <v>45</v>
      </c>
      <c r="O1221" s="1" t="s">
        <v>35</v>
      </c>
      <c r="P1221" s="1" t="s">
        <v>53</v>
      </c>
    </row>
    <row r="1222" spans="1:16" x14ac:dyDescent="0.25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>
        <v>28</v>
      </c>
      <c r="J1222" s="3">
        <v>42379.68</v>
      </c>
      <c r="K1222" s="2">
        <v>11.76</v>
      </c>
      <c r="L1222" s="3">
        <v>1047083.23</v>
      </c>
      <c r="M1222">
        <v>46097</v>
      </c>
      <c r="N1222" s="1" t="s">
        <v>113</v>
      </c>
      <c r="O1222" s="1" t="s">
        <v>35</v>
      </c>
      <c r="P1222" s="1" t="s">
        <v>53</v>
      </c>
    </row>
    <row r="1223" spans="1:16" x14ac:dyDescent="0.25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>
        <v>35</v>
      </c>
      <c r="J1223" s="3">
        <v>40894.61</v>
      </c>
      <c r="K1223" s="2">
        <v>8.06</v>
      </c>
      <c r="L1223" s="3">
        <v>1315947.6599999999</v>
      </c>
      <c r="M1223">
        <v>46319</v>
      </c>
      <c r="N1223" s="1" t="s">
        <v>58</v>
      </c>
      <c r="O1223" s="1" t="s">
        <v>35</v>
      </c>
      <c r="P1223" s="1" t="s">
        <v>53</v>
      </c>
    </row>
    <row r="1224" spans="1:16" x14ac:dyDescent="0.25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>
        <v>24</v>
      </c>
      <c r="J1224" s="3">
        <v>10517.37</v>
      </c>
      <c r="K1224" s="2">
        <v>15.12</v>
      </c>
      <c r="L1224" s="3">
        <v>214251.45</v>
      </c>
      <c r="M1224">
        <v>46234</v>
      </c>
      <c r="N1224" s="1" t="s">
        <v>113</v>
      </c>
      <c r="O1224" s="1" t="s">
        <v>35</v>
      </c>
      <c r="P1224" s="1" t="s">
        <v>53</v>
      </c>
    </row>
    <row r="1225" spans="1:16" x14ac:dyDescent="0.25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>
        <v>39</v>
      </c>
      <c r="J1225" s="3">
        <v>49929.760000000002</v>
      </c>
      <c r="K1225" s="2">
        <v>12.55</v>
      </c>
      <c r="L1225" s="3">
        <v>1702879.43</v>
      </c>
      <c r="M1225">
        <v>46115</v>
      </c>
      <c r="N1225" s="1" t="s">
        <v>24</v>
      </c>
      <c r="O1225" s="1" t="s">
        <v>35</v>
      </c>
      <c r="P1225" s="1" t="s">
        <v>53</v>
      </c>
    </row>
    <row r="1226" spans="1:16" x14ac:dyDescent="0.25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>
        <v>48</v>
      </c>
      <c r="J1226" s="3">
        <v>43414.55</v>
      </c>
      <c r="K1226" s="2">
        <v>12.18</v>
      </c>
      <c r="L1226" s="3">
        <v>1830079.57</v>
      </c>
      <c r="M1226">
        <v>46162</v>
      </c>
      <c r="N1226" s="1" t="s">
        <v>45</v>
      </c>
      <c r="O1226" s="1" t="s">
        <v>35</v>
      </c>
      <c r="P1226" s="1" t="s">
        <v>36</v>
      </c>
    </row>
    <row r="1227" spans="1:16" x14ac:dyDescent="0.25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>
        <v>20</v>
      </c>
      <c r="J1227" s="3">
        <v>8081.28</v>
      </c>
      <c r="K1227" s="2">
        <v>5.04</v>
      </c>
      <c r="L1227" s="3">
        <v>153479.67000000001</v>
      </c>
      <c r="M1227">
        <v>46334</v>
      </c>
      <c r="N1227" s="1" t="s">
        <v>113</v>
      </c>
      <c r="O1227" s="1" t="s">
        <v>25</v>
      </c>
      <c r="P1227" s="1" t="s">
        <v>36</v>
      </c>
    </row>
    <row r="1228" spans="1:16" x14ac:dyDescent="0.25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>
        <v>5</v>
      </c>
      <c r="J1228" s="3">
        <v>13841.17</v>
      </c>
      <c r="K1228" s="2">
        <v>2.66</v>
      </c>
      <c r="L1228" s="3">
        <v>67364.97</v>
      </c>
      <c r="M1228">
        <v>46116</v>
      </c>
      <c r="N1228" s="1" t="s">
        <v>68</v>
      </c>
      <c r="O1228" s="1" t="s">
        <v>35</v>
      </c>
      <c r="P1228" s="1" t="s">
        <v>53</v>
      </c>
    </row>
    <row r="1229" spans="1:16" x14ac:dyDescent="0.25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>
        <v>26</v>
      </c>
      <c r="J1229" s="3">
        <v>47005.62</v>
      </c>
      <c r="K1229" s="2">
        <v>17.440000000000001</v>
      </c>
      <c r="L1229" s="3">
        <v>1009003.84</v>
      </c>
      <c r="M1229">
        <v>46160</v>
      </c>
      <c r="N1229" s="1" t="s">
        <v>68</v>
      </c>
      <c r="O1229" s="1" t="s">
        <v>35</v>
      </c>
      <c r="P1229" s="1" t="s">
        <v>53</v>
      </c>
    </row>
    <row r="1230" spans="1:16" x14ac:dyDescent="0.25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>
        <v>14</v>
      </c>
      <c r="J1230" s="3">
        <v>15175.5</v>
      </c>
      <c r="K1230" s="2">
        <v>11.11</v>
      </c>
      <c r="L1230" s="3">
        <v>188853.03</v>
      </c>
      <c r="M1230">
        <v>46375</v>
      </c>
      <c r="N1230" s="1" t="s">
        <v>45</v>
      </c>
      <c r="O1230" s="1" t="s">
        <v>35</v>
      </c>
      <c r="P1230" s="1" t="s">
        <v>53</v>
      </c>
    </row>
    <row r="1231" spans="1:16" x14ac:dyDescent="0.25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>
        <v>22</v>
      </c>
      <c r="J1231" s="3">
        <v>19482.439999999999</v>
      </c>
      <c r="K1231" s="2">
        <v>12.33</v>
      </c>
      <c r="L1231" s="3">
        <v>375765.61</v>
      </c>
      <c r="M1231">
        <v>46243</v>
      </c>
      <c r="N1231" s="1" t="s">
        <v>45</v>
      </c>
      <c r="O1231" s="1" t="s">
        <v>25</v>
      </c>
      <c r="P1231" s="1" t="s">
        <v>26</v>
      </c>
    </row>
    <row r="1232" spans="1:16" x14ac:dyDescent="0.25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>
        <v>4</v>
      </c>
      <c r="J1232" s="3">
        <v>18568.78</v>
      </c>
      <c r="K1232" s="2">
        <v>6.97</v>
      </c>
      <c r="L1232" s="3">
        <v>69098.14</v>
      </c>
      <c r="M1232">
        <v>46358</v>
      </c>
      <c r="N1232" s="1" t="s">
        <v>24</v>
      </c>
      <c r="O1232" s="1" t="s">
        <v>35</v>
      </c>
      <c r="P1232" s="1" t="s">
        <v>26</v>
      </c>
    </row>
    <row r="1233" spans="1:16" x14ac:dyDescent="0.25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>
        <v>29</v>
      </c>
      <c r="J1233" s="3">
        <v>15831.11</v>
      </c>
      <c r="K1233" s="2">
        <v>3.72</v>
      </c>
      <c r="L1233" s="3">
        <v>442023.59</v>
      </c>
      <c r="M1233">
        <v>46153</v>
      </c>
      <c r="N1233" s="1" t="s">
        <v>68</v>
      </c>
      <c r="O1233" s="1" t="s">
        <v>35</v>
      </c>
      <c r="P1233" s="1" t="s">
        <v>26</v>
      </c>
    </row>
    <row r="1234" spans="1:16" x14ac:dyDescent="0.25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>
        <v>25</v>
      </c>
      <c r="J1234" s="3">
        <v>4045.02</v>
      </c>
      <c r="K1234" s="2">
        <v>13.31</v>
      </c>
      <c r="L1234" s="3">
        <v>87665.7</v>
      </c>
      <c r="M1234">
        <v>46060</v>
      </c>
      <c r="N1234" s="1" t="s">
        <v>45</v>
      </c>
      <c r="O1234" s="1" t="s">
        <v>35</v>
      </c>
      <c r="P1234" s="1" t="s">
        <v>53</v>
      </c>
    </row>
    <row r="1235" spans="1:16" x14ac:dyDescent="0.25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>
        <v>47</v>
      </c>
      <c r="J1235" s="3">
        <v>30648.15</v>
      </c>
      <c r="K1235" s="2">
        <v>19.57</v>
      </c>
      <c r="L1235" s="3">
        <v>1158564.43</v>
      </c>
      <c r="M1235">
        <v>46079</v>
      </c>
      <c r="N1235" s="1" t="s">
        <v>68</v>
      </c>
      <c r="O1235" s="1" t="s">
        <v>25</v>
      </c>
      <c r="P1235" s="1" t="s">
        <v>26</v>
      </c>
    </row>
    <row r="1236" spans="1:16" x14ac:dyDescent="0.25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>
        <v>43</v>
      </c>
      <c r="J1236" s="3">
        <v>2682.83</v>
      </c>
      <c r="K1236" s="2">
        <v>10.8</v>
      </c>
      <c r="L1236" s="3">
        <v>102902.63</v>
      </c>
      <c r="M1236">
        <v>46263</v>
      </c>
      <c r="N1236" s="1" t="s">
        <v>24</v>
      </c>
      <c r="O1236" s="1" t="s">
        <v>35</v>
      </c>
      <c r="P1236" s="1" t="s">
        <v>36</v>
      </c>
    </row>
    <row r="1237" spans="1:16" x14ac:dyDescent="0.25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>
        <v>11</v>
      </c>
      <c r="J1237" s="3">
        <v>12115.82</v>
      </c>
      <c r="K1237" s="2">
        <v>1.95</v>
      </c>
      <c r="L1237" s="3">
        <v>130675.18</v>
      </c>
      <c r="M1237">
        <v>46328</v>
      </c>
      <c r="N1237" s="1" t="s">
        <v>58</v>
      </c>
      <c r="O1237" s="1" t="s">
        <v>35</v>
      </c>
      <c r="P1237" s="1" t="s">
        <v>26</v>
      </c>
    </row>
    <row r="1238" spans="1:16" x14ac:dyDescent="0.25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>
        <v>27</v>
      </c>
      <c r="J1238" s="3">
        <v>4649.07</v>
      </c>
      <c r="K1238" s="2">
        <v>5.6</v>
      </c>
      <c r="L1238" s="3">
        <v>118495.5</v>
      </c>
      <c r="M1238">
        <v>46165</v>
      </c>
      <c r="N1238" s="1" t="s">
        <v>113</v>
      </c>
      <c r="O1238" s="1" t="s">
        <v>35</v>
      </c>
      <c r="P1238" s="1" t="s">
        <v>53</v>
      </c>
    </row>
    <row r="1239" spans="1:16" x14ac:dyDescent="0.25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>
        <v>1</v>
      </c>
      <c r="J1239" s="3">
        <v>4349.53</v>
      </c>
      <c r="K1239" s="2">
        <v>6.94</v>
      </c>
      <c r="L1239" s="3">
        <v>4047.67</v>
      </c>
      <c r="M1239">
        <v>46062</v>
      </c>
      <c r="N1239" s="1" t="s">
        <v>24</v>
      </c>
      <c r="O1239" s="1" t="s">
        <v>35</v>
      </c>
      <c r="P1239" s="1" t="s">
        <v>26</v>
      </c>
    </row>
    <row r="1240" spans="1:16" x14ac:dyDescent="0.25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>
        <v>25</v>
      </c>
      <c r="J1240" s="3">
        <v>4061.61</v>
      </c>
      <c r="K1240" s="2">
        <v>14.95</v>
      </c>
      <c r="L1240" s="3">
        <v>86359.98</v>
      </c>
      <c r="M1240">
        <v>46023</v>
      </c>
      <c r="N1240" s="1" t="s">
        <v>45</v>
      </c>
      <c r="O1240" s="1" t="s">
        <v>59</v>
      </c>
      <c r="P1240" s="1" t="s">
        <v>26</v>
      </c>
    </row>
    <row r="1241" spans="1:16" x14ac:dyDescent="0.25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>
        <v>35</v>
      </c>
      <c r="J1241" s="3">
        <v>12576.69</v>
      </c>
      <c r="K1241" s="2">
        <v>13.56</v>
      </c>
      <c r="L1241" s="3">
        <v>380495.18</v>
      </c>
      <c r="M1241">
        <v>46032</v>
      </c>
      <c r="N1241" s="1" t="s">
        <v>68</v>
      </c>
      <c r="O1241" s="1" t="s">
        <v>35</v>
      </c>
      <c r="P1241" s="1" t="s">
        <v>36</v>
      </c>
    </row>
    <row r="1242" spans="1:16" x14ac:dyDescent="0.25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>
        <v>8</v>
      </c>
      <c r="J1242" s="3">
        <v>16123.02</v>
      </c>
      <c r="K1242" s="2">
        <v>12.93</v>
      </c>
      <c r="L1242" s="3">
        <v>112306.51</v>
      </c>
      <c r="M1242">
        <v>46346</v>
      </c>
      <c r="N1242" s="1" t="s">
        <v>58</v>
      </c>
      <c r="O1242" s="1" t="s">
        <v>35</v>
      </c>
      <c r="P1242" s="1" t="s">
        <v>36</v>
      </c>
    </row>
    <row r="1243" spans="1:16" x14ac:dyDescent="0.25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>
        <v>29</v>
      </c>
      <c r="J1243" s="3">
        <v>23032.84</v>
      </c>
      <c r="K1243" s="2">
        <v>4.99</v>
      </c>
      <c r="L1243" s="3">
        <v>634621.54</v>
      </c>
      <c r="M1243">
        <v>46293</v>
      </c>
      <c r="N1243" s="1" t="s">
        <v>45</v>
      </c>
      <c r="O1243" s="1" t="s">
        <v>35</v>
      </c>
      <c r="P1243" s="1" t="s">
        <v>26</v>
      </c>
    </row>
    <row r="1244" spans="1:16" x14ac:dyDescent="0.25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>
        <v>29</v>
      </c>
      <c r="J1244" s="3">
        <v>36138.870000000003</v>
      </c>
      <c r="K1244" s="2">
        <v>5.55</v>
      </c>
      <c r="L1244" s="3">
        <v>989861.72</v>
      </c>
      <c r="M1244">
        <v>46129</v>
      </c>
      <c r="N1244" s="1" t="s">
        <v>113</v>
      </c>
      <c r="O1244" s="1" t="s">
        <v>59</v>
      </c>
      <c r="P1244" s="1" t="s">
        <v>26</v>
      </c>
    </row>
    <row r="1245" spans="1:16" x14ac:dyDescent="0.25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>
        <v>28</v>
      </c>
      <c r="J1245" s="3">
        <v>31353.39</v>
      </c>
      <c r="K1245" s="2">
        <v>16.13</v>
      </c>
      <c r="L1245" s="3">
        <v>736290.47</v>
      </c>
      <c r="M1245">
        <v>46376</v>
      </c>
      <c r="N1245" s="1" t="s">
        <v>113</v>
      </c>
      <c r="O1245" s="1" t="s">
        <v>35</v>
      </c>
      <c r="P1245" s="1" t="s">
        <v>53</v>
      </c>
    </row>
    <row r="1246" spans="1:16" x14ac:dyDescent="0.25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>
        <v>48</v>
      </c>
      <c r="J1246" s="3">
        <v>32697.32</v>
      </c>
      <c r="K1246" s="2">
        <v>15.02</v>
      </c>
      <c r="L1246" s="3">
        <v>1333736.76</v>
      </c>
      <c r="M1246">
        <v>46101</v>
      </c>
      <c r="N1246" s="1" t="s">
        <v>24</v>
      </c>
      <c r="O1246" s="1" t="s">
        <v>25</v>
      </c>
      <c r="P1246" s="1" t="s">
        <v>26</v>
      </c>
    </row>
    <row r="1247" spans="1:16" x14ac:dyDescent="0.25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>
        <v>22</v>
      </c>
      <c r="J1247" s="3">
        <v>25091.46</v>
      </c>
      <c r="K1247" s="2">
        <v>9.35</v>
      </c>
      <c r="L1247" s="3">
        <v>500398.99</v>
      </c>
      <c r="M1247">
        <v>46229</v>
      </c>
      <c r="N1247" s="1" t="s">
        <v>58</v>
      </c>
      <c r="O1247" s="1" t="s">
        <v>35</v>
      </c>
      <c r="P1247" s="1" t="s">
        <v>53</v>
      </c>
    </row>
    <row r="1248" spans="1:16" x14ac:dyDescent="0.25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>
        <v>5</v>
      </c>
      <c r="J1248" s="3">
        <v>43840.32</v>
      </c>
      <c r="K1248" s="2">
        <v>15.9</v>
      </c>
      <c r="L1248" s="3">
        <v>184348.55</v>
      </c>
      <c r="M1248">
        <v>46327</v>
      </c>
      <c r="N1248" s="1" t="s">
        <v>58</v>
      </c>
      <c r="O1248" s="1" t="s">
        <v>35</v>
      </c>
      <c r="P1248" s="1" t="s">
        <v>36</v>
      </c>
    </row>
    <row r="1249" spans="1:16" x14ac:dyDescent="0.25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>
        <v>33</v>
      </c>
      <c r="J1249" s="3">
        <v>31478.46</v>
      </c>
      <c r="K1249" s="2">
        <v>4.13</v>
      </c>
      <c r="L1249" s="3">
        <v>995887.19</v>
      </c>
      <c r="M1249">
        <v>46202</v>
      </c>
      <c r="N1249" s="1" t="s">
        <v>58</v>
      </c>
      <c r="O1249" s="1" t="s">
        <v>35</v>
      </c>
      <c r="P1249" s="1" t="s">
        <v>36</v>
      </c>
    </row>
    <row r="1250" spans="1:16" x14ac:dyDescent="0.25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>
        <v>12</v>
      </c>
      <c r="J1250" s="3">
        <v>7983.76</v>
      </c>
      <c r="K1250" s="2">
        <v>12.65</v>
      </c>
      <c r="L1250" s="3">
        <v>83685.77</v>
      </c>
      <c r="M1250">
        <v>46155</v>
      </c>
      <c r="N1250" s="1" t="s">
        <v>45</v>
      </c>
      <c r="O1250" s="1" t="s">
        <v>35</v>
      </c>
      <c r="P1250" s="1" t="s">
        <v>36</v>
      </c>
    </row>
    <row r="1251" spans="1:16" x14ac:dyDescent="0.25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>
        <v>7</v>
      </c>
      <c r="J1251" s="3">
        <v>4918.46</v>
      </c>
      <c r="K1251" s="2">
        <v>7.32</v>
      </c>
      <c r="L1251" s="3">
        <v>31909</v>
      </c>
      <c r="M1251">
        <v>46152</v>
      </c>
      <c r="N1251" s="1" t="s">
        <v>24</v>
      </c>
      <c r="O1251" s="1" t="s">
        <v>25</v>
      </c>
      <c r="P1251" s="1" t="s">
        <v>53</v>
      </c>
    </row>
    <row r="1252" spans="1:16" x14ac:dyDescent="0.25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>
        <v>10</v>
      </c>
      <c r="J1252" s="3">
        <v>35271.99</v>
      </c>
      <c r="K1252" s="2">
        <v>6.41</v>
      </c>
      <c r="L1252" s="3">
        <v>330110.55</v>
      </c>
      <c r="M1252">
        <v>46116</v>
      </c>
      <c r="N1252" s="1" t="s">
        <v>68</v>
      </c>
      <c r="O1252" s="1" t="s">
        <v>35</v>
      </c>
      <c r="P1252" s="1" t="s">
        <v>36</v>
      </c>
    </row>
    <row r="1253" spans="1:16" x14ac:dyDescent="0.25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>
        <v>12</v>
      </c>
      <c r="J1253" s="3">
        <v>27132.53</v>
      </c>
      <c r="K1253" s="2">
        <v>13.96</v>
      </c>
      <c r="L1253" s="3">
        <v>280137.95</v>
      </c>
      <c r="M1253">
        <v>46244</v>
      </c>
      <c r="N1253" s="1" t="s">
        <v>24</v>
      </c>
      <c r="O1253" s="1" t="s">
        <v>35</v>
      </c>
      <c r="P1253" s="1" t="s">
        <v>26</v>
      </c>
    </row>
    <row r="1254" spans="1:16" x14ac:dyDescent="0.25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>
        <v>11</v>
      </c>
      <c r="J1254" s="3">
        <v>44209.26</v>
      </c>
      <c r="K1254" s="2">
        <v>0.27</v>
      </c>
      <c r="L1254" s="3">
        <v>484988.84</v>
      </c>
      <c r="M1254">
        <v>46300</v>
      </c>
      <c r="N1254" s="1" t="s">
        <v>45</v>
      </c>
      <c r="O1254" s="1" t="s">
        <v>35</v>
      </c>
      <c r="P1254" s="1" t="s">
        <v>36</v>
      </c>
    </row>
    <row r="1255" spans="1:16" x14ac:dyDescent="0.25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>
        <v>20</v>
      </c>
      <c r="J1255" s="3">
        <v>19840.86</v>
      </c>
      <c r="K1255" s="2">
        <v>4.0199999999999996</v>
      </c>
      <c r="L1255" s="3">
        <v>380865.15</v>
      </c>
      <c r="M1255">
        <v>46173</v>
      </c>
      <c r="N1255" s="1" t="s">
        <v>68</v>
      </c>
      <c r="O1255" s="1" t="s">
        <v>35</v>
      </c>
      <c r="P1255" s="1" t="s">
        <v>26</v>
      </c>
    </row>
    <row r="1256" spans="1:16" x14ac:dyDescent="0.25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>
        <v>39</v>
      </c>
      <c r="J1256" s="3">
        <v>17638.02</v>
      </c>
      <c r="K1256" s="2">
        <v>5.45</v>
      </c>
      <c r="L1256" s="3">
        <v>650393.17000000004</v>
      </c>
      <c r="M1256">
        <v>46290</v>
      </c>
      <c r="N1256" s="1" t="s">
        <v>113</v>
      </c>
      <c r="O1256" s="1" t="s">
        <v>59</v>
      </c>
      <c r="P1256" s="1" t="s">
        <v>26</v>
      </c>
    </row>
    <row r="1257" spans="1:16" x14ac:dyDescent="0.25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>
        <v>15</v>
      </c>
      <c r="J1257" s="3">
        <v>38856.269999999997</v>
      </c>
      <c r="K1257" s="2">
        <v>8.31</v>
      </c>
      <c r="L1257" s="3">
        <v>534409.71</v>
      </c>
      <c r="M1257">
        <v>46209</v>
      </c>
      <c r="N1257" s="1" t="s">
        <v>113</v>
      </c>
      <c r="O1257" s="1" t="s">
        <v>35</v>
      </c>
      <c r="P1257" s="1" t="s">
        <v>26</v>
      </c>
    </row>
    <row r="1258" spans="1:16" x14ac:dyDescent="0.25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>
        <v>24</v>
      </c>
      <c r="J1258" s="3">
        <v>25299.360000000001</v>
      </c>
      <c r="K1258" s="2">
        <v>4.78</v>
      </c>
      <c r="L1258" s="3">
        <v>578161.21</v>
      </c>
      <c r="M1258">
        <v>46206</v>
      </c>
      <c r="N1258" s="1" t="s">
        <v>45</v>
      </c>
      <c r="O1258" s="1" t="s">
        <v>35</v>
      </c>
      <c r="P1258" s="1" t="s">
        <v>26</v>
      </c>
    </row>
    <row r="1259" spans="1:16" x14ac:dyDescent="0.25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>
        <v>6</v>
      </c>
      <c r="J1259" s="3">
        <v>8113.7</v>
      </c>
      <c r="K1259" s="2">
        <v>19.78</v>
      </c>
      <c r="L1259" s="3">
        <v>39052.86</v>
      </c>
      <c r="M1259">
        <v>46175</v>
      </c>
      <c r="N1259" s="1" t="s">
        <v>113</v>
      </c>
      <c r="O1259" s="1" t="s">
        <v>35</v>
      </c>
      <c r="P1259" s="1" t="s">
        <v>53</v>
      </c>
    </row>
    <row r="1260" spans="1:16" x14ac:dyDescent="0.25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>
        <v>23</v>
      </c>
      <c r="J1260" s="3">
        <v>41084.6</v>
      </c>
      <c r="K1260" s="2">
        <v>11.92</v>
      </c>
      <c r="L1260" s="3">
        <v>832308.26</v>
      </c>
      <c r="M1260">
        <v>46264</v>
      </c>
      <c r="N1260" s="1" t="s">
        <v>45</v>
      </c>
      <c r="O1260" s="1" t="s">
        <v>35</v>
      </c>
      <c r="P1260" s="1" t="s">
        <v>53</v>
      </c>
    </row>
    <row r="1261" spans="1:16" x14ac:dyDescent="0.25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>
        <v>17</v>
      </c>
      <c r="J1261" s="3">
        <v>6779.3</v>
      </c>
      <c r="K1261" s="2">
        <v>17.02</v>
      </c>
      <c r="L1261" s="3">
        <v>95632.87</v>
      </c>
      <c r="M1261">
        <v>46251</v>
      </c>
      <c r="N1261" s="1" t="s">
        <v>58</v>
      </c>
      <c r="O1261" s="1" t="s">
        <v>35</v>
      </c>
      <c r="P1261" s="1" t="s">
        <v>36</v>
      </c>
    </row>
    <row r="1262" spans="1:16" x14ac:dyDescent="0.25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>
        <v>25</v>
      </c>
      <c r="J1262" s="3">
        <v>22284.12</v>
      </c>
      <c r="K1262" s="2">
        <v>14.67</v>
      </c>
      <c r="L1262" s="3">
        <v>475375.99</v>
      </c>
      <c r="M1262">
        <v>46232</v>
      </c>
      <c r="N1262" s="1" t="s">
        <v>113</v>
      </c>
      <c r="O1262" s="1" t="s">
        <v>35</v>
      </c>
      <c r="P1262" s="1" t="s">
        <v>53</v>
      </c>
    </row>
    <row r="1263" spans="1:16" x14ac:dyDescent="0.25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>
        <v>36</v>
      </c>
      <c r="J1263" s="3">
        <v>16097.9</v>
      </c>
      <c r="K1263" s="2">
        <v>3.39</v>
      </c>
      <c r="L1263" s="3">
        <v>559878.52</v>
      </c>
      <c r="M1263">
        <v>46330</v>
      </c>
      <c r="N1263" s="1" t="s">
        <v>68</v>
      </c>
      <c r="O1263" s="1" t="s">
        <v>35</v>
      </c>
      <c r="P1263" s="1" t="s">
        <v>36</v>
      </c>
    </row>
    <row r="1264" spans="1:16" x14ac:dyDescent="0.25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>
        <v>13</v>
      </c>
      <c r="J1264" s="3">
        <v>41489.4</v>
      </c>
      <c r="K1264" s="2">
        <v>14.49</v>
      </c>
      <c r="L1264" s="3">
        <v>461208.62</v>
      </c>
      <c r="M1264">
        <v>46326</v>
      </c>
      <c r="N1264" s="1" t="s">
        <v>45</v>
      </c>
      <c r="O1264" s="1" t="s">
        <v>35</v>
      </c>
      <c r="P1264" s="1" t="s">
        <v>36</v>
      </c>
    </row>
    <row r="1265" spans="1:16" x14ac:dyDescent="0.25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>
        <v>8</v>
      </c>
      <c r="J1265" s="3">
        <v>5198.03</v>
      </c>
      <c r="K1265" s="2">
        <v>7.24</v>
      </c>
      <c r="L1265" s="3">
        <v>38573.54</v>
      </c>
      <c r="M1265">
        <v>46071</v>
      </c>
      <c r="N1265" s="1" t="s">
        <v>68</v>
      </c>
      <c r="O1265" s="1" t="s">
        <v>35</v>
      </c>
      <c r="P1265" s="1" t="s">
        <v>36</v>
      </c>
    </row>
    <row r="1266" spans="1:16" x14ac:dyDescent="0.25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>
        <v>31</v>
      </c>
      <c r="J1266" s="3">
        <v>4972.84</v>
      </c>
      <c r="K1266" s="2">
        <v>18.34</v>
      </c>
      <c r="L1266" s="3">
        <v>125885.46</v>
      </c>
      <c r="M1266">
        <v>46345</v>
      </c>
      <c r="N1266" s="1" t="s">
        <v>68</v>
      </c>
      <c r="O1266" s="1" t="s">
        <v>35</v>
      </c>
      <c r="P1266" s="1" t="s">
        <v>26</v>
      </c>
    </row>
    <row r="1267" spans="1:16" x14ac:dyDescent="0.25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>
        <v>32</v>
      </c>
      <c r="J1267" s="3">
        <v>32978.39</v>
      </c>
      <c r="K1267" s="2">
        <v>13.94</v>
      </c>
      <c r="L1267" s="3">
        <v>908198.48</v>
      </c>
      <c r="M1267">
        <v>46256</v>
      </c>
      <c r="N1267" s="1" t="s">
        <v>24</v>
      </c>
      <c r="O1267" s="1" t="s">
        <v>35</v>
      </c>
      <c r="P1267" s="1" t="s">
        <v>26</v>
      </c>
    </row>
    <row r="1268" spans="1:16" x14ac:dyDescent="0.25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>
        <v>29</v>
      </c>
      <c r="J1268" s="3">
        <v>3159.61</v>
      </c>
      <c r="K1268" s="2">
        <v>3.58</v>
      </c>
      <c r="L1268" s="3">
        <v>88348.38</v>
      </c>
      <c r="M1268">
        <v>46060</v>
      </c>
      <c r="N1268" s="1" t="s">
        <v>58</v>
      </c>
      <c r="O1268" s="1" t="s">
        <v>35</v>
      </c>
      <c r="P1268" s="1" t="s">
        <v>26</v>
      </c>
    </row>
    <row r="1269" spans="1:16" x14ac:dyDescent="0.25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>
        <v>14</v>
      </c>
      <c r="J1269" s="3">
        <v>6112.78</v>
      </c>
      <c r="K1269" s="2">
        <v>7.93</v>
      </c>
      <c r="L1269" s="3">
        <v>78792.509999999995</v>
      </c>
      <c r="M1269">
        <v>46293</v>
      </c>
      <c r="N1269" s="1" t="s">
        <v>113</v>
      </c>
      <c r="O1269" s="1" t="s">
        <v>35</v>
      </c>
      <c r="P1269" s="1" t="s">
        <v>53</v>
      </c>
    </row>
    <row r="1270" spans="1:16" x14ac:dyDescent="0.25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>
        <v>27</v>
      </c>
      <c r="J1270" s="3">
        <v>45416.32</v>
      </c>
      <c r="K1270" s="2">
        <v>7.72</v>
      </c>
      <c r="L1270" s="3">
        <v>1131574.8600000001</v>
      </c>
      <c r="M1270">
        <v>46306</v>
      </c>
      <c r="N1270" s="1" t="s">
        <v>58</v>
      </c>
      <c r="O1270" s="1" t="s">
        <v>35</v>
      </c>
      <c r="P1270" s="1" t="s">
        <v>53</v>
      </c>
    </row>
    <row r="1271" spans="1:16" x14ac:dyDescent="0.25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>
        <v>28</v>
      </c>
      <c r="J1271" s="3">
        <v>12402.39</v>
      </c>
      <c r="K1271" s="2">
        <v>14.34</v>
      </c>
      <c r="L1271" s="3">
        <v>297468.84000000003</v>
      </c>
      <c r="M1271">
        <v>46245</v>
      </c>
      <c r="N1271" s="1" t="s">
        <v>45</v>
      </c>
      <c r="O1271" s="1" t="s">
        <v>35</v>
      </c>
      <c r="P1271" s="1" t="s">
        <v>26</v>
      </c>
    </row>
    <row r="1272" spans="1:16" x14ac:dyDescent="0.25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>
        <v>40</v>
      </c>
      <c r="J1272" s="3">
        <v>11012.92</v>
      </c>
      <c r="K1272" s="2">
        <v>14.5</v>
      </c>
      <c r="L1272" s="3">
        <v>376641.86</v>
      </c>
      <c r="M1272">
        <v>46224</v>
      </c>
      <c r="N1272" s="1" t="s">
        <v>58</v>
      </c>
      <c r="O1272" s="1" t="s">
        <v>35</v>
      </c>
      <c r="P1272" s="1" t="s">
        <v>36</v>
      </c>
    </row>
    <row r="1273" spans="1:16" x14ac:dyDescent="0.25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>
        <v>17</v>
      </c>
      <c r="J1273" s="3">
        <v>36543.980000000003</v>
      </c>
      <c r="K1273" s="2">
        <v>10.58</v>
      </c>
      <c r="L1273" s="3">
        <v>555519.66</v>
      </c>
      <c r="M1273">
        <v>46362</v>
      </c>
      <c r="N1273" s="1" t="s">
        <v>45</v>
      </c>
      <c r="O1273" s="1" t="s">
        <v>35</v>
      </c>
      <c r="P1273" s="1" t="s">
        <v>36</v>
      </c>
    </row>
    <row r="1274" spans="1:16" x14ac:dyDescent="0.25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>
        <v>10</v>
      </c>
      <c r="J1274" s="3">
        <v>11735.46</v>
      </c>
      <c r="K1274" s="2">
        <v>13.94</v>
      </c>
      <c r="L1274" s="3">
        <v>100995.37</v>
      </c>
      <c r="M1274">
        <v>46184</v>
      </c>
      <c r="N1274" s="1" t="s">
        <v>68</v>
      </c>
      <c r="O1274" s="1" t="s">
        <v>35</v>
      </c>
      <c r="P1274" s="1" t="s">
        <v>36</v>
      </c>
    </row>
    <row r="1275" spans="1:16" x14ac:dyDescent="0.25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>
        <v>25</v>
      </c>
      <c r="J1275" s="3">
        <v>19793.98</v>
      </c>
      <c r="K1275" s="2">
        <v>16.899999999999999</v>
      </c>
      <c r="L1275" s="3">
        <v>411219.93</v>
      </c>
      <c r="M1275">
        <v>46177</v>
      </c>
      <c r="N1275" s="1" t="s">
        <v>68</v>
      </c>
      <c r="O1275" s="1" t="s">
        <v>35</v>
      </c>
      <c r="P1275" s="1" t="s">
        <v>26</v>
      </c>
    </row>
    <row r="1276" spans="1:16" x14ac:dyDescent="0.25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>
        <v>20</v>
      </c>
      <c r="J1276" s="3">
        <v>24338.03</v>
      </c>
      <c r="K1276" s="2">
        <v>0.97</v>
      </c>
      <c r="L1276" s="3">
        <v>482039.02</v>
      </c>
      <c r="M1276">
        <v>46283</v>
      </c>
      <c r="N1276" s="1" t="s">
        <v>24</v>
      </c>
      <c r="O1276" s="1" t="s">
        <v>35</v>
      </c>
      <c r="P1276" s="1" t="s">
        <v>26</v>
      </c>
    </row>
    <row r="1277" spans="1:16" x14ac:dyDescent="0.25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>
        <v>16</v>
      </c>
      <c r="J1277" s="3">
        <v>4376.8100000000004</v>
      </c>
      <c r="K1277" s="2">
        <v>14.17</v>
      </c>
      <c r="L1277" s="3">
        <v>60105.86</v>
      </c>
      <c r="M1277">
        <v>46111</v>
      </c>
      <c r="N1277" s="1" t="s">
        <v>58</v>
      </c>
      <c r="O1277" s="1" t="s">
        <v>35</v>
      </c>
      <c r="P1277" s="1" t="s">
        <v>26</v>
      </c>
    </row>
    <row r="1278" spans="1:16" x14ac:dyDescent="0.25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>
        <v>16</v>
      </c>
      <c r="J1278" s="3">
        <v>48052.77</v>
      </c>
      <c r="K1278" s="2">
        <v>9.33</v>
      </c>
      <c r="L1278" s="3">
        <v>697111.14</v>
      </c>
      <c r="M1278">
        <v>46381</v>
      </c>
      <c r="N1278" s="1" t="s">
        <v>68</v>
      </c>
      <c r="O1278" s="1" t="s">
        <v>35</v>
      </c>
      <c r="P1278" s="1" t="s">
        <v>26</v>
      </c>
    </row>
    <row r="1279" spans="1:16" x14ac:dyDescent="0.25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>
        <v>36</v>
      </c>
      <c r="J1279" s="3">
        <v>17425.27</v>
      </c>
      <c r="K1279" s="2">
        <v>8.8800000000000008</v>
      </c>
      <c r="L1279" s="3">
        <v>571604.62</v>
      </c>
      <c r="M1279">
        <v>46257</v>
      </c>
      <c r="N1279" s="1" t="s">
        <v>113</v>
      </c>
      <c r="O1279" s="1" t="s">
        <v>35</v>
      </c>
      <c r="P1279" s="1" t="s">
        <v>53</v>
      </c>
    </row>
    <row r="1280" spans="1:16" x14ac:dyDescent="0.25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>
        <v>36</v>
      </c>
      <c r="J1280" s="3">
        <v>25940.29</v>
      </c>
      <c r="K1280" s="2">
        <v>15.45</v>
      </c>
      <c r="L1280" s="3">
        <v>789570.55</v>
      </c>
      <c r="M1280">
        <v>46031</v>
      </c>
      <c r="N1280" s="1" t="s">
        <v>45</v>
      </c>
      <c r="O1280" s="1" t="s">
        <v>35</v>
      </c>
      <c r="P1280" s="1" t="s">
        <v>26</v>
      </c>
    </row>
    <row r="1281" spans="1:16" x14ac:dyDescent="0.25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>
        <v>35</v>
      </c>
      <c r="J1281" s="3">
        <v>36959.43</v>
      </c>
      <c r="K1281" s="2">
        <v>4.6500000000000004</v>
      </c>
      <c r="L1281" s="3">
        <v>1233428.58</v>
      </c>
      <c r="M1281">
        <v>46266</v>
      </c>
      <c r="N1281" s="1" t="s">
        <v>68</v>
      </c>
      <c r="O1281" s="1" t="s">
        <v>35</v>
      </c>
      <c r="P1281" s="1" t="s">
        <v>36</v>
      </c>
    </row>
    <row r="1282" spans="1:16" x14ac:dyDescent="0.25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>
        <v>9</v>
      </c>
      <c r="J1282" s="3">
        <v>38764.230000000003</v>
      </c>
      <c r="K1282" s="2">
        <v>8.5500000000000007</v>
      </c>
      <c r="L1282" s="3">
        <v>319049</v>
      </c>
      <c r="M1282">
        <v>46262</v>
      </c>
      <c r="N1282" s="1" t="s">
        <v>24</v>
      </c>
      <c r="O1282" s="1" t="s">
        <v>59</v>
      </c>
      <c r="P1282" s="1" t="s">
        <v>36</v>
      </c>
    </row>
    <row r="1283" spans="1:16" x14ac:dyDescent="0.25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>
        <v>16</v>
      </c>
      <c r="J1283" s="3">
        <v>28685.69</v>
      </c>
      <c r="K1283" s="2">
        <v>2.87</v>
      </c>
      <c r="L1283" s="3">
        <v>445798.57</v>
      </c>
      <c r="M1283">
        <v>46078</v>
      </c>
      <c r="N1283" s="1" t="s">
        <v>68</v>
      </c>
      <c r="O1283" s="1" t="s">
        <v>35</v>
      </c>
      <c r="P1283" s="1" t="s">
        <v>26</v>
      </c>
    </row>
    <row r="1284" spans="1:16" x14ac:dyDescent="0.25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>
        <v>2</v>
      </c>
      <c r="J1284" s="3">
        <v>33525.760000000002</v>
      </c>
      <c r="K1284" s="2">
        <v>5.71</v>
      </c>
      <c r="L1284" s="3">
        <v>63222.879999999997</v>
      </c>
      <c r="M1284">
        <v>46048</v>
      </c>
      <c r="N1284" s="1" t="s">
        <v>24</v>
      </c>
      <c r="O1284" s="1" t="s">
        <v>35</v>
      </c>
      <c r="P1284" s="1" t="s">
        <v>26</v>
      </c>
    </row>
    <row r="1285" spans="1:16" x14ac:dyDescent="0.25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>
        <v>40</v>
      </c>
      <c r="J1285" s="3">
        <v>28699.599999999999</v>
      </c>
      <c r="K1285" s="2">
        <v>12.95</v>
      </c>
      <c r="L1285" s="3">
        <v>999320.07</v>
      </c>
      <c r="M1285">
        <v>46291</v>
      </c>
      <c r="N1285" s="1" t="s">
        <v>113</v>
      </c>
      <c r="O1285" s="1" t="s">
        <v>35</v>
      </c>
      <c r="P1285" s="1" t="s">
        <v>53</v>
      </c>
    </row>
    <row r="1286" spans="1:16" x14ac:dyDescent="0.25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>
        <v>13</v>
      </c>
      <c r="J1286" s="3">
        <v>45185.58</v>
      </c>
      <c r="K1286" s="2">
        <v>15.74</v>
      </c>
      <c r="L1286" s="3">
        <v>494953.81</v>
      </c>
      <c r="M1286">
        <v>46082</v>
      </c>
      <c r="N1286" s="1" t="s">
        <v>68</v>
      </c>
      <c r="O1286" s="1" t="s">
        <v>35</v>
      </c>
      <c r="P1286" s="1" t="s">
        <v>53</v>
      </c>
    </row>
    <row r="1287" spans="1:16" x14ac:dyDescent="0.25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>
        <v>2</v>
      </c>
      <c r="J1287" s="3">
        <v>16057.52</v>
      </c>
      <c r="K1287" s="2">
        <v>3.52</v>
      </c>
      <c r="L1287" s="3">
        <v>30984.59</v>
      </c>
      <c r="M1287">
        <v>46372</v>
      </c>
      <c r="N1287" s="1" t="s">
        <v>24</v>
      </c>
      <c r="O1287" s="1" t="s">
        <v>35</v>
      </c>
      <c r="P1287" s="1" t="s">
        <v>53</v>
      </c>
    </row>
    <row r="1288" spans="1:16" x14ac:dyDescent="0.25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>
        <v>8</v>
      </c>
      <c r="J1288" s="3">
        <v>34541.06</v>
      </c>
      <c r="K1288" s="2">
        <v>9.7899999999999991</v>
      </c>
      <c r="L1288" s="3">
        <v>249275.92</v>
      </c>
      <c r="M1288">
        <v>46153</v>
      </c>
      <c r="N1288" s="1" t="s">
        <v>45</v>
      </c>
      <c r="O1288" s="1" t="s">
        <v>35</v>
      </c>
      <c r="P1288" s="1" t="s">
        <v>26</v>
      </c>
    </row>
    <row r="1289" spans="1:16" x14ac:dyDescent="0.25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>
        <v>32</v>
      </c>
      <c r="J1289" s="3">
        <v>47580.49</v>
      </c>
      <c r="K1289" s="2">
        <v>15.2</v>
      </c>
      <c r="L1289" s="3">
        <v>1291144.18</v>
      </c>
      <c r="M1289">
        <v>46265</v>
      </c>
      <c r="N1289" s="1" t="s">
        <v>45</v>
      </c>
      <c r="O1289" s="1" t="s">
        <v>35</v>
      </c>
      <c r="P1289" s="1" t="s">
        <v>53</v>
      </c>
    </row>
    <row r="1290" spans="1:16" x14ac:dyDescent="0.25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>
        <v>18</v>
      </c>
      <c r="J1290" s="3">
        <v>36042.26</v>
      </c>
      <c r="K1290" s="2">
        <v>17.48</v>
      </c>
      <c r="L1290" s="3">
        <v>535357.31000000006</v>
      </c>
      <c r="M1290">
        <v>46360</v>
      </c>
      <c r="N1290" s="1" t="s">
        <v>45</v>
      </c>
      <c r="O1290" s="1" t="s">
        <v>35</v>
      </c>
      <c r="P1290" s="1" t="s">
        <v>26</v>
      </c>
    </row>
    <row r="1291" spans="1:16" x14ac:dyDescent="0.25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>
        <v>1</v>
      </c>
      <c r="J1291" s="3">
        <v>25583.42</v>
      </c>
      <c r="K1291" s="2">
        <v>1.72</v>
      </c>
      <c r="L1291" s="3">
        <v>25143.39</v>
      </c>
      <c r="M1291">
        <v>46280</v>
      </c>
      <c r="N1291" s="1" t="s">
        <v>113</v>
      </c>
      <c r="O1291" s="1" t="s">
        <v>25</v>
      </c>
      <c r="P1291" s="1" t="s">
        <v>36</v>
      </c>
    </row>
    <row r="1292" spans="1:16" x14ac:dyDescent="0.25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>
        <v>22</v>
      </c>
      <c r="J1292" s="3">
        <v>41639.050000000003</v>
      </c>
      <c r="K1292" s="2">
        <v>10.19</v>
      </c>
      <c r="L1292" s="3">
        <v>822712.68</v>
      </c>
      <c r="M1292">
        <v>46284</v>
      </c>
      <c r="N1292" s="1" t="s">
        <v>45</v>
      </c>
      <c r="O1292" s="1" t="s">
        <v>35</v>
      </c>
      <c r="P1292" s="1" t="s">
        <v>26</v>
      </c>
    </row>
    <row r="1293" spans="1:16" x14ac:dyDescent="0.25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>
        <v>40</v>
      </c>
      <c r="J1293" s="3">
        <v>19010.48</v>
      </c>
      <c r="K1293" s="2">
        <v>18.84</v>
      </c>
      <c r="L1293" s="3">
        <v>617156.22</v>
      </c>
      <c r="M1293">
        <v>46189</v>
      </c>
      <c r="N1293" s="1" t="s">
        <v>113</v>
      </c>
      <c r="O1293" s="1" t="s">
        <v>35</v>
      </c>
      <c r="P1293" s="1" t="s">
        <v>36</v>
      </c>
    </row>
    <row r="1294" spans="1:16" x14ac:dyDescent="0.25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>
        <v>27</v>
      </c>
      <c r="J1294" s="3">
        <v>42647.97</v>
      </c>
      <c r="K1294" s="2">
        <v>15.12</v>
      </c>
      <c r="L1294" s="3">
        <v>977389.12</v>
      </c>
      <c r="M1294">
        <v>46262</v>
      </c>
      <c r="N1294" s="1" t="s">
        <v>24</v>
      </c>
      <c r="O1294" s="1" t="s">
        <v>25</v>
      </c>
      <c r="P1294" s="1" t="s">
        <v>36</v>
      </c>
    </row>
    <row r="1295" spans="1:16" x14ac:dyDescent="0.25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>
        <v>30</v>
      </c>
      <c r="J1295" s="3">
        <v>29861.57</v>
      </c>
      <c r="K1295" s="2">
        <v>19.29</v>
      </c>
      <c r="L1295" s="3">
        <v>723038.19</v>
      </c>
      <c r="M1295">
        <v>46097</v>
      </c>
      <c r="N1295" s="1" t="s">
        <v>113</v>
      </c>
      <c r="O1295" s="1" t="s">
        <v>35</v>
      </c>
      <c r="P1295" s="1" t="s">
        <v>36</v>
      </c>
    </row>
    <row r="1296" spans="1:16" x14ac:dyDescent="0.25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>
        <v>4</v>
      </c>
      <c r="J1296" s="3">
        <v>33701.620000000003</v>
      </c>
      <c r="K1296" s="2">
        <v>9.75</v>
      </c>
      <c r="L1296" s="3">
        <v>121662.85</v>
      </c>
      <c r="M1296">
        <v>46193</v>
      </c>
      <c r="N1296" s="1" t="s">
        <v>58</v>
      </c>
      <c r="O1296" s="1" t="s">
        <v>35</v>
      </c>
      <c r="P1296" s="1" t="s">
        <v>36</v>
      </c>
    </row>
    <row r="1297" spans="1:16" x14ac:dyDescent="0.25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>
        <v>16</v>
      </c>
      <c r="J1297" s="3">
        <v>5056.74</v>
      </c>
      <c r="K1297" s="2">
        <v>8.49</v>
      </c>
      <c r="L1297" s="3">
        <v>74038.759999999995</v>
      </c>
      <c r="M1297">
        <v>46268</v>
      </c>
      <c r="N1297" s="1" t="s">
        <v>68</v>
      </c>
      <c r="O1297" s="1" t="s">
        <v>35</v>
      </c>
      <c r="P1297" s="1" t="s">
        <v>36</v>
      </c>
    </row>
    <row r="1298" spans="1:16" x14ac:dyDescent="0.25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>
        <v>8</v>
      </c>
      <c r="J1298" s="3">
        <v>22543.01</v>
      </c>
      <c r="K1298" s="2">
        <v>7.19</v>
      </c>
      <c r="L1298" s="3">
        <v>167377.34</v>
      </c>
      <c r="M1298">
        <v>46196</v>
      </c>
      <c r="N1298" s="1" t="s">
        <v>113</v>
      </c>
      <c r="O1298" s="1" t="s">
        <v>35</v>
      </c>
      <c r="P1298" s="1" t="s">
        <v>26</v>
      </c>
    </row>
    <row r="1299" spans="1:16" x14ac:dyDescent="0.25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>
        <v>13</v>
      </c>
      <c r="J1299" s="3">
        <v>18002.88</v>
      </c>
      <c r="K1299" s="2">
        <v>12.97</v>
      </c>
      <c r="L1299" s="3">
        <v>203682.78</v>
      </c>
      <c r="M1299">
        <v>46259</v>
      </c>
      <c r="N1299" s="1" t="s">
        <v>68</v>
      </c>
      <c r="O1299" s="1" t="s">
        <v>35</v>
      </c>
      <c r="P1299" s="1" t="s">
        <v>36</v>
      </c>
    </row>
    <row r="1300" spans="1:16" x14ac:dyDescent="0.25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>
        <v>14</v>
      </c>
      <c r="J1300" s="3">
        <v>7102.6</v>
      </c>
      <c r="K1300" s="2">
        <v>13.04</v>
      </c>
      <c r="L1300" s="3">
        <v>86469.89</v>
      </c>
      <c r="M1300">
        <v>46146</v>
      </c>
      <c r="N1300" s="1" t="s">
        <v>113</v>
      </c>
      <c r="O1300" s="1" t="s">
        <v>35</v>
      </c>
      <c r="P1300" s="1" t="s">
        <v>53</v>
      </c>
    </row>
    <row r="1301" spans="1:16" x14ac:dyDescent="0.25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>
        <v>32</v>
      </c>
      <c r="J1301" s="3">
        <v>28547.83</v>
      </c>
      <c r="K1301" s="2">
        <v>3.25</v>
      </c>
      <c r="L1301" s="3">
        <v>883840.82</v>
      </c>
      <c r="M1301">
        <v>46098</v>
      </c>
      <c r="N1301" s="1" t="s">
        <v>113</v>
      </c>
      <c r="O1301" s="1" t="s">
        <v>35</v>
      </c>
      <c r="P1301" s="1" t="s">
        <v>26</v>
      </c>
    </row>
    <row r="1302" spans="1:16" x14ac:dyDescent="0.25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>
        <v>33</v>
      </c>
      <c r="J1302" s="3">
        <v>14562.15</v>
      </c>
      <c r="K1302" s="2">
        <v>19.010000000000002</v>
      </c>
      <c r="L1302" s="3">
        <v>389198.21</v>
      </c>
      <c r="M1302">
        <v>46267</v>
      </c>
      <c r="N1302" s="1" t="s">
        <v>24</v>
      </c>
      <c r="O1302" s="1" t="s">
        <v>35</v>
      </c>
      <c r="P1302" s="1" t="s">
        <v>26</v>
      </c>
    </row>
    <row r="1303" spans="1:16" x14ac:dyDescent="0.25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>
        <v>16</v>
      </c>
      <c r="J1303" s="3">
        <v>20983.84</v>
      </c>
      <c r="K1303" s="2">
        <v>10.06</v>
      </c>
      <c r="L1303" s="3">
        <v>301965.84999999998</v>
      </c>
      <c r="M1303">
        <v>46348</v>
      </c>
      <c r="N1303" s="1" t="s">
        <v>45</v>
      </c>
      <c r="O1303" s="1" t="s">
        <v>35</v>
      </c>
      <c r="P1303" s="1" t="s">
        <v>36</v>
      </c>
    </row>
    <row r="1304" spans="1:16" x14ac:dyDescent="0.25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>
        <v>27</v>
      </c>
      <c r="J1304" s="3">
        <v>42953.52</v>
      </c>
      <c r="K1304" s="2">
        <v>12.73</v>
      </c>
      <c r="L1304" s="3">
        <v>1012109.5</v>
      </c>
      <c r="M1304">
        <v>46306</v>
      </c>
      <c r="N1304" s="1" t="s">
        <v>24</v>
      </c>
      <c r="O1304" s="1" t="s">
        <v>35</v>
      </c>
      <c r="P1304" s="1" t="s">
        <v>36</v>
      </c>
    </row>
    <row r="1305" spans="1:16" x14ac:dyDescent="0.25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>
        <v>20</v>
      </c>
      <c r="J1305" s="3">
        <v>20795.87</v>
      </c>
      <c r="K1305" s="2">
        <v>7.3</v>
      </c>
      <c r="L1305" s="3">
        <v>385555.43</v>
      </c>
      <c r="M1305">
        <v>46127</v>
      </c>
      <c r="N1305" s="1" t="s">
        <v>24</v>
      </c>
      <c r="O1305" s="1" t="s">
        <v>35</v>
      </c>
      <c r="P1305" s="1" t="s">
        <v>36</v>
      </c>
    </row>
    <row r="1306" spans="1:16" x14ac:dyDescent="0.25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>
        <v>41</v>
      </c>
      <c r="J1306" s="3">
        <v>11035.68</v>
      </c>
      <c r="K1306" s="2">
        <v>1.52</v>
      </c>
      <c r="L1306" s="3">
        <v>445585.44</v>
      </c>
      <c r="M1306">
        <v>46047</v>
      </c>
      <c r="N1306" s="1" t="s">
        <v>24</v>
      </c>
      <c r="O1306" s="1" t="s">
        <v>35</v>
      </c>
      <c r="P1306" s="1" t="s">
        <v>26</v>
      </c>
    </row>
    <row r="1307" spans="1:16" x14ac:dyDescent="0.25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>
        <v>39</v>
      </c>
      <c r="J1307" s="3">
        <v>23365.4</v>
      </c>
      <c r="K1307" s="2">
        <v>11.57</v>
      </c>
      <c r="L1307" s="3">
        <v>805818.91</v>
      </c>
      <c r="M1307">
        <v>46130</v>
      </c>
      <c r="N1307" s="1" t="s">
        <v>24</v>
      </c>
      <c r="O1307" s="1" t="s">
        <v>35</v>
      </c>
      <c r="P1307" s="1" t="s">
        <v>26</v>
      </c>
    </row>
    <row r="1308" spans="1:16" x14ac:dyDescent="0.25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>
        <v>5</v>
      </c>
      <c r="J1308" s="3">
        <v>36081.480000000003</v>
      </c>
      <c r="K1308" s="2">
        <v>13.53</v>
      </c>
      <c r="L1308" s="3">
        <v>155998.28</v>
      </c>
      <c r="M1308">
        <v>46352</v>
      </c>
      <c r="N1308" s="1" t="s">
        <v>113</v>
      </c>
      <c r="O1308" s="1" t="s">
        <v>35</v>
      </c>
      <c r="P1308" s="1" t="s">
        <v>26</v>
      </c>
    </row>
    <row r="1309" spans="1:16" x14ac:dyDescent="0.25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>
        <v>9</v>
      </c>
      <c r="J1309" s="3">
        <v>20539.52</v>
      </c>
      <c r="K1309" s="2">
        <v>2.15</v>
      </c>
      <c r="L1309" s="3">
        <v>180881.28</v>
      </c>
      <c r="M1309">
        <v>46224</v>
      </c>
      <c r="N1309" s="1" t="s">
        <v>113</v>
      </c>
      <c r="O1309" s="1" t="s">
        <v>35</v>
      </c>
      <c r="P1309" s="1" t="s">
        <v>36</v>
      </c>
    </row>
    <row r="1310" spans="1:16" x14ac:dyDescent="0.25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>
        <v>43</v>
      </c>
      <c r="J1310" s="3">
        <v>39274.620000000003</v>
      </c>
      <c r="K1310" s="2">
        <v>19.03</v>
      </c>
      <c r="L1310" s="3">
        <v>1367428.37</v>
      </c>
      <c r="M1310">
        <v>46360</v>
      </c>
      <c r="N1310" s="1" t="s">
        <v>113</v>
      </c>
      <c r="O1310" s="1" t="s">
        <v>35</v>
      </c>
      <c r="P1310" s="1" t="s">
        <v>53</v>
      </c>
    </row>
    <row r="1311" spans="1:16" x14ac:dyDescent="0.25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>
        <v>16</v>
      </c>
      <c r="J1311" s="3">
        <v>2020.27</v>
      </c>
      <c r="K1311" s="2">
        <v>15.99</v>
      </c>
      <c r="L1311" s="3">
        <v>27155.66</v>
      </c>
      <c r="M1311">
        <v>46320</v>
      </c>
      <c r="N1311" s="1" t="s">
        <v>45</v>
      </c>
      <c r="O1311" s="1" t="s">
        <v>35</v>
      </c>
      <c r="P1311" s="1" t="s">
        <v>26</v>
      </c>
    </row>
    <row r="1312" spans="1:16" x14ac:dyDescent="0.25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>
        <v>46</v>
      </c>
      <c r="J1312" s="3">
        <v>13216.73</v>
      </c>
      <c r="K1312" s="2">
        <v>5.51</v>
      </c>
      <c r="L1312" s="3">
        <v>574470.46</v>
      </c>
      <c r="M1312">
        <v>46185</v>
      </c>
      <c r="N1312" s="1" t="s">
        <v>113</v>
      </c>
      <c r="O1312" s="1" t="s">
        <v>35</v>
      </c>
      <c r="P1312" s="1" t="s">
        <v>53</v>
      </c>
    </row>
    <row r="1313" spans="1:16" x14ac:dyDescent="0.25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>
        <v>45</v>
      </c>
      <c r="J1313" s="3">
        <v>1177.3699999999999</v>
      </c>
      <c r="K1313" s="2">
        <v>13.68</v>
      </c>
      <c r="L1313" s="3">
        <v>45733.760000000002</v>
      </c>
      <c r="M1313">
        <v>46375</v>
      </c>
      <c r="N1313" s="1" t="s">
        <v>68</v>
      </c>
      <c r="O1313" s="1" t="s">
        <v>35</v>
      </c>
      <c r="P1313" s="1" t="s">
        <v>26</v>
      </c>
    </row>
    <row r="1314" spans="1:16" x14ac:dyDescent="0.25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>
        <v>14</v>
      </c>
      <c r="J1314" s="3">
        <v>9694.99</v>
      </c>
      <c r="K1314" s="2">
        <v>0.02</v>
      </c>
      <c r="L1314" s="3">
        <v>135702.71</v>
      </c>
      <c r="M1314">
        <v>46134</v>
      </c>
      <c r="N1314" s="1" t="s">
        <v>45</v>
      </c>
      <c r="O1314" s="1" t="s">
        <v>59</v>
      </c>
      <c r="P1314" s="1" t="s">
        <v>36</v>
      </c>
    </row>
    <row r="1315" spans="1:16" x14ac:dyDescent="0.25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>
        <v>40</v>
      </c>
      <c r="J1315" s="3">
        <v>4063.98</v>
      </c>
      <c r="K1315" s="2">
        <v>13.78</v>
      </c>
      <c r="L1315" s="3">
        <v>140158.54</v>
      </c>
      <c r="M1315">
        <v>46065</v>
      </c>
      <c r="N1315" s="1" t="s">
        <v>68</v>
      </c>
      <c r="O1315" s="1" t="s">
        <v>35</v>
      </c>
      <c r="P1315" s="1" t="s">
        <v>53</v>
      </c>
    </row>
    <row r="1316" spans="1:16" x14ac:dyDescent="0.25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>
        <v>39</v>
      </c>
      <c r="J1316" s="3">
        <v>1990.07</v>
      </c>
      <c r="K1316" s="2">
        <v>3.4</v>
      </c>
      <c r="L1316" s="3">
        <v>74973.899999999994</v>
      </c>
      <c r="M1316">
        <v>46223</v>
      </c>
      <c r="N1316" s="1" t="s">
        <v>24</v>
      </c>
      <c r="O1316" s="1" t="s">
        <v>25</v>
      </c>
      <c r="P1316" s="1" t="s">
        <v>36</v>
      </c>
    </row>
    <row r="1317" spans="1:16" x14ac:dyDescent="0.25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>
        <v>28</v>
      </c>
      <c r="J1317" s="3">
        <v>25710.84</v>
      </c>
      <c r="K1317" s="2">
        <v>4.3499999999999996</v>
      </c>
      <c r="L1317" s="3">
        <v>688587.72</v>
      </c>
      <c r="M1317">
        <v>46332</v>
      </c>
      <c r="N1317" s="1" t="s">
        <v>45</v>
      </c>
      <c r="O1317" s="1" t="s">
        <v>25</v>
      </c>
      <c r="P1317" s="1" t="s">
        <v>26</v>
      </c>
    </row>
    <row r="1318" spans="1:16" x14ac:dyDescent="0.25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>
        <v>2</v>
      </c>
      <c r="J1318" s="3">
        <v>26383.65</v>
      </c>
      <c r="K1318" s="2">
        <v>14.37</v>
      </c>
      <c r="L1318" s="3">
        <v>45184.639999999999</v>
      </c>
      <c r="M1318">
        <v>46268</v>
      </c>
      <c r="N1318" s="1" t="s">
        <v>45</v>
      </c>
      <c r="O1318" s="1" t="s">
        <v>35</v>
      </c>
      <c r="P1318" s="1" t="s">
        <v>26</v>
      </c>
    </row>
    <row r="1319" spans="1:16" x14ac:dyDescent="0.25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>
        <v>6</v>
      </c>
      <c r="J1319" s="3">
        <v>36762.129999999997</v>
      </c>
      <c r="K1319" s="2">
        <v>14.42</v>
      </c>
      <c r="L1319" s="3">
        <v>188766.19</v>
      </c>
      <c r="M1319">
        <v>46254</v>
      </c>
      <c r="N1319" s="1" t="s">
        <v>58</v>
      </c>
      <c r="O1319" s="1" t="s">
        <v>35</v>
      </c>
      <c r="P1319" s="1" t="s">
        <v>36</v>
      </c>
    </row>
    <row r="1320" spans="1:16" x14ac:dyDescent="0.25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>
        <v>21</v>
      </c>
      <c r="J1320" s="3">
        <v>34638.78</v>
      </c>
      <c r="K1320" s="2">
        <v>5.01</v>
      </c>
      <c r="L1320" s="3">
        <v>690970.92</v>
      </c>
      <c r="M1320">
        <v>46178</v>
      </c>
      <c r="N1320" s="1" t="s">
        <v>24</v>
      </c>
      <c r="O1320" s="1" t="s">
        <v>35</v>
      </c>
      <c r="P1320" s="1" t="s">
        <v>26</v>
      </c>
    </row>
    <row r="1321" spans="1:16" x14ac:dyDescent="0.25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>
        <v>12</v>
      </c>
      <c r="J1321" s="3">
        <v>29732.46</v>
      </c>
      <c r="K1321" s="2">
        <v>4.38</v>
      </c>
      <c r="L1321" s="3">
        <v>341162.14</v>
      </c>
      <c r="M1321">
        <v>46353</v>
      </c>
      <c r="N1321" s="1" t="s">
        <v>24</v>
      </c>
      <c r="O1321" s="1" t="s">
        <v>25</v>
      </c>
      <c r="P1321" s="1" t="s">
        <v>53</v>
      </c>
    </row>
    <row r="1322" spans="1:16" x14ac:dyDescent="0.25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>
        <v>15</v>
      </c>
      <c r="J1322" s="3">
        <v>11185.88</v>
      </c>
      <c r="K1322" s="2">
        <v>15.22</v>
      </c>
      <c r="L1322" s="3">
        <v>142250.84</v>
      </c>
      <c r="M1322">
        <v>46194</v>
      </c>
      <c r="N1322" s="1" t="s">
        <v>24</v>
      </c>
      <c r="O1322" s="1" t="s">
        <v>35</v>
      </c>
      <c r="P1322" s="1" t="s">
        <v>53</v>
      </c>
    </row>
    <row r="1323" spans="1:16" x14ac:dyDescent="0.25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>
        <v>6</v>
      </c>
      <c r="J1323" s="3">
        <v>17226.13</v>
      </c>
      <c r="K1323" s="2">
        <v>14.95</v>
      </c>
      <c r="L1323" s="3">
        <v>87904.94</v>
      </c>
      <c r="M1323">
        <v>46268</v>
      </c>
      <c r="N1323" s="1" t="s">
        <v>113</v>
      </c>
      <c r="O1323" s="1" t="s">
        <v>35</v>
      </c>
      <c r="P1323" s="1" t="s">
        <v>53</v>
      </c>
    </row>
    <row r="1324" spans="1:16" x14ac:dyDescent="0.25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>
        <v>21</v>
      </c>
      <c r="J1324" s="3">
        <v>19205.96</v>
      </c>
      <c r="K1324" s="2">
        <v>1.77</v>
      </c>
      <c r="L1324" s="3">
        <v>396186.3</v>
      </c>
      <c r="M1324">
        <v>46330</v>
      </c>
      <c r="N1324" s="1" t="s">
        <v>24</v>
      </c>
      <c r="O1324" s="1" t="s">
        <v>35</v>
      </c>
      <c r="P1324" s="1" t="s">
        <v>53</v>
      </c>
    </row>
    <row r="1325" spans="1:16" x14ac:dyDescent="0.25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>
        <v>49</v>
      </c>
      <c r="J1325" s="3">
        <v>40397.919999999998</v>
      </c>
      <c r="K1325" s="2">
        <v>14.76</v>
      </c>
      <c r="L1325" s="3">
        <v>1687324.16</v>
      </c>
      <c r="M1325">
        <v>46333</v>
      </c>
      <c r="N1325" s="1" t="s">
        <v>113</v>
      </c>
      <c r="O1325" s="1" t="s">
        <v>35</v>
      </c>
      <c r="P1325" s="1" t="s">
        <v>36</v>
      </c>
    </row>
    <row r="1326" spans="1:16" x14ac:dyDescent="0.25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>
        <v>45</v>
      </c>
      <c r="J1326" s="3">
        <v>21924.85</v>
      </c>
      <c r="K1326" s="2">
        <v>1.69</v>
      </c>
      <c r="L1326" s="3">
        <v>969944.4</v>
      </c>
      <c r="M1326">
        <v>46233</v>
      </c>
      <c r="N1326" s="1" t="s">
        <v>58</v>
      </c>
      <c r="O1326" s="1" t="s">
        <v>35</v>
      </c>
      <c r="P1326" s="1" t="s">
        <v>36</v>
      </c>
    </row>
    <row r="1327" spans="1:16" x14ac:dyDescent="0.25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>
        <v>39</v>
      </c>
      <c r="J1327" s="3">
        <v>33012.449999999997</v>
      </c>
      <c r="K1327" s="2">
        <v>14.1</v>
      </c>
      <c r="L1327" s="3">
        <v>1105950.0900000001</v>
      </c>
      <c r="M1327">
        <v>46157</v>
      </c>
      <c r="N1327" s="1" t="s">
        <v>58</v>
      </c>
      <c r="O1327" s="1" t="s">
        <v>35</v>
      </c>
      <c r="P1327" s="1" t="s">
        <v>36</v>
      </c>
    </row>
    <row r="1328" spans="1:16" x14ac:dyDescent="0.25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>
        <v>5</v>
      </c>
      <c r="J1328" s="3">
        <v>27520.91</v>
      </c>
      <c r="K1328" s="2">
        <v>10.74</v>
      </c>
      <c r="L1328" s="3">
        <v>122825.82</v>
      </c>
      <c r="M1328">
        <v>46207</v>
      </c>
      <c r="N1328" s="1" t="s">
        <v>58</v>
      </c>
      <c r="O1328" s="1" t="s">
        <v>35</v>
      </c>
      <c r="P1328" s="1" t="s">
        <v>36</v>
      </c>
    </row>
    <row r="1329" spans="1:16" x14ac:dyDescent="0.25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>
        <v>32</v>
      </c>
      <c r="J1329" s="3">
        <v>39561.72</v>
      </c>
      <c r="K1329" s="2">
        <v>5.03</v>
      </c>
      <c r="L1329" s="3">
        <v>1202296.5</v>
      </c>
      <c r="M1329">
        <v>46247</v>
      </c>
      <c r="N1329" s="1" t="s">
        <v>24</v>
      </c>
      <c r="O1329" s="1" t="s">
        <v>35</v>
      </c>
      <c r="P1329" s="1" t="s">
        <v>53</v>
      </c>
    </row>
    <row r="1330" spans="1:16" x14ac:dyDescent="0.25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>
        <v>41</v>
      </c>
      <c r="J1330" s="3">
        <v>18395.810000000001</v>
      </c>
      <c r="K1330" s="2">
        <v>11.81</v>
      </c>
      <c r="L1330" s="3">
        <v>665153.86</v>
      </c>
      <c r="M1330">
        <v>46383</v>
      </c>
      <c r="N1330" s="1" t="s">
        <v>113</v>
      </c>
      <c r="O1330" s="1" t="s">
        <v>35</v>
      </c>
      <c r="P1330" s="1" t="s">
        <v>53</v>
      </c>
    </row>
    <row r="1331" spans="1:16" x14ac:dyDescent="0.25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>
        <v>15</v>
      </c>
      <c r="J1331" s="3">
        <v>22451.02</v>
      </c>
      <c r="K1331" s="2">
        <v>12.08</v>
      </c>
      <c r="L1331" s="3">
        <v>296084.05</v>
      </c>
      <c r="M1331">
        <v>46246</v>
      </c>
      <c r="N1331" s="1" t="s">
        <v>58</v>
      </c>
      <c r="O1331" s="1" t="s">
        <v>35</v>
      </c>
      <c r="P1331" s="1" t="s">
        <v>26</v>
      </c>
    </row>
    <row r="1332" spans="1:16" x14ac:dyDescent="0.25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>
        <v>18</v>
      </c>
      <c r="J1332" s="3">
        <v>28207.72</v>
      </c>
      <c r="K1332" s="2">
        <v>18.190000000000001</v>
      </c>
      <c r="L1332" s="3">
        <v>415381.24</v>
      </c>
      <c r="M1332">
        <v>46131</v>
      </c>
      <c r="N1332" s="1" t="s">
        <v>113</v>
      </c>
      <c r="O1332" s="1" t="s">
        <v>35</v>
      </c>
      <c r="P1332" s="1" t="s">
        <v>26</v>
      </c>
    </row>
    <row r="1333" spans="1:16" x14ac:dyDescent="0.25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>
        <v>9</v>
      </c>
      <c r="J1333" s="3">
        <v>14907</v>
      </c>
      <c r="K1333" s="2">
        <v>12.04</v>
      </c>
      <c r="L1333" s="3">
        <v>118009.77</v>
      </c>
      <c r="M1333">
        <v>46079</v>
      </c>
      <c r="N1333" s="1" t="s">
        <v>45</v>
      </c>
      <c r="O1333" s="1" t="s">
        <v>35</v>
      </c>
      <c r="P1333" s="1" t="s">
        <v>26</v>
      </c>
    </row>
    <row r="1334" spans="1:16" x14ac:dyDescent="0.25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>
        <v>39</v>
      </c>
      <c r="J1334" s="3">
        <v>9168</v>
      </c>
      <c r="K1334" s="2">
        <v>10.44</v>
      </c>
      <c r="L1334" s="3">
        <v>320223.57</v>
      </c>
      <c r="M1334">
        <v>46142</v>
      </c>
      <c r="N1334" s="1" t="s">
        <v>113</v>
      </c>
      <c r="O1334" s="1" t="s">
        <v>35</v>
      </c>
      <c r="P1334" s="1" t="s">
        <v>26</v>
      </c>
    </row>
    <row r="1335" spans="1:16" x14ac:dyDescent="0.25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>
        <v>15</v>
      </c>
      <c r="J1335" s="3">
        <v>21121.1</v>
      </c>
      <c r="K1335" s="2">
        <v>12.69</v>
      </c>
      <c r="L1335" s="3">
        <v>276612.49</v>
      </c>
      <c r="M1335">
        <v>46309</v>
      </c>
      <c r="N1335" s="1" t="s">
        <v>68</v>
      </c>
      <c r="O1335" s="1" t="s">
        <v>35</v>
      </c>
      <c r="P1335" s="1" t="s">
        <v>36</v>
      </c>
    </row>
    <row r="1336" spans="1:16" x14ac:dyDescent="0.25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>
        <v>27</v>
      </c>
      <c r="J1336" s="3">
        <v>48835.05</v>
      </c>
      <c r="K1336" s="2">
        <v>3.73</v>
      </c>
      <c r="L1336" s="3">
        <v>1269364.57</v>
      </c>
      <c r="M1336">
        <v>46085</v>
      </c>
      <c r="N1336" s="1" t="s">
        <v>113</v>
      </c>
      <c r="O1336" s="1" t="s">
        <v>35</v>
      </c>
      <c r="P1336" s="1" t="s">
        <v>53</v>
      </c>
    </row>
    <row r="1337" spans="1:16" x14ac:dyDescent="0.25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>
        <v>15</v>
      </c>
      <c r="J1337" s="3">
        <v>12538.87</v>
      </c>
      <c r="K1337" s="2">
        <v>5.65</v>
      </c>
      <c r="L1337" s="3">
        <v>177456.36</v>
      </c>
      <c r="M1337">
        <v>46186</v>
      </c>
      <c r="N1337" s="1" t="s">
        <v>58</v>
      </c>
      <c r="O1337" s="1" t="s">
        <v>35</v>
      </c>
      <c r="P1337" s="1" t="s">
        <v>53</v>
      </c>
    </row>
    <row r="1338" spans="1:16" x14ac:dyDescent="0.25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>
        <v>1</v>
      </c>
      <c r="J1338" s="3">
        <v>34923.58</v>
      </c>
      <c r="K1338" s="2">
        <v>11.72</v>
      </c>
      <c r="L1338" s="3">
        <v>30830.54</v>
      </c>
      <c r="M1338">
        <v>46296</v>
      </c>
      <c r="N1338" s="1" t="s">
        <v>58</v>
      </c>
      <c r="O1338" s="1" t="s">
        <v>35</v>
      </c>
      <c r="P1338" s="1" t="s">
        <v>26</v>
      </c>
    </row>
    <row r="1339" spans="1:16" x14ac:dyDescent="0.25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>
        <v>8</v>
      </c>
      <c r="J1339" s="3">
        <v>34299.519999999997</v>
      </c>
      <c r="K1339" s="2">
        <v>7.18</v>
      </c>
      <c r="L1339" s="3">
        <v>254694.52</v>
      </c>
      <c r="M1339">
        <v>46192</v>
      </c>
      <c r="N1339" s="1" t="s">
        <v>45</v>
      </c>
      <c r="O1339" s="1" t="s">
        <v>35</v>
      </c>
      <c r="P1339" s="1" t="s">
        <v>26</v>
      </c>
    </row>
    <row r="1340" spans="1:16" x14ac:dyDescent="0.25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>
        <v>43</v>
      </c>
      <c r="J1340" s="3">
        <v>14519.44</v>
      </c>
      <c r="K1340" s="2">
        <v>15.3</v>
      </c>
      <c r="L1340" s="3">
        <v>528812.52</v>
      </c>
      <c r="M1340">
        <v>46089</v>
      </c>
      <c r="N1340" s="1" t="s">
        <v>45</v>
      </c>
      <c r="O1340" s="1" t="s">
        <v>35</v>
      </c>
      <c r="P1340" s="1" t="s">
        <v>53</v>
      </c>
    </row>
    <row r="1341" spans="1:16" x14ac:dyDescent="0.25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>
        <v>2</v>
      </c>
      <c r="J1341" s="3">
        <v>7634.2</v>
      </c>
      <c r="K1341" s="2">
        <v>13.47</v>
      </c>
      <c r="L1341" s="3">
        <v>13211.75</v>
      </c>
      <c r="M1341">
        <v>46381</v>
      </c>
      <c r="N1341" s="1" t="s">
        <v>24</v>
      </c>
      <c r="O1341" s="1" t="s">
        <v>35</v>
      </c>
      <c r="P1341" s="1" t="s">
        <v>26</v>
      </c>
    </row>
    <row r="1342" spans="1:16" x14ac:dyDescent="0.25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>
        <v>15</v>
      </c>
      <c r="J1342" s="3">
        <v>36098.300000000003</v>
      </c>
      <c r="K1342" s="2">
        <v>15.53</v>
      </c>
      <c r="L1342" s="3">
        <v>457383.51</v>
      </c>
      <c r="M1342">
        <v>46230</v>
      </c>
      <c r="N1342" s="1" t="s">
        <v>58</v>
      </c>
      <c r="O1342" s="1" t="s">
        <v>25</v>
      </c>
      <c r="P1342" s="1" t="s">
        <v>53</v>
      </c>
    </row>
    <row r="1343" spans="1:16" x14ac:dyDescent="0.25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>
        <v>32</v>
      </c>
      <c r="J1343" s="3">
        <v>46551.99</v>
      </c>
      <c r="K1343" s="2">
        <v>19.559999999999999</v>
      </c>
      <c r="L1343" s="3">
        <v>1198285.46</v>
      </c>
      <c r="M1343">
        <v>46051</v>
      </c>
      <c r="N1343" s="1" t="s">
        <v>58</v>
      </c>
      <c r="O1343" s="1" t="s">
        <v>35</v>
      </c>
      <c r="P1343" s="1" t="s">
        <v>26</v>
      </c>
    </row>
    <row r="1344" spans="1:16" x14ac:dyDescent="0.25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>
        <v>50</v>
      </c>
      <c r="J1344" s="3">
        <v>41985.74</v>
      </c>
      <c r="K1344" s="2">
        <v>17.79</v>
      </c>
      <c r="L1344" s="3">
        <v>1725823.84</v>
      </c>
      <c r="M1344">
        <v>46334</v>
      </c>
      <c r="N1344" s="1" t="s">
        <v>58</v>
      </c>
      <c r="O1344" s="1" t="s">
        <v>35</v>
      </c>
      <c r="P1344" s="1" t="s">
        <v>53</v>
      </c>
    </row>
    <row r="1345" spans="1:16" x14ac:dyDescent="0.25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>
        <v>6</v>
      </c>
      <c r="J1345" s="3">
        <v>42181.25</v>
      </c>
      <c r="K1345" s="2">
        <v>7.29</v>
      </c>
      <c r="L1345" s="3">
        <v>234637.42</v>
      </c>
      <c r="M1345">
        <v>46224</v>
      </c>
      <c r="N1345" s="1" t="s">
        <v>45</v>
      </c>
      <c r="O1345" s="1" t="s">
        <v>35</v>
      </c>
      <c r="P1345" s="1" t="s">
        <v>36</v>
      </c>
    </row>
    <row r="1346" spans="1:16" x14ac:dyDescent="0.25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>
        <v>9</v>
      </c>
      <c r="J1346" s="3">
        <v>15391.77</v>
      </c>
      <c r="K1346" s="2">
        <v>9.19</v>
      </c>
      <c r="L1346" s="3">
        <v>125795.4</v>
      </c>
      <c r="M1346">
        <v>46299</v>
      </c>
      <c r="N1346" s="1" t="s">
        <v>24</v>
      </c>
      <c r="O1346" s="1" t="s">
        <v>35</v>
      </c>
      <c r="P1346" s="1" t="s">
        <v>26</v>
      </c>
    </row>
    <row r="1347" spans="1:16" x14ac:dyDescent="0.25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>
        <v>36</v>
      </c>
      <c r="J1347" s="3">
        <v>27801.599999999999</v>
      </c>
      <c r="K1347" s="2">
        <v>16.54</v>
      </c>
      <c r="L1347" s="3">
        <v>835315.75</v>
      </c>
      <c r="M1347">
        <v>46070</v>
      </c>
      <c r="N1347" s="1" t="s">
        <v>24</v>
      </c>
      <c r="O1347" s="1" t="s">
        <v>35</v>
      </c>
      <c r="P1347" s="1" t="s">
        <v>26</v>
      </c>
    </row>
    <row r="1348" spans="1:16" x14ac:dyDescent="0.25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>
        <v>24</v>
      </c>
      <c r="J1348" s="3">
        <v>10708.64</v>
      </c>
      <c r="K1348" s="2">
        <v>17.55</v>
      </c>
      <c r="L1348" s="3">
        <v>211902.57</v>
      </c>
      <c r="M1348">
        <v>46225</v>
      </c>
      <c r="N1348" s="1" t="s">
        <v>68</v>
      </c>
      <c r="O1348" s="1" t="s">
        <v>35</v>
      </c>
      <c r="P1348" s="1" t="s">
        <v>53</v>
      </c>
    </row>
    <row r="1349" spans="1:16" x14ac:dyDescent="0.25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>
        <v>44</v>
      </c>
      <c r="J1349" s="3">
        <v>26890.82</v>
      </c>
      <c r="K1349" s="2">
        <v>7.62</v>
      </c>
      <c r="L1349" s="3">
        <v>1093036.54</v>
      </c>
      <c r="M1349">
        <v>46268</v>
      </c>
      <c r="N1349" s="1" t="s">
        <v>113</v>
      </c>
      <c r="O1349" s="1" t="s">
        <v>35</v>
      </c>
      <c r="P1349" s="1" t="s">
        <v>53</v>
      </c>
    </row>
    <row r="1350" spans="1:16" x14ac:dyDescent="0.25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>
        <v>45</v>
      </c>
      <c r="J1350" s="3">
        <v>32037.919999999998</v>
      </c>
      <c r="K1350" s="2">
        <v>5.12</v>
      </c>
      <c r="L1350" s="3">
        <v>1367891.03</v>
      </c>
      <c r="M1350">
        <v>46352</v>
      </c>
      <c r="N1350" s="1" t="s">
        <v>68</v>
      </c>
      <c r="O1350" s="1" t="s">
        <v>35</v>
      </c>
      <c r="P1350" s="1" t="s">
        <v>36</v>
      </c>
    </row>
    <row r="1351" spans="1:16" x14ac:dyDescent="0.25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>
        <v>50</v>
      </c>
      <c r="J1351" s="3">
        <v>1621.53</v>
      </c>
      <c r="K1351" s="2">
        <v>7.73</v>
      </c>
      <c r="L1351" s="3">
        <v>74809.289999999994</v>
      </c>
      <c r="M1351">
        <v>46355</v>
      </c>
      <c r="N1351" s="1" t="s">
        <v>58</v>
      </c>
      <c r="O1351" s="1" t="s">
        <v>35</v>
      </c>
      <c r="P1351" s="1" t="s">
        <v>53</v>
      </c>
    </row>
    <row r="1352" spans="1:16" x14ac:dyDescent="0.25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>
        <v>16</v>
      </c>
      <c r="J1352" s="3">
        <v>31111.33</v>
      </c>
      <c r="K1352" s="2">
        <v>3.76</v>
      </c>
      <c r="L1352" s="3">
        <v>479064.7</v>
      </c>
      <c r="M1352">
        <v>46051</v>
      </c>
      <c r="N1352" s="1" t="s">
        <v>45</v>
      </c>
      <c r="O1352" s="1" t="s">
        <v>35</v>
      </c>
      <c r="P1352" s="1" t="s">
        <v>36</v>
      </c>
    </row>
    <row r="1353" spans="1:16" x14ac:dyDescent="0.25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>
        <v>5</v>
      </c>
      <c r="J1353" s="3">
        <v>31506.23</v>
      </c>
      <c r="K1353" s="2">
        <v>0.53</v>
      </c>
      <c r="L1353" s="3">
        <v>156696.23000000001</v>
      </c>
      <c r="M1353">
        <v>46305</v>
      </c>
      <c r="N1353" s="1" t="s">
        <v>68</v>
      </c>
      <c r="O1353" s="1" t="s">
        <v>35</v>
      </c>
      <c r="P1353" s="1" t="s">
        <v>36</v>
      </c>
    </row>
    <row r="1354" spans="1:16" x14ac:dyDescent="0.25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>
        <v>20</v>
      </c>
      <c r="J1354" s="3">
        <v>8350.17</v>
      </c>
      <c r="K1354" s="2">
        <v>19.14</v>
      </c>
      <c r="L1354" s="3">
        <v>135038.95000000001</v>
      </c>
      <c r="M1354">
        <v>46095</v>
      </c>
      <c r="N1354" s="1" t="s">
        <v>24</v>
      </c>
      <c r="O1354" s="1" t="s">
        <v>35</v>
      </c>
      <c r="P1354" s="1" t="s">
        <v>53</v>
      </c>
    </row>
    <row r="1355" spans="1:16" x14ac:dyDescent="0.25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>
        <v>8</v>
      </c>
      <c r="J1355" s="3">
        <v>43784.12</v>
      </c>
      <c r="K1355" s="2">
        <v>13.31</v>
      </c>
      <c r="L1355" s="3">
        <v>303651.63</v>
      </c>
      <c r="M1355">
        <v>46055</v>
      </c>
      <c r="N1355" s="1" t="s">
        <v>58</v>
      </c>
      <c r="O1355" s="1" t="s">
        <v>35</v>
      </c>
      <c r="P1355" s="1" t="s">
        <v>36</v>
      </c>
    </row>
    <row r="1356" spans="1:16" x14ac:dyDescent="0.25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>
        <v>22</v>
      </c>
      <c r="J1356" s="3">
        <v>4909.32</v>
      </c>
      <c r="K1356" s="2">
        <v>16.190000000000001</v>
      </c>
      <c r="L1356" s="3">
        <v>90519.02</v>
      </c>
      <c r="M1356">
        <v>46353</v>
      </c>
      <c r="N1356" s="1" t="s">
        <v>58</v>
      </c>
      <c r="O1356" s="1" t="s">
        <v>35</v>
      </c>
      <c r="P1356" s="1" t="s">
        <v>36</v>
      </c>
    </row>
    <row r="1357" spans="1:16" x14ac:dyDescent="0.25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>
        <v>6</v>
      </c>
      <c r="J1357" s="3">
        <v>5880.75</v>
      </c>
      <c r="K1357" s="2">
        <v>11.06</v>
      </c>
      <c r="L1357" s="3">
        <v>31382.03</v>
      </c>
      <c r="M1357">
        <v>46173</v>
      </c>
      <c r="N1357" s="1" t="s">
        <v>24</v>
      </c>
      <c r="O1357" s="1" t="s">
        <v>35</v>
      </c>
      <c r="P1357" s="1" t="s">
        <v>26</v>
      </c>
    </row>
    <row r="1358" spans="1:16" x14ac:dyDescent="0.25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>
        <v>37</v>
      </c>
      <c r="J1358" s="3">
        <v>2145.6799999999998</v>
      </c>
      <c r="K1358" s="2">
        <v>12.63</v>
      </c>
      <c r="L1358" s="3">
        <v>69363.179999999993</v>
      </c>
      <c r="M1358">
        <v>46270</v>
      </c>
      <c r="N1358" s="1" t="s">
        <v>58</v>
      </c>
      <c r="O1358" s="1" t="s">
        <v>35</v>
      </c>
      <c r="P1358" s="1" t="s">
        <v>53</v>
      </c>
    </row>
    <row r="1359" spans="1:16" x14ac:dyDescent="0.25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>
        <v>18</v>
      </c>
      <c r="J1359" s="3">
        <v>20109.55</v>
      </c>
      <c r="K1359" s="2">
        <v>17.7</v>
      </c>
      <c r="L1359" s="3">
        <v>297902.87</v>
      </c>
      <c r="M1359">
        <v>46111</v>
      </c>
      <c r="N1359" s="1" t="s">
        <v>113</v>
      </c>
      <c r="O1359" s="1" t="s">
        <v>35</v>
      </c>
      <c r="P1359" s="1" t="s">
        <v>53</v>
      </c>
    </row>
    <row r="1360" spans="1:16" x14ac:dyDescent="0.25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>
        <v>11</v>
      </c>
      <c r="J1360" s="3">
        <v>23976.41</v>
      </c>
      <c r="K1360" s="2">
        <v>17.43</v>
      </c>
      <c r="L1360" s="3">
        <v>217770.54</v>
      </c>
      <c r="M1360">
        <v>46196</v>
      </c>
      <c r="N1360" s="1" t="s">
        <v>45</v>
      </c>
      <c r="O1360" s="1" t="s">
        <v>25</v>
      </c>
      <c r="P1360" s="1" t="s">
        <v>26</v>
      </c>
    </row>
    <row r="1361" spans="1:16" x14ac:dyDescent="0.25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>
        <v>14</v>
      </c>
      <c r="J1361" s="3">
        <v>41939</v>
      </c>
      <c r="K1361" s="2">
        <v>9.3800000000000008</v>
      </c>
      <c r="L1361" s="3">
        <v>532071.71</v>
      </c>
      <c r="M1361">
        <v>46331</v>
      </c>
      <c r="N1361" s="1" t="s">
        <v>24</v>
      </c>
      <c r="O1361" s="1" t="s">
        <v>35</v>
      </c>
      <c r="P1361" s="1" t="s">
        <v>26</v>
      </c>
    </row>
    <row r="1362" spans="1:16" x14ac:dyDescent="0.25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>
        <v>1</v>
      </c>
      <c r="J1362" s="3">
        <v>46109.55</v>
      </c>
      <c r="K1362" s="2">
        <v>0.71</v>
      </c>
      <c r="L1362" s="3">
        <v>45782.17</v>
      </c>
      <c r="M1362">
        <v>46167</v>
      </c>
      <c r="N1362" s="1" t="s">
        <v>113</v>
      </c>
      <c r="O1362" s="1" t="s">
        <v>35</v>
      </c>
      <c r="P1362" s="1" t="s">
        <v>36</v>
      </c>
    </row>
    <row r="1363" spans="1:16" x14ac:dyDescent="0.25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>
        <v>19</v>
      </c>
      <c r="J1363" s="3">
        <v>7385.62</v>
      </c>
      <c r="K1363" s="2">
        <v>15.03</v>
      </c>
      <c r="L1363" s="3">
        <v>119235.66</v>
      </c>
      <c r="M1363">
        <v>46109</v>
      </c>
      <c r="N1363" s="1" t="s">
        <v>45</v>
      </c>
      <c r="O1363" s="1" t="s">
        <v>35</v>
      </c>
      <c r="P1363" s="1" t="s">
        <v>36</v>
      </c>
    </row>
    <row r="1364" spans="1:16" x14ac:dyDescent="0.25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>
        <v>2</v>
      </c>
      <c r="J1364" s="3">
        <v>17788.45</v>
      </c>
      <c r="K1364" s="2">
        <v>1.36</v>
      </c>
      <c r="L1364" s="3">
        <v>35093.050000000003</v>
      </c>
      <c r="M1364">
        <v>46101</v>
      </c>
      <c r="N1364" s="1" t="s">
        <v>45</v>
      </c>
      <c r="O1364" s="1" t="s">
        <v>35</v>
      </c>
      <c r="P1364" s="1" t="s">
        <v>36</v>
      </c>
    </row>
    <row r="1365" spans="1:16" x14ac:dyDescent="0.25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>
        <v>6</v>
      </c>
      <c r="J1365" s="3">
        <v>46462.879999999997</v>
      </c>
      <c r="K1365" s="2">
        <v>4.74</v>
      </c>
      <c r="L1365" s="3">
        <v>265563.24</v>
      </c>
      <c r="M1365">
        <v>46273</v>
      </c>
      <c r="N1365" s="1" t="s">
        <v>113</v>
      </c>
      <c r="O1365" s="1" t="s">
        <v>35</v>
      </c>
      <c r="P1365" s="1" t="s">
        <v>36</v>
      </c>
    </row>
    <row r="1366" spans="1:16" x14ac:dyDescent="0.25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>
        <v>23</v>
      </c>
      <c r="J1366" s="3">
        <v>21822.71</v>
      </c>
      <c r="K1366" s="2">
        <v>11.22</v>
      </c>
      <c r="L1366" s="3">
        <v>445606.64</v>
      </c>
      <c r="M1366">
        <v>46119</v>
      </c>
      <c r="N1366" s="1" t="s">
        <v>68</v>
      </c>
      <c r="O1366" s="1" t="s">
        <v>35</v>
      </c>
      <c r="P1366" s="1" t="s">
        <v>53</v>
      </c>
    </row>
    <row r="1367" spans="1:16" x14ac:dyDescent="0.25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>
        <v>5</v>
      </c>
      <c r="J1367" s="3">
        <v>37318.58</v>
      </c>
      <c r="K1367" s="2">
        <v>18.64</v>
      </c>
      <c r="L1367" s="3">
        <v>151811.98000000001</v>
      </c>
      <c r="M1367">
        <v>46163</v>
      </c>
      <c r="N1367" s="1" t="s">
        <v>68</v>
      </c>
      <c r="O1367" s="1" t="s">
        <v>35</v>
      </c>
      <c r="P1367" s="1" t="s">
        <v>26</v>
      </c>
    </row>
    <row r="1368" spans="1:16" x14ac:dyDescent="0.25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>
        <v>29</v>
      </c>
      <c r="J1368" s="3">
        <v>21956.17</v>
      </c>
      <c r="K1368" s="2">
        <v>12.15</v>
      </c>
      <c r="L1368" s="3">
        <v>559366.37</v>
      </c>
      <c r="M1368">
        <v>46280</v>
      </c>
      <c r="N1368" s="1" t="s">
        <v>68</v>
      </c>
      <c r="O1368" s="1" t="s">
        <v>35</v>
      </c>
      <c r="P1368" s="1" t="s">
        <v>36</v>
      </c>
    </row>
    <row r="1369" spans="1:16" x14ac:dyDescent="0.25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>
        <v>37</v>
      </c>
      <c r="J1369" s="3">
        <v>3264.72</v>
      </c>
      <c r="K1369" s="2">
        <v>3.77</v>
      </c>
      <c r="L1369" s="3">
        <v>116240.68</v>
      </c>
      <c r="M1369">
        <v>46244</v>
      </c>
      <c r="N1369" s="1" t="s">
        <v>113</v>
      </c>
      <c r="O1369" s="1" t="s">
        <v>35</v>
      </c>
      <c r="P1369" s="1" t="s">
        <v>53</v>
      </c>
    </row>
    <row r="1370" spans="1:16" x14ac:dyDescent="0.25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>
        <v>9</v>
      </c>
      <c r="J1370" s="3">
        <v>34903.300000000003</v>
      </c>
      <c r="K1370" s="2">
        <v>17.71</v>
      </c>
      <c r="L1370" s="3">
        <v>258497.33</v>
      </c>
      <c r="M1370">
        <v>46137</v>
      </c>
      <c r="N1370" s="1" t="s">
        <v>113</v>
      </c>
      <c r="O1370" s="1" t="s">
        <v>35</v>
      </c>
      <c r="P1370" s="1" t="s">
        <v>36</v>
      </c>
    </row>
    <row r="1371" spans="1:16" x14ac:dyDescent="0.25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>
        <v>8</v>
      </c>
      <c r="J1371" s="3">
        <v>38371.08</v>
      </c>
      <c r="K1371" s="2">
        <v>6.48</v>
      </c>
      <c r="L1371" s="3">
        <v>287077.07</v>
      </c>
      <c r="M1371">
        <v>46124</v>
      </c>
      <c r="N1371" s="1" t="s">
        <v>45</v>
      </c>
      <c r="O1371" s="1" t="s">
        <v>35</v>
      </c>
      <c r="P1371" s="1" t="s">
        <v>36</v>
      </c>
    </row>
    <row r="1372" spans="1:16" x14ac:dyDescent="0.25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>
        <v>18</v>
      </c>
      <c r="J1372" s="3">
        <v>14492.26</v>
      </c>
      <c r="K1372" s="2">
        <v>16.34</v>
      </c>
      <c r="L1372" s="3">
        <v>218236.04</v>
      </c>
      <c r="M1372">
        <v>46368</v>
      </c>
      <c r="N1372" s="1" t="s">
        <v>113</v>
      </c>
      <c r="O1372" s="1" t="s">
        <v>35</v>
      </c>
      <c r="P1372" s="1" t="s">
        <v>36</v>
      </c>
    </row>
    <row r="1373" spans="1:16" x14ac:dyDescent="0.25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>
        <v>10</v>
      </c>
      <c r="J1373" s="3">
        <v>10625.88</v>
      </c>
      <c r="K1373" s="2">
        <v>4.9800000000000004</v>
      </c>
      <c r="L1373" s="3">
        <v>100967.11</v>
      </c>
      <c r="M1373">
        <v>46297</v>
      </c>
      <c r="N1373" s="1" t="s">
        <v>24</v>
      </c>
      <c r="O1373" s="1" t="s">
        <v>35</v>
      </c>
      <c r="P1373" s="1" t="s">
        <v>36</v>
      </c>
    </row>
    <row r="1374" spans="1:16" x14ac:dyDescent="0.25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>
        <v>50</v>
      </c>
      <c r="J1374" s="3">
        <v>19971.04</v>
      </c>
      <c r="K1374" s="2">
        <v>6.82</v>
      </c>
      <c r="L1374" s="3">
        <v>930450.75</v>
      </c>
      <c r="M1374">
        <v>46369</v>
      </c>
      <c r="N1374" s="1" t="s">
        <v>45</v>
      </c>
      <c r="O1374" s="1" t="s">
        <v>35</v>
      </c>
      <c r="P1374" s="1" t="s">
        <v>53</v>
      </c>
    </row>
    <row r="1375" spans="1:16" x14ac:dyDescent="0.25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>
        <v>21</v>
      </c>
      <c r="J1375" s="3">
        <v>36965.269999999997</v>
      </c>
      <c r="K1375" s="2">
        <v>17.59</v>
      </c>
      <c r="L1375" s="3">
        <v>639724.66</v>
      </c>
      <c r="M1375">
        <v>46307</v>
      </c>
      <c r="N1375" s="1" t="s">
        <v>113</v>
      </c>
      <c r="O1375" s="1" t="s">
        <v>59</v>
      </c>
      <c r="P1375" s="1" t="s">
        <v>53</v>
      </c>
    </row>
    <row r="1376" spans="1:16" x14ac:dyDescent="0.25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>
        <v>18</v>
      </c>
      <c r="J1376" s="3">
        <v>2874.81</v>
      </c>
      <c r="K1376" s="2">
        <v>4.29</v>
      </c>
      <c r="L1376" s="3">
        <v>49526.65</v>
      </c>
      <c r="M1376">
        <v>46179</v>
      </c>
      <c r="N1376" s="1" t="s">
        <v>24</v>
      </c>
      <c r="O1376" s="1" t="s">
        <v>35</v>
      </c>
      <c r="P1376" s="1" t="s">
        <v>53</v>
      </c>
    </row>
    <row r="1377" spans="1:16" x14ac:dyDescent="0.25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>
        <v>32</v>
      </c>
      <c r="J1377" s="3">
        <v>22681.08</v>
      </c>
      <c r="K1377" s="2">
        <v>13.41</v>
      </c>
      <c r="L1377" s="3">
        <v>628465.51</v>
      </c>
      <c r="M1377">
        <v>46049</v>
      </c>
      <c r="N1377" s="1" t="s">
        <v>45</v>
      </c>
      <c r="O1377" s="1" t="s">
        <v>35</v>
      </c>
      <c r="P1377" s="1" t="s">
        <v>53</v>
      </c>
    </row>
    <row r="1378" spans="1:16" x14ac:dyDescent="0.25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>
        <v>8</v>
      </c>
      <c r="J1378" s="3">
        <v>19687.490000000002</v>
      </c>
      <c r="K1378" s="2">
        <v>13.39</v>
      </c>
      <c r="L1378" s="3">
        <v>136410.68</v>
      </c>
      <c r="M1378">
        <v>46102</v>
      </c>
      <c r="N1378" s="1" t="s">
        <v>24</v>
      </c>
      <c r="O1378" s="1" t="s">
        <v>35</v>
      </c>
      <c r="P1378" s="1" t="s">
        <v>26</v>
      </c>
    </row>
    <row r="1379" spans="1:16" x14ac:dyDescent="0.25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>
        <v>30</v>
      </c>
      <c r="J1379" s="3">
        <v>13527.21</v>
      </c>
      <c r="K1379" s="2">
        <v>17.829999999999998</v>
      </c>
      <c r="L1379" s="3">
        <v>333459.25</v>
      </c>
      <c r="M1379">
        <v>46288</v>
      </c>
      <c r="N1379" s="1" t="s">
        <v>58</v>
      </c>
      <c r="O1379" s="1" t="s">
        <v>35</v>
      </c>
      <c r="P1379" s="1" t="s">
        <v>26</v>
      </c>
    </row>
    <row r="1380" spans="1:16" x14ac:dyDescent="0.25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>
        <v>36</v>
      </c>
      <c r="J1380" s="3">
        <v>11138.05</v>
      </c>
      <c r="K1380" s="2">
        <v>4.63</v>
      </c>
      <c r="L1380" s="3">
        <v>382404.9</v>
      </c>
      <c r="M1380">
        <v>46286</v>
      </c>
      <c r="N1380" s="1" t="s">
        <v>68</v>
      </c>
      <c r="O1380" s="1" t="s">
        <v>35</v>
      </c>
      <c r="P1380" s="1" t="s">
        <v>36</v>
      </c>
    </row>
    <row r="1381" spans="1:16" x14ac:dyDescent="0.25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>
        <v>23</v>
      </c>
      <c r="J1381" s="3">
        <v>31734.73</v>
      </c>
      <c r="K1381" s="2">
        <v>1.99</v>
      </c>
      <c r="L1381" s="3">
        <v>715373.8</v>
      </c>
      <c r="M1381">
        <v>46158</v>
      </c>
      <c r="N1381" s="1" t="s">
        <v>113</v>
      </c>
      <c r="O1381" s="1" t="s">
        <v>35</v>
      </c>
      <c r="P1381" s="1" t="s">
        <v>26</v>
      </c>
    </row>
    <row r="1382" spans="1:16" x14ac:dyDescent="0.25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>
        <v>4</v>
      </c>
      <c r="J1382" s="3">
        <v>7368.52</v>
      </c>
      <c r="K1382" s="2">
        <v>2.4300000000000002</v>
      </c>
      <c r="L1382" s="3">
        <v>28757.86</v>
      </c>
      <c r="M1382">
        <v>46083</v>
      </c>
      <c r="N1382" s="1" t="s">
        <v>68</v>
      </c>
      <c r="O1382" s="1" t="s">
        <v>35</v>
      </c>
      <c r="P1382" s="1" t="s">
        <v>26</v>
      </c>
    </row>
    <row r="1383" spans="1:16" x14ac:dyDescent="0.25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>
        <v>28</v>
      </c>
      <c r="J1383" s="3">
        <v>23899.5</v>
      </c>
      <c r="K1383" s="2">
        <v>3.97</v>
      </c>
      <c r="L1383" s="3">
        <v>642619.31999999995</v>
      </c>
      <c r="M1383">
        <v>46214</v>
      </c>
      <c r="N1383" s="1" t="s">
        <v>58</v>
      </c>
      <c r="O1383" s="1" t="s">
        <v>35</v>
      </c>
      <c r="P1383" s="1" t="s">
        <v>36</v>
      </c>
    </row>
    <row r="1384" spans="1:16" x14ac:dyDescent="0.25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>
        <v>40</v>
      </c>
      <c r="J1384" s="3">
        <v>29951.22</v>
      </c>
      <c r="K1384" s="2">
        <v>9.41</v>
      </c>
      <c r="L1384" s="3">
        <v>1085312.4099999999</v>
      </c>
      <c r="M1384">
        <v>46031</v>
      </c>
      <c r="N1384" s="1" t="s">
        <v>45</v>
      </c>
      <c r="O1384" s="1" t="s">
        <v>35</v>
      </c>
      <c r="P1384" s="1" t="s">
        <v>36</v>
      </c>
    </row>
    <row r="1385" spans="1:16" x14ac:dyDescent="0.25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>
        <v>34</v>
      </c>
      <c r="J1385" s="3">
        <v>48229.279999999999</v>
      </c>
      <c r="K1385" s="2">
        <v>7.4</v>
      </c>
      <c r="L1385" s="3">
        <v>1518450.65</v>
      </c>
      <c r="M1385">
        <v>46352</v>
      </c>
      <c r="N1385" s="1" t="s">
        <v>68</v>
      </c>
      <c r="O1385" s="1" t="s">
        <v>35</v>
      </c>
      <c r="P1385" s="1" t="s">
        <v>26</v>
      </c>
    </row>
    <row r="1386" spans="1:16" x14ac:dyDescent="0.25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>
        <v>43</v>
      </c>
      <c r="J1386" s="3">
        <v>37735.050000000003</v>
      </c>
      <c r="K1386" s="2">
        <v>3.08</v>
      </c>
      <c r="L1386" s="3">
        <v>1572630.85</v>
      </c>
      <c r="M1386">
        <v>46300</v>
      </c>
      <c r="N1386" s="1" t="s">
        <v>113</v>
      </c>
      <c r="O1386" s="1" t="s">
        <v>25</v>
      </c>
      <c r="P1386" s="1" t="s">
        <v>26</v>
      </c>
    </row>
    <row r="1387" spans="1:16" x14ac:dyDescent="0.25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>
        <v>36</v>
      </c>
      <c r="J1387" s="3">
        <v>47695.83</v>
      </c>
      <c r="K1387" s="2">
        <v>9.18</v>
      </c>
      <c r="L1387" s="3">
        <v>1559424.7</v>
      </c>
      <c r="M1387">
        <v>46161</v>
      </c>
      <c r="N1387" s="1" t="s">
        <v>24</v>
      </c>
      <c r="O1387" s="1" t="s">
        <v>35</v>
      </c>
      <c r="P1387" s="1" t="s">
        <v>36</v>
      </c>
    </row>
    <row r="1388" spans="1:16" x14ac:dyDescent="0.25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>
        <v>31</v>
      </c>
      <c r="J1388" s="3">
        <v>16044.57</v>
      </c>
      <c r="K1388" s="2">
        <v>15.1</v>
      </c>
      <c r="L1388" s="3">
        <v>422277.04</v>
      </c>
      <c r="M1388">
        <v>46363</v>
      </c>
      <c r="N1388" s="1" t="s">
        <v>68</v>
      </c>
      <c r="O1388" s="1" t="s">
        <v>35</v>
      </c>
      <c r="P1388" s="1" t="s">
        <v>53</v>
      </c>
    </row>
    <row r="1389" spans="1:16" x14ac:dyDescent="0.25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>
        <v>38</v>
      </c>
      <c r="J1389" s="3">
        <v>46448.07</v>
      </c>
      <c r="K1389" s="2">
        <v>0.13</v>
      </c>
      <c r="L1389" s="3">
        <v>1762732.13</v>
      </c>
      <c r="M1389">
        <v>46286</v>
      </c>
      <c r="N1389" s="1" t="s">
        <v>58</v>
      </c>
      <c r="O1389" s="1" t="s">
        <v>59</v>
      </c>
      <c r="P1389" s="1" t="s">
        <v>53</v>
      </c>
    </row>
    <row r="1390" spans="1:16" x14ac:dyDescent="0.25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>
        <v>22</v>
      </c>
      <c r="J1390" s="3">
        <v>9334.02</v>
      </c>
      <c r="K1390" s="2">
        <v>18.440000000000001</v>
      </c>
      <c r="L1390" s="3">
        <v>167482.19</v>
      </c>
      <c r="M1390">
        <v>46267</v>
      </c>
      <c r="N1390" s="1" t="s">
        <v>113</v>
      </c>
      <c r="O1390" s="1" t="s">
        <v>35</v>
      </c>
      <c r="P1390" s="1" t="s">
        <v>53</v>
      </c>
    </row>
    <row r="1391" spans="1:16" x14ac:dyDescent="0.25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>
        <v>17</v>
      </c>
      <c r="J1391" s="3">
        <v>46799.28</v>
      </c>
      <c r="K1391" s="2">
        <v>3.49</v>
      </c>
      <c r="L1391" s="3">
        <v>767821.75</v>
      </c>
      <c r="M1391">
        <v>46148</v>
      </c>
      <c r="N1391" s="1" t="s">
        <v>24</v>
      </c>
      <c r="O1391" s="1" t="s">
        <v>35</v>
      </c>
      <c r="P1391" s="1" t="s">
        <v>26</v>
      </c>
    </row>
    <row r="1392" spans="1:16" x14ac:dyDescent="0.25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>
        <v>4</v>
      </c>
      <c r="J1392" s="3">
        <v>19160.46</v>
      </c>
      <c r="K1392" s="2">
        <v>15.61</v>
      </c>
      <c r="L1392" s="3">
        <v>64678.05</v>
      </c>
      <c r="M1392">
        <v>46379</v>
      </c>
      <c r="N1392" s="1" t="s">
        <v>68</v>
      </c>
      <c r="O1392" s="1" t="s">
        <v>35</v>
      </c>
      <c r="P1392" s="1" t="s">
        <v>26</v>
      </c>
    </row>
    <row r="1393" spans="1:16" x14ac:dyDescent="0.25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>
        <v>30</v>
      </c>
      <c r="J1393" s="3">
        <v>22003.48</v>
      </c>
      <c r="K1393" s="2">
        <v>7.72</v>
      </c>
      <c r="L1393" s="3">
        <v>609144.34</v>
      </c>
      <c r="M1393">
        <v>46304</v>
      </c>
      <c r="N1393" s="1" t="s">
        <v>45</v>
      </c>
      <c r="O1393" s="1" t="s">
        <v>35</v>
      </c>
      <c r="P1393" s="1" t="s">
        <v>36</v>
      </c>
    </row>
    <row r="1394" spans="1:16" x14ac:dyDescent="0.25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>
        <v>35</v>
      </c>
      <c r="J1394" s="3">
        <v>23296.09</v>
      </c>
      <c r="K1394" s="2">
        <v>14.65</v>
      </c>
      <c r="L1394" s="3">
        <v>695912.45</v>
      </c>
      <c r="M1394">
        <v>46200</v>
      </c>
      <c r="N1394" s="1" t="s">
        <v>113</v>
      </c>
      <c r="O1394" s="1" t="s">
        <v>35</v>
      </c>
      <c r="P1394" s="1" t="s">
        <v>53</v>
      </c>
    </row>
    <row r="1395" spans="1:16" x14ac:dyDescent="0.25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>
        <v>26</v>
      </c>
      <c r="J1395" s="3">
        <v>15004.27</v>
      </c>
      <c r="K1395" s="2">
        <v>14.76</v>
      </c>
      <c r="L1395" s="3">
        <v>332530.63</v>
      </c>
      <c r="M1395">
        <v>46262</v>
      </c>
      <c r="N1395" s="1" t="s">
        <v>45</v>
      </c>
      <c r="O1395" s="1" t="s">
        <v>35</v>
      </c>
      <c r="P1395" s="1" t="s">
        <v>53</v>
      </c>
    </row>
    <row r="1396" spans="1:16" x14ac:dyDescent="0.25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>
        <v>35</v>
      </c>
      <c r="J1396" s="3">
        <v>41692.300000000003</v>
      </c>
      <c r="K1396" s="2">
        <v>7.81</v>
      </c>
      <c r="L1396" s="3">
        <v>1345264.6</v>
      </c>
      <c r="M1396">
        <v>46189</v>
      </c>
      <c r="N1396" s="1" t="s">
        <v>45</v>
      </c>
      <c r="O1396" s="1" t="s">
        <v>35</v>
      </c>
      <c r="P1396" s="1" t="s">
        <v>53</v>
      </c>
    </row>
    <row r="1397" spans="1:16" x14ac:dyDescent="0.25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>
        <v>15</v>
      </c>
      <c r="J1397" s="3">
        <v>10150.16</v>
      </c>
      <c r="K1397" s="2">
        <v>17.47</v>
      </c>
      <c r="L1397" s="3">
        <v>125653.91</v>
      </c>
      <c r="M1397">
        <v>46228</v>
      </c>
      <c r="N1397" s="1" t="s">
        <v>45</v>
      </c>
      <c r="O1397" s="1" t="s">
        <v>59</v>
      </c>
      <c r="P1397" s="1" t="s">
        <v>36</v>
      </c>
    </row>
    <row r="1398" spans="1:16" x14ac:dyDescent="0.25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>
        <v>37</v>
      </c>
      <c r="J1398" s="3">
        <v>22793.18</v>
      </c>
      <c r="K1398" s="2">
        <v>15.51</v>
      </c>
      <c r="L1398" s="3">
        <v>712544.44</v>
      </c>
      <c r="M1398">
        <v>46256</v>
      </c>
      <c r="N1398" s="1" t="s">
        <v>68</v>
      </c>
      <c r="O1398" s="1" t="s">
        <v>35</v>
      </c>
      <c r="P1398" s="1" t="s">
        <v>36</v>
      </c>
    </row>
    <row r="1399" spans="1:16" x14ac:dyDescent="0.25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>
        <v>9</v>
      </c>
      <c r="J1399" s="3">
        <v>24610.46</v>
      </c>
      <c r="K1399" s="2">
        <v>11.15</v>
      </c>
      <c r="L1399" s="3">
        <v>196797.54</v>
      </c>
      <c r="M1399">
        <v>46127</v>
      </c>
      <c r="N1399" s="1" t="s">
        <v>24</v>
      </c>
      <c r="O1399" s="1" t="s">
        <v>35</v>
      </c>
      <c r="P1399" s="1" t="s">
        <v>26</v>
      </c>
    </row>
    <row r="1400" spans="1:16" x14ac:dyDescent="0.25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>
        <v>39</v>
      </c>
      <c r="J1400" s="3">
        <v>43219.98</v>
      </c>
      <c r="K1400" s="2">
        <v>13.9</v>
      </c>
      <c r="L1400" s="3">
        <v>1451283.71</v>
      </c>
      <c r="M1400">
        <v>46137</v>
      </c>
      <c r="N1400" s="1" t="s">
        <v>68</v>
      </c>
      <c r="O1400" s="1" t="s">
        <v>35</v>
      </c>
      <c r="P1400" s="1" t="s">
        <v>26</v>
      </c>
    </row>
    <row r="1401" spans="1:16" x14ac:dyDescent="0.25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>
        <v>23</v>
      </c>
      <c r="J1401" s="3">
        <v>34923.480000000003</v>
      </c>
      <c r="K1401" s="2">
        <v>17.84</v>
      </c>
      <c r="L1401" s="3">
        <v>659942.02</v>
      </c>
      <c r="M1401">
        <v>46061</v>
      </c>
      <c r="N1401" s="1" t="s">
        <v>58</v>
      </c>
      <c r="O1401" s="1" t="s">
        <v>35</v>
      </c>
      <c r="P1401" s="1" t="s">
        <v>53</v>
      </c>
    </row>
    <row r="1402" spans="1:16" x14ac:dyDescent="0.25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>
        <v>31</v>
      </c>
      <c r="J1402" s="3">
        <v>6160.54</v>
      </c>
      <c r="K1402" s="2">
        <v>15.67</v>
      </c>
      <c r="L1402" s="3">
        <v>161050.68</v>
      </c>
      <c r="M1402">
        <v>46375</v>
      </c>
      <c r="N1402" s="1" t="s">
        <v>24</v>
      </c>
      <c r="O1402" s="1" t="s">
        <v>35</v>
      </c>
      <c r="P1402" s="1" t="s">
        <v>53</v>
      </c>
    </row>
    <row r="1403" spans="1:16" x14ac:dyDescent="0.25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>
        <v>17</v>
      </c>
      <c r="J1403" s="3">
        <v>29555.21</v>
      </c>
      <c r="K1403" s="2">
        <v>7.38</v>
      </c>
      <c r="L1403" s="3">
        <v>465358.6</v>
      </c>
      <c r="M1403">
        <v>46363</v>
      </c>
      <c r="N1403" s="1" t="s">
        <v>45</v>
      </c>
      <c r="O1403" s="1" t="s">
        <v>35</v>
      </c>
      <c r="P1403" s="1" t="s">
        <v>36</v>
      </c>
    </row>
    <row r="1404" spans="1:16" x14ac:dyDescent="0.25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>
        <v>34</v>
      </c>
      <c r="J1404" s="3">
        <v>15735.18</v>
      </c>
      <c r="K1404" s="2">
        <v>3.91</v>
      </c>
      <c r="L1404" s="3">
        <v>514077.77</v>
      </c>
      <c r="M1404">
        <v>46358</v>
      </c>
      <c r="N1404" s="1" t="s">
        <v>68</v>
      </c>
      <c r="O1404" s="1" t="s">
        <v>35</v>
      </c>
      <c r="P1404" s="1" t="s">
        <v>36</v>
      </c>
    </row>
    <row r="1405" spans="1:16" x14ac:dyDescent="0.25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>
        <v>33</v>
      </c>
      <c r="J1405" s="3">
        <v>33668.800000000003</v>
      </c>
      <c r="K1405" s="2">
        <v>17.29</v>
      </c>
      <c r="L1405" s="3">
        <v>918966.33</v>
      </c>
      <c r="M1405">
        <v>46334</v>
      </c>
      <c r="N1405" s="1" t="s">
        <v>68</v>
      </c>
      <c r="O1405" s="1" t="s">
        <v>35</v>
      </c>
      <c r="P1405" s="1" t="s">
        <v>53</v>
      </c>
    </row>
    <row r="1406" spans="1:16" x14ac:dyDescent="0.25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>
        <v>17</v>
      </c>
      <c r="J1406" s="3">
        <v>19980.48</v>
      </c>
      <c r="K1406" s="2">
        <v>12.27</v>
      </c>
      <c r="L1406" s="3">
        <v>297990.88</v>
      </c>
      <c r="M1406">
        <v>46292</v>
      </c>
      <c r="N1406" s="1" t="s">
        <v>24</v>
      </c>
      <c r="O1406" s="1" t="s">
        <v>25</v>
      </c>
      <c r="P1406" s="1" t="s">
        <v>53</v>
      </c>
    </row>
    <row r="1407" spans="1:16" x14ac:dyDescent="0.25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>
        <v>50</v>
      </c>
      <c r="J1407" s="3">
        <v>13657.95</v>
      </c>
      <c r="K1407" s="2">
        <v>6.63</v>
      </c>
      <c r="L1407" s="3">
        <v>637621.4</v>
      </c>
      <c r="M1407">
        <v>46298</v>
      </c>
      <c r="N1407" s="1" t="s">
        <v>45</v>
      </c>
      <c r="O1407" s="1" t="s">
        <v>35</v>
      </c>
      <c r="P1407" s="1" t="s">
        <v>26</v>
      </c>
    </row>
    <row r="1408" spans="1:16" x14ac:dyDescent="0.25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>
        <v>50</v>
      </c>
      <c r="J1408" s="3">
        <v>12684.12</v>
      </c>
      <c r="K1408" s="2">
        <v>11.4</v>
      </c>
      <c r="L1408" s="3">
        <v>561906.52</v>
      </c>
      <c r="M1408">
        <v>46355</v>
      </c>
      <c r="N1408" s="1" t="s">
        <v>45</v>
      </c>
      <c r="O1408" s="1" t="s">
        <v>35</v>
      </c>
      <c r="P1408" s="1" t="s">
        <v>53</v>
      </c>
    </row>
    <row r="1409" spans="1:16" x14ac:dyDescent="0.25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>
        <v>31</v>
      </c>
      <c r="J1409" s="3">
        <v>31170.66</v>
      </c>
      <c r="K1409" s="2">
        <v>6.36</v>
      </c>
      <c r="L1409" s="3">
        <v>904834.39</v>
      </c>
      <c r="M1409">
        <v>46304</v>
      </c>
      <c r="N1409" s="1" t="s">
        <v>24</v>
      </c>
      <c r="O1409" s="1" t="s">
        <v>35</v>
      </c>
      <c r="P1409" s="1" t="s">
        <v>53</v>
      </c>
    </row>
    <row r="1410" spans="1:16" x14ac:dyDescent="0.25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>
        <v>28</v>
      </c>
      <c r="J1410" s="3">
        <v>15601.02</v>
      </c>
      <c r="K1410" s="2">
        <v>3.36</v>
      </c>
      <c r="L1410" s="3">
        <v>422151.12</v>
      </c>
      <c r="M1410">
        <v>46100</v>
      </c>
      <c r="N1410" s="1" t="s">
        <v>68</v>
      </c>
      <c r="O1410" s="1" t="s">
        <v>35</v>
      </c>
      <c r="P1410" s="1" t="s">
        <v>53</v>
      </c>
    </row>
    <row r="1411" spans="1:16" x14ac:dyDescent="0.25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>
        <v>34</v>
      </c>
      <c r="J1411" s="3">
        <v>17999.79</v>
      </c>
      <c r="K1411" s="2">
        <v>19.36</v>
      </c>
      <c r="L1411" s="3">
        <v>493511.04</v>
      </c>
      <c r="M1411">
        <v>46184</v>
      </c>
      <c r="N1411" s="1" t="s">
        <v>68</v>
      </c>
      <c r="O1411" s="1" t="s">
        <v>35</v>
      </c>
      <c r="P1411" s="1" t="s">
        <v>26</v>
      </c>
    </row>
    <row r="1412" spans="1:16" x14ac:dyDescent="0.25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>
        <v>17</v>
      </c>
      <c r="J1412" s="3">
        <v>10283.719999999999</v>
      </c>
      <c r="K1412" s="2">
        <v>17.3</v>
      </c>
      <c r="L1412" s="3">
        <v>144578.82</v>
      </c>
      <c r="M1412">
        <v>46131</v>
      </c>
      <c r="N1412" s="1" t="s">
        <v>45</v>
      </c>
      <c r="O1412" s="1" t="s">
        <v>35</v>
      </c>
      <c r="P1412" s="1" t="s">
        <v>36</v>
      </c>
    </row>
    <row r="1413" spans="1:16" x14ac:dyDescent="0.25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>
        <v>13</v>
      </c>
      <c r="J1413" s="3">
        <v>37874.769999999997</v>
      </c>
      <c r="K1413" s="2">
        <v>1.1000000000000001</v>
      </c>
      <c r="L1413" s="3">
        <v>486955.92</v>
      </c>
      <c r="M1413">
        <v>46195</v>
      </c>
      <c r="N1413" s="1" t="s">
        <v>45</v>
      </c>
      <c r="O1413" s="1" t="s">
        <v>35</v>
      </c>
      <c r="P1413" s="1" t="s">
        <v>26</v>
      </c>
    </row>
    <row r="1414" spans="1:16" x14ac:dyDescent="0.25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>
        <v>33</v>
      </c>
      <c r="J1414" s="3">
        <v>36327.69</v>
      </c>
      <c r="K1414" s="2">
        <v>5.97</v>
      </c>
      <c r="L1414" s="3">
        <v>1127244.5900000001</v>
      </c>
      <c r="M1414">
        <v>46026</v>
      </c>
      <c r="N1414" s="1" t="s">
        <v>68</v>
      </c>
      <c r="O1414" s="1" t="s">
        <v>35</v>
      </c>
      <c r="P1414" s="1" t="s">
        <v>53</v>
      </c>
    </row>
    <row r="1415" spans="1:16" x14ac:dyDescent="0.25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>
        <v>29</v>
      </c>
      <c r="J1415" s="3">
        <v>20554.919999999998</v>
      </c>
      <c r="K1415" s="2">
        <v>10.97</v>
      </c>
      <c r="L1415" s="3">
        <v>530701.31000000006</v>
      </c>
      <c r="M1415">
        <v>46314</v>
      </c>
      <c r="N1415" s="1" t="s">
        <v>24</v>
      </c>
      <c r="O1415" s="1" t="s">
        <v>35</v>
      </c>
      <c r="P1415" s="1" t="s">
        <v>26</v>
      </c>
    </row>
    <row r="1416" spans="1:16" x14ac:dyDescent="0.25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>
        <v>10</v>
      </c>
      <c r="J1416" s="3">
        <v>20993.18</v>
      </c>
      <c r="K1416" s="2">
        <v>2.54</v>
      </c>
      <c r="L1416" s="3">
        <v>204599.53</v>
      </c>
      <c r="M1416">
        <v>46128</v>
      </c>
      <c r="N1416" s="1" t="s">
        <v>113</v>
      </c>
      <c r="O1416" s="1" t="s">
        <v>35</v>
      </c>
      <c r="P1416" s="1" t="s">
        <v>53</v>
      </c>
    </row>
    <row r="1417" spans="1:16" x14ac:dyDescent="0.25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>
        <v>10</v>
      </c>
      <c r="J1417" s="3">
        <v>49019.51</v>
      </c>
      <c r="K1417" s="2">
        <v>15.62</v>
      </c>
      <c r="L1417" s="3">
        <v>413626.63</v>
      </c>
      <c r="M1417">
        <v>46032</v>
      </c>
      <c r="N1417" s="1" t="s">
        <v>45</v>
      </c>
      <c r="O1417" s="1" t="s">
        <v>35</v>
      </c>
      <c r="P1417" s="1" t="s">
        <v>53</v>
      </c>
    </row>
    <row r="1418" spans="1:16" x14ac:dyDescent="0.25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>
        <v>35</v>
      </c>
      <c r="J1418" s="3">
        <v>16986.62</v>
      </c>
      <c r="K1418" s="2">
        <v>18.12</v>
      </c>
      <c r="L1418" s="3">
        <v>486802.56</v>
      </c>
      <c r="M1418">
        <v>46158</v>
      </c>
      <c r="N1418" s="1" t="s">
        <v>24</v>
      </c>
      <c r="O1418" s="1" t="s">
        <v>35</v>
      </c>
      <c r="P1418" s="1" t="s">
        <v>53</v>
      </c>
    </row>
    <row r="1419" spans="1:16" x14ac:dyDescent="0.25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>
        <v>3</v>
      </c>
      <c r="J1419" s="3">
        <v>47943.27</v>
      </c>
      <c r="K1419" s="2">
        <v>9.8699999999999992</v>
      </c>
      <c r="L1419" s="3">
        <v>129633.81</v>
      </c>
      <c r="M1419">
        <v>46266</v>
      </c>
      <c r="N1419" s="1" t="s">
        <v>24</v>
      </c>
      <c r="O1419" s="1" t="s">
        <v>35</v>
      </c>
      <c r="P1419" s="1" t="s">
        <v>53</v>
      </c>
    </row>
    <row r="1420" spans="1:16" x14ac:dyDescent="0.25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>
        <v>13</v>
      </c>
      <c r="J1420" s="3">
        <v>47579.47</v>
      </c>
      <c r="K1420" s="2">
        <v>15.44</v>
      </c>
      <c r="L1420" s="3">
        <v>523031.6</v>
      </c>
      <c r="M1420">
        <v>46376</v>
      </c>
      <c r="N1420" s="1" t="s">
        <v>45</v>
      </c>
      <c r="O1420" s="1" t="s">
        <v>35</v>
      </c>
      <c r="P1420" s="1" t="s">
        <v>26</v>
      </c>
    </row>
    <row r="1421" spans="1:16" x14ac:dyDescent="0.25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>
        <v>30</v>
      </c>
      <c r="J1421" s="3">
        <v>38335.25</v>
      </c>
      <c r="K1421" s="2">
        <v>6.52</v>
      </c>
      <c r="L1421" s="3">
        <v>1075073.75</v>
      </c>
      <c r="M1421">
        <v>46155</v>
      </c>
      <c r="N1421" s="1" t="s">
        <v>58</v>
      </c>
      <c r="O1421" s="1" t="s">
        <v>35</v>
      </c>
      <c r="P1421" s="1" t="s">
        <v>53</v>
      </c>
    </row>
    <row r="1422" spans="1:16" x14ac:dyDescent="0.25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>
        <v>48</v>
      </c>
      <c r="J1422" s="3">
        <v>15578.99</v>
      </c>
      <c r="K1422" s="2">
        <v>5.15</v>
      </c>
      <c r="L1422" s="3">
        <v>709280.26</v>
      </c>
      <c r="M1422">
        <v>46276</v>
      </c>
      <c r="N1422" s="1" t="s">
        <v>113</v>
      </c>
      <c r="O1422" s="1" t="s">
        <v>35</v>
      </c>
      <c r="P1422" s="1" t="s">
        <v>36</v>
      </c>
    </row>
    <row r="1423" spans="1:16" x14ac:dyDescent="0.25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>
        <v>1</v>
      </c>
      <c r="J1423" s="3">
        <v>21475.33</v>
      </c>
      <c r="K1423" s="2">
        <v>15.66</v>
      </c>
      <c r="L1423" s="3">
        <v>18112.29</v>
      </c>
      <c r="M1423">
        <v>46377</v>
      </c>
      <c r="N1423" s="1" t="s">
        <v>45</v>
      </c>
      <c r="O1423" s="1" t="s">
        <v>35</v>
      </c>
      <c r="P1423" s="1" t="s">
        <v>53</v>
      </c>
    </row>
    <row r="1424" spans="1:16" x14ac:dyDescent="0.25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>
        <v>26</v>
      </c>
      <c r="J1424" s="3">
        <v>33654.28</v>
      </c>
      <c r="K1424" s="2">
        <v>14.18</v>
      </c>
      <c r="L1424" s="3">
        <v>750934.68</v>
      </c>
      <c r="M1424">
        <v>46295</v>
      </c>
      <c r="N1424" s="1" t="s">
        <v>68</v>
      </c>
      <c r="O1424" s="1" t="s">
        <v>35</v>
      </c>
      <c r="P1424" s="1" t="s">
        <v>53</v>
      </c>
    </row>
    <row r="1425" spans="1:16" x14ac:dyDescent="0.25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>
        <v>45</v>
      </c>
      <c r="J1425" s="3">
        <v>14977.03</v>
      </c>
      <c r="K1425" s="2">
        <v>7.8</v>
      </c>
      <c r="L1425" s="3">
        <v>621396.97</v>
      </c>
      <c r="M1425">
        <v>46344</v>
      </c>
      <c r="N1425" s="1" t="s">
        <v>45</v>
      </c>
      <c r="O1425" s="1" t="s">
        <v>35</v>
      </c>
      <c r="P1425" s="1" t="s">
        <v>26</v>
      </c>
    </row>
    <row r="1426" spans="1:16" x14ac:dyDescent="0.25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>
        <v>27</v>
      </c>
      <c r="J1426" s="3">
        <v>32666.97</v>
      </c>
      <c r="K1426" s="2">
        <v>9.82</v>
      </c>
      <c r="L1426" s="3">
        <v>795394.99</v>
      </c>
      <c r="M1426">
        <v>46104</v>
      </c>
      <c r="N1426" s="1" t="s">
        <v>68</v>
      </c>
      <c r="O1426" s="1" t="s">
        <v>35</v>
      </c>
      <c r="P1426" s="1" t="s">
        <v>36</v>
      </c>
    </row>
    <row r="1427" spans="1:16" x14ac:dyDescent="0.25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>
        <v>21</v>
      </c>
      <c r="J1427" s="3">
        <v>12948.18</v>
      </c>
      <c r="K1427" s="2">
        <v>17.32</v>
      </c>
      <c r="L1427" s="3">
        <v>224816.66</v>
      </c>
      <c r="M1427">
        <v>46369</v>
      </c>
      <c r="N1427" s="1" t="s">
        <v>68</v>
      </c>
      <c r="O1427" s="1" t="s">
        <v>35</v>
      </c>
      <c r="P1427" s="1" t="s">
        <v>53</v>
      </c>
    </row>
    <row r="1428" spans="1:16" x14ac:dyDescent="0.25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>
        <v>5</v>
      </c>
      <c r="J1428" s="3">
        <v>11083.93</v>
      </c>
      <c r="K1428" s="2">
        <v>15.94</v>
      </c>
      <c r="L1428" s="3">
        <v>46585.760000000002</v>
      </c>
      <c r="M1428">
        <v>46351</v>
      </c>
      <c r="N1428" s="1" t="s">
        <v>113</v>
      </c>
      <c r="O1428" s="1" t="s">
        <v>35</v>
      </c>
      <c r="P1428" s="1" t="s">
        <v>36</v>
      </c>
    </row>
    <row r="1429" spans="1:16" x14ac:dyDescent="0.25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>
        <v>37</v>
      </c>
      <c r="J1429" s="3">
        <v>9790.7800000000007</v>
      </c>
      <c r="K1429" s="2">
        <v>9.89</v>
      </c>
      <c r="L1429" s="3">
        <v>326431.46000000002</v>
      </c>
      <c r="M1429">
        <v>46168</v>
      </c>
      <c r="N1429" s="1" t="s">
        <v>45</v>
      </c>
      <c r="O1429" s="1" t="s">
        <v>35</v>
      </c>
      <c r="P1429" s="1" t="s">
        <v>36</v>
      </c>
    </row>
    <row r="1430" spans="1:16" x14ac:dyDescent="0.25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>
        <v>22</v>
      </c>
      <c r="J1430" s="3">
        <v>1991.5</v>
      </c>
      <c r="K1430" s="2">
        <v>3.31</v>
      </c>
      <c r="L1430" s="3">
        <v>42362.79</v>
      </c>
      <c r="M1430">
        <v>46191</v>
      </c>
      <c r="N1430" s="1" t="s">
        <v>113</v>
      </c>
      <c r="O1430" s="1" t="s">
        <v>35</v>
      </c>
      <c r="P1430" s="1" t="s">
        <v>53</v>
      </c>
    </row>
    <row r="1431" spans="1:16" x14ac:dyDescent="0.25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>
        <v>9</v>
      </c>
      <c r="J1431" s="3">
        <v>17879.89</v>
      </c>
      <c r="K1431" s="2">
        <v>3.68</v>
      </c>
      <c r="L1431" s="3">
        <v>154997.19</v>
      </c>
      <c r="M1431">
        <v>46359</v>
      </c>
      <c r="N1431" s="1" t="s">
        <v>24</v>
      </c>
      <c r="O1431" s="1" t="s">
        <v>35</v>
      </c>
      <c r="P1431" s="1" t="s">
        <v>26</v>
      </c>
    </row>
    <row r="1432" spans="1:16" x14ac:dyDescent="0.25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>
        <v>36</v>
      </c>
      <c r="J1432" s="3">
        <v>49054.57</v>
      </c>
      <c r="K1432" s="2">
        <v>15.48</v>
      </c>
      <c r="L1432" s="3">
        <v>1492593.21</v>
      </c>
      <c r="M1432">
        <v>46306</v>
      </c>
      <c r="N1432" s="1" t="s">
        <v>24</v>
      </c>
      <c r="O1432" s="1" t="s">
        <v>35</v>
      </c>
      <c r="P1432" s="1" t="s">
        <v>53</v>
      </c>
    </row>
    <row r="1433" spans="1:16" x14ac:dyDescent="0.25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>
        <v>29</v>
      </c>
      <c r="J1433" s="3">
        <v>26274.34</v>
      </c>
      <c r="K1433" s="2">
        <v>10.85</v>
      </c>
      <c r="L1433" s="3">
        <v>679283.65</v>
      </c>
      <c r="M1433">
        <v>46184</v>
      </c>
      <c r="N1433" s="1" t="s">
        <v>58</v>
      </c>
      <c r="O1433" s="1" t="s">
        <v>35</v>
      </c>
      <c r="P1433" s="1" t="s">
        <v>36</v>
      </c>
    </row>
    <row r="1434" spans="1:16" x14ac:dyDescent="0.25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>
        <v>24</v>
      </c>
      <c r="J1434" s="3">
        <v>25738.22</v>
      </c>
      <c r="K1434" s="2">
        <v>4.4800000000000004</v>
      </c>
      <c r="L1434" s="3">
        <v>590043.55000000005</v>
      </c>
      <c r="M1434">
        <v>46257</v>
      </c>
      <c r="N1434" s="1" t="s">
        <v>113</v>
      </c>
      <c r="O1434" s="1" t="s">
        <v>35</v>
      </c>
      <c r="P1434" s="1" t="s">
        <v>53</v>
      </c>
    </row>
    <row r="1435" spans="1:16" x14ac:dyDescent="0.25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>
        <v>44</v>
      </c>
      <c r="J1435" s="3">
        <v>49618.86</v>
      </c>
      <c r="K1435" s="2">
        <v>8.83</v>
      </c>
      <c r="L1435" s="3">
        <v>1990450.65</v>
      </c>
      <c r="M1435">
        <v>46221</v>
      </c>
      <c r="N1435" s="1" t="s">
        <v>68</v>
      </c>
      <c r="O1435" s="1" t="s">
        <v>35</v>
      </c>
      <c r="P1435" s="1" t="s">
        <v>26</v>
      </c>
    </row>
    <row r="1436" spans="1:16" x14ac:dyDescent="0.25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>
        <v>41</v>
      </c>
      <c r="J1436" s="3">
        <v>34695.97</v>
      </c>
      <c r="K1436" s="2">
        <v>3.34</v>
      </c>
      <c r="L1436" s="3">
        <v>1375022.11</v>
      </c>
      <c r="M1436">
        <v>46300</v>
      </c>
      <c r="N1436" s="1" t="s">
        <v>113</v>
      </c>
      <c r="O1436" s="1" t="s">
        <v>35</v>
      </c>
      <c r="P1436" s="1" t="s">
        <v>26</v>
      </c>
    </row>
    <row r="1437" spans="1:16" x14ac:dyDescent="0.25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>
        <v>13</v>
      </c>
      <c r="J1437" s="3">
        <v>27593.33</v>
      </c>
      <c r="K1437" s="2">
        <v>18.579999999999998</v>
      </c>
      <c r="L1437" s="3">
        <v>292064.36</v>
      </c>
      <c r="M1437">
        <v>46242</v>
      </c>
      <c r="N1437" s="1" t="s">
        <v>58</v>
      </c>
      <c r="O1437" s="1" t="s">
        <v>35</v>
      </c>
      <c r="P1437" s="1" t="s">
        <v>26</v>
      </c>
    </row>
    <row r="1438" spans="1:16" x14ac:dyDescent="0.25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>
        <v>7</v>
      </c>
      <c r="J1438" s="3">
        <v>28481.82</v>
      </c>
      <c r="K1438" s="2">
        <v>10.53</v>
      </c>
      <c r="L1438" s="3">
        <v>178378.79</v>
      </c>
      <c r="M1438">
        <v>46101</v>
      </c>
      <c r="N1438" s="1" t="s">
        <v>45</v>
      </c>
      <c r="O1438" s="1" t="s">
        <v>35</v>
      </c>
      <c r="P1438" s="1" t="s">
        <v>36</v>
      </c>
    </row>
    <row r="1439" spans="1:16" x14ac:dyDescent="0.25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>
        <v>47</v>
      </c>
      <c r="J1439" s="3">
        <v>4368.01</v>
      </c>
      <c r="K1439" s="2">
        <v>19.79</v>
      </c>
      <c r="L1439" s="3">
        <v>164668.29999999999</v>
      </c>
      <c r="M1439">
        <v>46044</v>
      </c>
      <c r="N1439" s="1" t="s">
        <v>113</v>
      </c>
      <c r="O1439" s="1" t="s">
        <v>35</v>
      </c>
      <c r="P1439" s="1" t="s">
        <v>53</v>
      </c>
    </row>
    <row r="1440" spans="1:16" x14ac:dyDescent="0.25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>
        <v>19</v>
      </c>
      <c r="J1440" s="3">
        <v>26748.37</v>
      </c>
      <c r="K1440" s="2">
        <v>11.19</v>
      </c>
      <c r="L1440" s="3">
        <v>451349.32</v>
      </c>
      <c r="M1440">
        <v>46155</v>
      </c>
      <c r="N1440" s="1" t="s">
        <v>68</v>
      </c>
      <c r="O1440" s="1" t="s">
        <v>35</v>
      </c>
      <c r="P1440" s="1" t="s">
        <v>36</v>
      </c>
    </row>
    <row r="1441" spans="1:16" x14ac:dyDescent="0.25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>
        <v>2</v>
      </c>
      <c r="J1441" s="3">
        <v>23888.87</v>
      </c>
      <c r="K1441" s="2">
        <v>3.67</v>
      </c>
      <c r="L1441" s="3">
        <v>46024.3</v>
      </c>
      <c r="M1441">
        <v>46280</v>
      </c>
      <c r="N1441" s="1" t="s">
        <v>113</v>
      </c>
      <c r="O1441" s="1" t="s">
        <v>35</v>
      </c>
      <c r="P1441" s="1" t="s">
        <v>53</v>
      </c>
    </row>
    <row r="1442" spans="1:16" x14ac:dyDescent="0.25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>
        <v>6</v>
      </c>
      <c r="J1442" s="3">
        <v>38537.160000000003</v>
      </c>
      <c r="K1442" s="2">
        <v>16.91</v>
      </c>
      <c r="L1442" s="3">
        <v>192123.16</v>
      </c>
      <c r="M1442">
        <v>46336</v>
      </c>
      <c r="N1442" s="1" t="s">
        <v>45</v>
      </c>
      <c r="O1442" s="1" t="s">
        <v>35</v>
      </c>
      <c r="P1442" s="1" t="s">
        <v>53</v>
      </c>
    </row>
    <row r="1443" spans="1:16" x14ac:dyDescent="0.25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>
        <v>40</v>
      </c>
      <c r="J1443" s="3">
        <v>44948.4</v>
      </c>
      <c r="K1443" s="2">
        <v>3.46</v>
      </c>
      <c r="L1443" s="3">
        <v>1735727.41</v>
      </c>
      <c r="M1443">
        <v>46128</v>
      </c>
      <c r="N1443" s="1" t="s">
        <v>58</v>
      </c>
      <c r="O1443" s="1" t="s">
        <v>35</v>
      </c>
      <c r="P1443" s="1" t="s">
        <v>26</v>
      </c>
    </row>
    <row r="1444" spans="1:16" x14ac:dyDescent="0.25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>
        <v>50</v>
      </c>
      <c r="J1444" s="3">
        <v>26820.32</v>
      </c>
      <c r="K1444" s="2">
        <v>7.56</v>
      </c>
      <c r="L1444" s="3">
        <v>1239635.19</v>
      </c>
      <c r="M1444">
        <v>46248</v>
      </c>
      <c r="N1444" s="1" t="s">
        <v>68</v>
      </c>
      <c r="O1444" s="1" t="s">
        <v>35</v>
      </c>
      <c r="P1444" s="1" t="s">
        <v>26</v>
      </c>
    </row>
    <row r="1445" spans="1:16" x14ac:dyDescent="0.25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>
        <v>16</v>
      </c>
      <c r="J1445" s="3">
        <v>46288.480000000003</v>
      </c>
      <c r="K1445" s="2">
        <v>13.14</v>
      </c>
      <c r="L1445" s="3">
        <v>643298.78</v>
      </c>
      <c r="M1445">
        <v>46316</v>
      </c>
      <c r="N1445" s="1" t="s">
        <v>58</v>
      </c>
      <c r="O1445" s="1" t="s">
        <v>35</v>
      </c>
      <c r="P1445" s="1" t="s">
        <v>53</v>
      </c>
    </row>
    <row r="1446" spans="1:16" x14ac:dyDescent="0.25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>
        <v>25</v>
      </c>
      <c r="J1446" s="3">
        <v>12921.03</v>
      </c>
      <c r="K1446" s="2">
        <v>2.93</v>
      </c>
      <c r="L1446" s="3">
        <v>313561.09999999998</v>
      </c>
      <c r="M1446">
        <v>46341</v>
      </c>
      <c r="N1446" s="1" t="s">
        <v>113</v>
      </c>
      <c r="O1446" s="1" t="s">
        <v>35</v>
      </c>
      <c r="P1446" s="1" t="s">
        <v>53</v>
      </c>
    </row>
    <row r="1447" spans="1:16" x14ac:dyDescent="0.25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>
        <v>50</v>
      </c>
      <c r="J1447" s="3">
        <v>40378.26</v>
      </c>
      <c r="K1447" s="2">
        <v>14.58</v>
      </c>
      <c r="L1447" s="3">
        <v>1724555.48</v>
      </c>
      <c r="M1447">
        <v>46254</v>
      </c>
      <c r="N1447" s="1" t="s">
        <v>24</v>
      </c>
      <c r="O1447" s="1" t="s">
        <v>25</v>
      </c>
      <c r="P1447" s="1" t="s">
        <v>26</v>
      </c>
    </row>
    <row r="1448" spans="1:16" x14ac:dyDescent="0.25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>
        <v>44</v>
      </c>
      <c r="J1448" s="3">
        <v>8895.4</v>
      </c>
      <c r="K1448" s="2">
        <v>5.86</v>
      </c>
      <c r="L1448" s="3">
        <v>368461.7</v>
      </c>
      <c r="M1448">
        <v>46359</v>
      </c>
      <c r="N1448" s="1" t="s">
        <v>68</v>
      </c>
      <c r="O1448" s="1" t="s">
        <v>35</v>
      </c>
      <c r="P1448" s="1" t="s">
        <v>53</v>
      </c>
    </row>
    <row r="1449" spans="1:16" x14ac:dyDescent="0.25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>
        <v>22</v>
      </c>
      <c r="J1449" s="3">
        <v>24123.08</v>
      </c>
      <c r="K1449" s="2">
        <v>6.86</v>
      </c>
      <c r="L1449" s="3">
        <v>494301.21</v>
      </c>
      <c r="M1449">
        <v>46112</v>
      </c>
      <c r="N1449" s="1" t="s">
        <v>58</v>
      </c>
      <c r="O1449" s="1" t="s">
        <v>59</v>
      </c>
      <c r="P1449" s="1" t="s">
        <v>36</v>
      </c>
    </row>
    <row r="1450" spans="1:16" x14ac:dyDescent="0.25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>
        <v>33</v>
      </c>
      <c r="J1450" s="3">
        <v>6021.76</v>
      </c>
      <c r="K1450" s="2">
        <v>16.23</v>
      </c>
      <c r="L1450" s="3">
        <v>166466.14000000001</v>
      </c>
      <c r="M1450">
        <v>46092</v>
      </c>
      <c r="N1450" s="1" t="s">
        <v>113</v>
      </c>
      <c r="O1450" s="1" t="s">
        <v>35</v>
      </c>
      <c r="P1450" s="1" t="s">
        <v>26</v>
      </c>
    </row>
    <row r="1451" spans="1:16" x14ac:dyDescent="0.25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>
        <v>19</v>
      </c>
      <c r="J1451" s="3">
        <v>27690.1</v>
      </c>
      <c r="K1451" s="2">
        <v>18.04</v>
      </c>
      <c r="L1451" s="3">
        <v>431201.31</v>
      </c>
      <c r="M1451">
        <v>46129</v>
      </c>
      <c r="N1451" s="1" t="s">
        <v>58</v>
      </c>
      <c r="O1451" s="1" t="s">
        <v>35</v>
      </c>
      <c r="P1451" s="1" t="s">
        <v>36</v>
      </c>
    </row>
    <row r="1452" spans="1:16" x14ac:dyDescent="0.25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>
        <v>36</v>
      </c>
      <c r="J1452" s="3">
        <v>37133.54</v>
      </c>
      <c r="K1452" s="2">
        <v>16.34</v>
      </c>
      <c r="L1452" s="3">
        <v>1118373.1000000001</v>
      </c>
      <c r="M1452">
        <v>46134</v>
      </c>
      <c r="N1452" s="1" t="s">
        <v>58</v>
      </c>
      <c r="O1452" s="1" t="s">
        <v>25</v>
      </c>
      <c r="P1452" s="1" t="s">
        <v>26</v>
      </c>
    </row>
    <row r="1453" spans="1:16" x14ac:dyDescent="0.25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>
        <v>34</v>
      </c>
      <c r="J1453" s="3">
        <v>43074.3</v>
      </c>
      <c r="K1453" s="2">
        <v>11.21</v>
      </c>
      <c r="L1453" s="3">
        <v>1300352.81</v>
      </c>
      <c r="M1453">
        <v>46110</v>
      </c>
      <c r="N1453" s="1" t="s">
        <v>45</v>
      </c>
      <c r="O1453" s="1" t="s">
        <v>35</v>
      </c>
      <c r="P1453" s="1" t="s">
        <v>53</v>
      </c>
    </row>
    <row r="1454" spans="1:16" x14ac:dyDescent="0.25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>
        <v>12</v>
      </c>
      <c r="J1454" s="3">
        <v>21242.77</v>
      </c>
      <c r="K1454" s="2">
        <v>15.67</v>
      </c>
      <c r="L1454" s="3">
        <v>214968.34</v>
      </c>
      <c r="M1454">
        <v>46063</v>
      </c>
      <c r="N1454" s="1" t="s">
        <v>113</v>
      </c>
      <c r="O1454" s="1" t="s">
        <v>35</v>
      </c>
      <c r="P1454" s="1" t="s">
        <v>53</v>
      </c>
    </row>
    <row r="1455" spans="1:16" x14ac:dyDescent="0.25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>
        <v>19</v>
      </c>
      <c r="J1455" s="3">
        <v>40973.519999999997</v>
      </c>
      <c r="K1455" s="2">
        <v>16.09</v>
      </c>
      <c r="L1455" s="3">
        <v>653236.73</v>
      </c>
      <c r="M1455">
        <v>46202</v>
      </c>
      <c r="N1455" s="1" t="s">
        <v>113</v>
      </c>
      <c r="O1455" s="1" t="s">
        <v>35</v>
      </c>
      <c r="P1455" s="1" t="s">
        <v>36</v>
      </c>
    </row>
    <row r="1456" spans="1:16" x14ac:dyDescent="0.25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>
        <v>45</v>
      </c>
      <c r="J1456" s="3">
        <v>15586.08</v>
      </c>
      <c r="K1456" s="2">
        <v>3.1</v>
      </c>
      <c r="L1456" s="3">
        <v>679631.02</v>
      </c>
      <c r="M1456">
        <v>46305</v>
      </c>
      <c r="N1456" s="1" t="s">
        <v>58</v>
      </c>
      <c r="O1456" s="1" t="s">
        <v>35</v>
      </c>
      <c r="P1456" s="1" t="s">
        <v>53</v>
      </c>
    </row>
    <row r="1457" spans="1:16" x14ac:dyDescent="0.25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>
        <v>11</v>
      </c>
      <c r="J1457" s="3">
        <v>4114.66</v>
      </c>
      <c r="K1457" s="2">
        <v>7.33</v>
      </c>
      <c r="L1457" s="3">
        <v>41943.61</v>
      </c>
      <c r="M1457">
        <v>46213</v>
      </c>
      <c r="N1457" s="1" t="s">
        <v>45</v>
      </c>
      <c r="O1457" s="1" t="s">
        <v>35</v>
      </c>
      <c r="P1457" s="1" t="s">
        <v>36</v>
      </c>
    </row>
    <row r="1458" spans="1:16" x14ac:dyDescent="0.25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>
        <v>15</v>
      </c>
      <c r="J1458" s="3">
        <v>25623.37</v>
      </c>
      <c r="K1458" s="2">
        <v>8.6999999999999993</v>
      </c>
      <c r="L1458" s="3">
        <v>350912.05</v>
      </c>
      <c r="M1458">
        <v>46345</v>
      </c>
      <c r="N1458" s="1" t="s">
        <v>24</v>
      </c>
      <c r="O1458" s="1" t="s">
        <v>35</v>
      </c>
      <c r="P1458" s="1" t="s">
        <v>53</v>
      </c>
    </row>
    <row r="1459" spans="1:16" x14ac:dyDescent="0.25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>
        <v>38</v>
      </c>
      <c r="J1459" s="3">
        <v>44344.35</v>
      </c>
      <c r="K1459" s="2">
        <v>15</v>
      </c>
      <c r="L1459" s="3">
        <v>1432322.5</v>
      </c>
      <c r="M1459">
        <v>46293</v>
      </c>
      <c r="N1459" s="1" t="s">
        <v>68</v>
      </c>
      <c r="O1459" s="1" t="s">
        <v>35</v>
      </c>
      <c r="P1459" s="1" t="s">
        <v>53</v>
      </c>
    </row>
    <row r="1460" spans="1:16" x14ac:dyDescent="0.25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>
        <v>33</v>
      </c>
      <c r="J1460" s="3">
        <v>6478.22</v>
      </c>
      <c r="K1460" s="2">
        <v>6.95</v>
      </c>
      <c r="L1460" s="3">
        <v>198923.46</v>
      </c>
      <c r="M1460">
        <v>46037</v>
      </c>
      <c r="N1460" s="1" t="s">
        <v>45</v>
      </c>
      <c r="O1460" s="1" t="s">
        <v>59</v>
      </c>
      <c r="P1460" s="1" t="s">
        <v>53</v>
      </c>
    </row>
    <row r="1461" spans="1:16" x14ac:dyDescent="0.25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>
        <v>24</v>
      </c>
      <c r="J1461" s="3">
        <v>47787.54</v>
      </c>
      <c r="K1461" s="2">
        <v>9.4600000000000009</v>
      </c>
      <c r="L1461" s="3">
        <v>1038404.13</v>
      </c>
      <c r="M1461">
        <v>46086</v>
      </c>
      <c r="N1461" s="1" t="s">
        <v>58</v>
      </c>
      <c r="O1461" s="1" t="s">
        <v>25</v>
      </c>
      <c r="P1461" s="1" t="s">
        <v>26</v>
      </c>
    </row>
    <row r="1462" spans="1:16" x14ac:dyDescent="0.25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>
        <v>49</v>
      </c>
      <c r="J1462" s="3">
        <v>5115.29</v>
      </c>
      <c r="K1462" s="2">
        <v>11.27</v>
      </c>
      <c r="L1462" s="3">
        <v>222401.04</v>
      </c>
      <c r="M1462">
        <v>46374</v>
      </c>
      <c r="N1462" s="1" t="s">
        <v>45</v>
      </c>
      <c r="O1462" s="1" t="s">
        <v>25</v>
      </c>
      <c r="P1462" s="1" t="s">
        <v>53</v>
      </c>
    </row>
    <row r="1463" spans="1:16" x14ac:dyDescent="0.25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>
        <v>13</v>
      </c>
      <c r="J1463" s="3">
        <v>28315.21</v>
      </c>
      <c r="K1463" s="2">
        <v>11.88</v>
      </c>
      <c r="L1463" s="3">
        <v>324367.71999999997</v>
      </c>
      <c r="M1463">
        <v>46168</v>
      </c>
      <c r="N1463" s="1" t="s">
        <v>113</v>
      </c>
      <c r="O1463" s="1" t="s">
        <v>35</v>
      </c>
      <c r="P1463" s="1" t="s">
        <v>53</v>
      </c>
    </row>
    <row r="1464" spans="1:16" x14ac:dyDescent="0.25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>
        <v>39</v>
      </c>
      <c r="J1464" s="3">
        <v>9015.61</v>
      </c>
      <c r="K1464" s="2">
        <v>3.38</v>
      </c>
      <c r="L1464" s="3">
        <v>339724.41</v>
      </c>
      <c r="M1464">
        <v>46142</v>
      </c>
      <c r="N1464" s="1" t="s">
        <v>45</v>
      </c>
      <c r="O1464" s="1" t="s">
        <v>25</v>
      </c>
      <c r="P1464" s="1" t="s">
        <v>36</v>
      </c>
    </row>
    <row r="1465" spans="1:16" x14ac:dyDescent="0.25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>
        <v>48</v>
      </c>
      <c r="J1465" s="3">
        <v>43855.02</v>
      </c>
      <c r="K1465" s="2">
        <v>18.84</v>
      </c>
      <c r="L1465" s="3">
        <v>1708451.24</v>
      </c>
      <c r="M1465">
        <v>46063</v>
      </c>
      <c r="N1465" s="1" t="s">
        <v>58</v>
      </c>
      <c r="O1465" s="1" t="s">
        <v>59</v>
      </c>
      <c r="P1465" s="1" t="s">
        <v>36</v>
      </c>
    </row>
    <row r="1466" spans="1:16" x14ac:dyDescent="0.25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>
        <v>38</v>
      </c>
      <c r="J1466" s="3">
        <v>1674.88</v>
      </c>
      <c r="K1466" s="2">
        <v>14.04</v>
      </c>
      <c r="L1466" s="3">
        <v>54709.62</v>
      </c>
      <c r="M1466">
        <v>46171</v>
      </c>
      <c r="N1466" s="1" t="s">
        <v>113</v>
      </c>
      <c r="O1466" s="1" t="s">
        <v>35</v>
      </c>
      <c r="P1466" s="1" t="s">
        <v>26</v>
      </c>
    </row>
    <row r="1467" spans="1:16" x14ac:dyDescent="0.25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>
        <v>4</v>
      </c>
      <c r="J1467" s="3">
        <v>45391.81</v>
      </c>
      <c r="K1467" s="2">
        <v>19.57</v>
      </c>
      <c r="L1467" s="3">
        <v>146034.53</v>
      </c>
      <c r="M1467">
        <v>46270</v>
      </c>
      <c r="N1467" s="1" t="s">
        <v>24</v>
      </c>
      <c r="O1467" s="1" t="s">
        <v>25</v>
      </c>
      <c r="P1467" s="1" t="s">
        <v>26</v>
      </c>
    </row>
    <row r="1468" spans="1:16" x14ac:dyDescent="0.25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>
        <v>43</v>
      </c>
      <c r="J1468" s="3">
        <v>25010.77</v>
      </c>
      <c r="K1468" s="2">
        <v>19.48</v>
      </c>
      <c r="L1468" s="3">
        <v>865962.9</v>
      </c>
      <c r="M1468">
        <v>46107</v>
      </c>
      <c r="N1468" s="1" t="s">
        <v>24</v>
      </c>
      <c r="O1468" s="1" t="s">
        <v>35</v>
      </c>
      <c r="P1468" s="1" t="s">
        <v>53</v>
      </c>
    </row>
    <row r="1469" spans="1:16" x14ac:dyDescent="0.25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>
        <v>22</v>
      </c>
      <c r="J1469" s="3">
        <v>7696.99</v>
      </c>
      <c r="K1469" s="2">
        <v>11.21</v>
      </c>
      <c r="L1469" s="3">
        <v>150351.46</v>
      </c>
      <c r="M1469">
        <v>46049</v>
      </c>
      <c r="N1469" s="1" t="s">
        <v>113</v>
      </c>
      <c r="O1469" s="1" t="s">
        <v>35</v>
      </c>
      <c r="P1469" s="1" t="s">
        <v>36</v>
      </c>
    </row>
    <row r="1470" spans="1:16" x14ac:dyDescent="0.25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>
        <v>15</v>
      </c>
      <c r="J1470" s="3">
        <v>20942.93</v>
      </c>
      <c r="K1470" s="2">
        <v>2.76</v>
      </c>
      <c r="L1470" s="3">
        <v>305473.58</v>
      </c>
      <c r="M1470">
        <v>46135</v>
      </c>
      <c r="N1470" s="1" t="s">
        <v>24</v>
      </c>
      <c r="O1470" s="1" t="s">
        <v>35</v>
      </c>
      <c r="P1470" s="1" t="s">
        <v>53</v>
      </c>
    </row>
    <row r="1471" spans="1:16" x14ac:dyDescent="0.25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>
        <v>14</v>
      </c>
      <c r="J1471" s="3">
        <v>33210.129999999997</v>
      </c>
      <c r="K1471" s="2">
        <v>16.86</v>
      </c>
      <c r="L1471" s="3">
        <v>386552.63</v>
      </c>
      <c r="M1471">
        <v>46275</v>
      </c>
      <c r="N1471" s="1" t="s">
        <v>24</v>
      </c>
      <c r="O1471" s="1" t="s">
        <v>35</v>
      </c>
      <c r="P1471" s="1" t="s">
        <v>26</v>
      </c>
    </row>
    <row r="1472" spans="1:16" x14ac:dyDescent="0.25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>
        <v>35</v>
      </c>
      <c r="J1472" s="3">
        <v>22838.58</v>
      </c>
      <c r="K1472" s="2">
        <v>0.38</v>
      </c>
      <c r="L1472" s="3">
        <v>796312.77</v>
      </c>
      <c r="M1472">
        <v>46212</v>
      </c>
      <c r="N1472" s="1" t="s">
        <v>45</v>
      </c>
      <c r="O1472" s="1" t="s">
        <v>35</v>
      </c>
      <c r="P1472" s="1" t="s">
        <v>53</v>
      </c>
    </row>
    <row r="1473" spans="1:16" x14ac:dyDescent="0.25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>
        <v>42</v>
      </c>
      <c r="J1473" s="3">
        <v>35897.800000000003</v>
      </c>
      <c r="K1473" s="2">
        <v>15.05</v>
      </c>
      <c r="L1473" s="3">
        <v>1280797.6100000001</v>
      </c>
      <c r="M1473">
        <v>46038</v>
      </c>
      <c r="N1473" s="1" t="s">
        <v>113</v>
      </c>
      <c r="O1473" s="1" t="s">
        <v>35</v>
      </c>
      <c r="P1473" s="1" t="s">
        <v>36</v>
      </c>
    </row>
    <row r="1474" spans="1:16" x14ac:dyDescent="0.25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>
        <v>43</v>
      </c>
      <c r="J1474" s="3">
        <v>44302.42</v>
      </c>
      <c r="K1474" s="2">
        <v>1.38</v>
      </c>
      <c r="L1474" s="3">
        <v>1878715</v>
      </c>
      <c r="M1474">
        <v>46205</v>
      </c>
      <c r="N1474" s="1" t="s">
        <v>68</v>
      </c>
      <c r="O1474" s="1" t="s">
        <v>35</v>
      </c>
      <c r="P1474" s="1" t="s">
        <v>36</v>
      </c>
    </row>
    <row r="1475" spans="1:16" x14ac:dyDescent="0.25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>
        <v>17</v>
      </c>
      <c r="J1475" s="3">
        <v>45814.64</v>
      </c>
      <c r="K1475" s="2">
        <v>8.33</v>
      </c>
      <c r="L1475" s="3">
        <v>713970.77</v>
      </c>
      <c r="M1475">
        <v>46119</v>
      </c>
      <c r="N1475" s="1" t="s">
        <v>68</v>
      </c>
      <c r="O1475" s="1" t="s">
        <v>35</v>
      </c>
      <c r="P1475" s="1" t="s">
        <v>53</v>
      </c>
    </row>
    <row r="1476" spans="1:16" x14ac:dyDescent="0.25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>
        <v>1</v>
      </c>
      <c r="J1476" s="3">
        <v>6683.29</v>
      </c>
      <c r="K1476" s="2">
        <v>6.23</v>
      </c>
      <c r="L1476" s="3">
        <v>6266.92</v>
      </c>
      <c r="M1476">
        <v>46384</v>
      </c>
      <c r="N1476" s="1" t="s">
        <v>58</v>
      </c>
      <c r="O1476" s="1" t="s">
        <v>35</v>
      </c>
      <c r="P1476" s="1" t="s">
        <v>26</v>
      </c>
    </row>
    <row r="1477" spans="1:16" x14ac:dyDescent="0.25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>
        <v>2</v>
      </c>
      <c r="J1477" s="3">
        <v>919.05</v>
      </c>
      <c r="K1477" s="2">
        <v>2.84</v>
      </c>
      <c r="L1477" s="3">
        <v>1785.9</v>
      </c>
      <c r="M1477">
        <v>46179</v>
      </c>
      <c r="N1477" s="1" t="s">
        <v>68</v>
      </c>
      <c r="O1477" s="1" t="s">
        <v>35</v>
      </c>
      <c r="P1477" s="1" t="s">
        <v>36</v>
      </c>
    </row>
    <row r="1478" spans="1:16" x14ac:dyDescent="0.25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>
        <v>20</v>
      </c>
      <c r="J1478" s="3">
        <v>31009.73</v>
      </c>
      <c r="K1478" s="2">
        <v>19.61</v>
      </c>
      <c r="L1478" s="3">
        <v>498574.44</v>
      </c>
      <c r="M1478">
        <v>46292</v>
      </c>
      <c r="N1478" s="1" t="s">
        <v>58</v>
      </c>
      <c r="O1478" s="1" t="s">
        <v>35</v>
      </c>
      <c r="P1478" s="1" t="s">
        <v>26</v>
      </c>
    </row>
    <row r="1479" spans="1:16" x14ac:dyDescent="0.25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>
        <v>41</v>
      </c>
      <c r="J1479" s="3">
        <v>19382.23</v>
      </c>
      <c r="K1479" s="2">
        <v>15.22</v>
      </c>
      <c r="L1479" s="3">
        <v>673722.44</v>
      </c>
      <c r="M1479">
        <v>46060</v>
      </c>
      <c r="N1479" s="1" t="s">
        <v>24</v>
      </c>
      <c r="O1479" s="1" t="s">
        <v>25</v>
      </c>
      <c r="P1479" s="1" t="s">
        <v>53</v>
      </c>
    </row>
    <row r="1480" spans="1:16" x14ac:dyDescent="0.25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>
        <v>35</v>
      </c>
      <c r="J1480" s="3">
        <v>29519.11</v>
      </c>
      <c r="K1480" s="2">
        <v>16.96</v>
      </c>
      <c r="L1480" s="3">
        <v>857943.41</v>
      </c>
      <c r="M1480">
        <v>46272</v>
      </c>
      <c r="N1480" s="1" t="s">
        <v>68</v>
      </c>
      <c r="O1480" s="1" t="s">
        <v>35</v>
      </c>
      <c r="P1480" s="1" t="s">
        <v>36</v>
      </c>
    </row>
    <row r="1481" spans="1:16" x14ac:dyDescent="0.25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>
        <v>43</v>
      </c>
      <c r="J1481" s="3">
        <v>13342.24</v>
      </c>
      <c r="K1481" s="2">
        <v>0.89</v>
      </c>
      <c r="L1481" s="3">
        <v>568610.24</v>
      </c>
      <c r="M1481">
        <v>46074</v>
      </c>
      <c r="N1481" s="1" t="s">
        <v>45</v>
      </c>
      <c r="O1481" s="1" t="s">
        <v>35</v>
      </c>
      <c r="P1481" s="1" t="s">
        <v>53</v>
      </c>
    </row>
    <row r="1482" spans="1:16" x14ac:dyDescent="0.25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>
        <v>46</v>
      </c>
      <c r="J1482" s="3">
        <v>20349.240000000002</v>
      </c>
      <c r="K1482" s="2">
        <v>18.28</v>
      </c>
      <c r="L1482" s="3">
        <v>764952.35</v>
      </c>
      <c r="M1482">
        <v>46062</v>
      </c>
      <c r="N1482" s="1" t="s">
        <v>113</v>
      </c>
      <c r="O1482" s="1" t="s">
        <v>35</v>
      </c>
      <c r="P1482" s="1" t="s">
        <v>26</v>
      </c>
    </row>
    <row r="1483" spans="1:16" x14ac:dyDescent="0.25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>
        <v>31</v>
      </c>
      <c r="J1483" s="3">
        <v>2673</v>
      </c>
      <c r="K1483" s="2">
        <v>3.9</v>
      </c>
      <c r="L1483" s="3">
        <v>79631.34</v>
      </c>
      <c r="M1483">
        <v>46120</v>
      </c>
      <c r="N1483" s="1" t="s">
        <v>68</v>
      </c>
      <c r="O1483" s="1" t="s">
        <v>35</v>
      </c>
      <c r="P1483" s="1" t="s">
        <v>36</v>
      </c>
    </row>
    <row r="1484" spans="1:16" x14ac:dyDescent="0.25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>
        <v>43</v>
      </c>
      <c r="J1484" s="3">
        <v>34544.879999999997</v>
      </c>
      <c r="K1484" s="2">
        <v>3.88</v>
      </c>
      <c r="L1484" s="3">
        <v>1427795.16</v>
      </c>
      <c r="M1484">
        <v>46151</v>
      </c>
      <c r="N1484" s="1" t="s">
        <v>24</v>
      </c>
      <c r="O1484" s="1" t="s">
        <v>35</v>
      </c>
      <c r="P1484" s="1" t="s">
        <v>36</v>
      </c>
    </row>
    <row r="1485" spans="1:16" x14ac:dyDescent="0.25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>
        <v>50</v>
      </c>
      <c r="J1485" s="3">
        <v>4392.8100000000004</v>
      </c>
      <c r="K1485" s="2">
        <v>9.57</v>
      </c>
      <c r="L1485" s="3">
        <v>198620.9</v>
      </c>
      <c r="M1485">
        <v>46175</v>
      </c>
      <c r="N1485" s="1" t="s">
        <v>45</v>
      </c>
      <c r="O1485" s="1" t="s">
        <v>35</v>
      </c>
      <c r="P1485" s="1" t="s">
        <v>53</v>
      </c>
    </row>
    <row r="1486" spans="1:16" x14ac:dyDescent="0.25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>
        <v>13</v>
      </c>
      <c r="J1486" s="3">
        <v>35687.620000000003</v>
      </c>
      <c r="K1486" s="2">
        <v>16.86</v>
      </c>
      <c r="L1486" s="3">
        <v>385718.93</v>
      </c>
      <c r="M1486">
        <v>46213</v>
      </c>
      <c r="N1486" s="1" t="s">
        <v>68</v>
      </c>
      <c r="O1486" s="1" t="s">
        <v>35</v>
      </c>
      <c r="P1486" s="1" t="s">
        <v>36</v>
      </c>
    </row>
    <row r="1487" spans="1:16" x14ac:dyDescent="0.25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>
        <v>35</v>
      </c>
      <c r="J1487" s="3">
        <v>47895.22</v>
      </c>
      <c r="K1487" s="2">
        <v>7.67</v>
      </c>
      <c r="L1487" s="3">
        <v>1547757.98</v>
      </c>
      <c r="M1487">
        <v>46105</v>
      </c>
      <c r="N1487" s="1" t="s">
        <v>113</v>
      </c>
      <c r="O1487" s="1" t="s">
        <v>25</v>
      </c>
      <c r="P1487" s="1" t="s">
        <v>53</v>
      </c>
    </row>
    <row r="1488" spans="1:16" x14ac:dyDescent="0.25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>
        <v>46</v>
      </c>
      <c r="J1488" s="3">
        <v>43763.99</v>
      </c>
      <c r="K1488" s="2">
        <v>6.36</v>
      </c>
      <c r="L1488" s="3">
        <v>1885107.61</v>
      </c>
      <c r="M1488">
        <v>46217</v>
      </c>
      <c r="N1488" s="1" t="s">
        <v>45</v>
      </c>
      <c r="O1488" s="1" t="s">
        <v>59</v>
      </c>
      <c r="P1488" s="1" t="s">
        <v>36</v>
      </c>
    </row>
    <row r="1489" spans="1:16" x14ac:dyDescent="0.25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>
        <v>29</v>
      </c>
      <c r="J1489" s="3">
        <v>23045.84</v>
      </c>
      <c r="K1489" s="2">
        <v>18.079999999999998</v>
      </c>
      <c r="L1489" s="3">
        <v>547495.41</v>
      </c>
      <c r="M1489">
        <v>46220</v>
      </c>
      <c r="N1489" s="1" t="s">
        <v>45</v>
      </c>
      <c r="O1489" s="1" t="s">
        <v>35</v>
      </c>
      <c r="P1489" s="1" t="s">
        <v>36</v>
      </c>
    </row>
    <row r="1490" spans="1:16" x14ac:dyDescent="0.25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>
        <v>29</v>
      </c>
      <c r="J1490" s="3">
        <v>15949.5</v>
      </c>
      <c r="K1490" s="2">
        <v>19.899999999999999</v>
      </c>
      <c r="L1490" s="3">
        <v>370490.94</v>
      </c>
      <c r="M1490">
        <v>46031</v>
      </c>
      <c r="N1490" s="1" t="s">
        <v>68</v>
      </c>
      <c r="O1490" s="1" t="s">
        <v>35</v>
      </c>
      <c r="P1490" s="1" t="s">
        <v>53</v>
      </c>
    </row>
    <row r="1491" spans="1:16" x14ac:dyDescent="0.25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>
        <v>2</v>
      </c>
      <c r="J1491" s="3">
        <v>17100.41</v>
      </c>
      <c r="K1491" s="2">
        <v>14.28</v>
      </c>
      <c r="L1491" s="3">
        <v>29316.94</v>
      </c>
      <c r="M1491">
        <v>46263</v>
      </c>
      <c r="N1491" s="1" t="s">
        <v>45</v>
      </c>
      <c r="O1491" s="1" t="s">
        <v>35</v>
      </c>
      <c r="P1491" s="1" t="s">
        <v>26</v>
      </c>
    </row>
    <row r="1492" spans="1:16" x14ac:dyDescent="0.25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>
        <v>14</v>
      </c>
      <c r="J1492" s="3">
        <v>45808.17</v>
      </c>
      <c r="K1492" s="2">
        <v>3.28</v>
      </c>
      <c r="L1492" s="3">
        <v>620279.27</v>
      </c>
      <c r="M1492">
        <v>46164</v>
      </c>
      <c r="N1492" s="1" t="s">
        <v>45</v>
      </c>
      <c r="O1492" s="1" t="s">
        <v>35</v>
      </c>
      <c r="P1492" s="1" t="s">
        <v>53</v>
      </c>
    </row>
    <row r="1493" spans="1:16" x14ac:dyDescent="0.25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>
        <v>6</v>
      </c>
      <c r="J1493" s="3">
        <v>36735.97</v>
      </c>
      <c r="K1493" s="2">
        <v>1.44</v>
      </c>
      <c r="L1493" s="3">
        <v>217241.83</v>
      </c>
      <c r="M1493">
        <v>46046</v>
      </c>
      <c r="N1493" s="1" t="s">
        <v>58</v>
      </c>
      <c r="O1493" s="1" t="s">
        <v>35</v>
      </c>
      <c r="P1493" s="1" t="s">
        <v>53</v>
      </c>
    </row>
    <row r="1494" spans="1:16" x14ac:dyDescent="0.25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>
        <v>14</v>
      </c>
      <c r="J1494" s="3">
        <v>23790.73</v>
      </c>
      <c r="K1494" s="2">
        <v>2.9</v>
      </c>
      <c r="L1494" s="3">
        <v>323411.18</v>
      </c>
      <c r="M1494">
        <v>46053</v>
      </c>
      <c r="N1494" s="1" t="s">
        <v>58</v>
      </c>
      <c r="O1494" s="1" t="s">
        <v>35</v>
      </c>
      <c r="P1494" s="1" t="s">
        <v>53</v>
      </c>
    </row>
    <row r="1495" spans="1:16" x14ac:dyDescent="0.25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>
        <v>9</v>
      </c>
      <c r="J1495" s="3">
        <v>39233.949999999997</v>
      </c>
      <c r="K1495" s="2">
        <v>10.46</v>
      </c>
      <c r="L1495" s="3">
        <v>316170.71000000002</v>
      </c>
      <c r="M1495">
        <v>46210</v>
      </c>
      <c r="N1495" s="1" t="s">
        <v>68</v>
      </c>
      <c r="O1495" s="1" t="s">
        <v>35</v>
      </c>
      <c r="P1495" s="1" t="s">
        <v>53</v>
      </c>
    </row>
    <row r="1496" spans="1:16" x14ac:dyDescent="0.25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>
        <v>41</v>
      </c>
      <c r="J1496" s="3">
        <v>19900.54</v>
      </c>
      <c r="K1496" s="2">
        <v>6.64</v>
      </c>
      <c r="L1496" s="3">
        <v>761744.91</v>
      </c>
      <c r="M1496">
        <v>46348</v>
      </c>
      <c r="N1496" s="1" t="s">
        <v>45</v>
      </c>
      <c r="O1496" s="1" t="s">
        <v>25</v>
      </c>
      <c r="P1496" s="1" t="s">
        <v>26</v>
      </c>
    </row>
    <row r="1497" spans="1:16" x14ac:dyDescent="0.25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>
        <v>35</v>
      </c>
      <c r="J1497" s="3">
        <v>31015.4</v>
      </c>
      <c r="K1497" s="2">
        <v>10.17</v>
      </c>
      <c r="L1497" s="3">
        <v>975139.68</v>
      </c>
      <c r="M1497">
        <v>46081</v>
      </c>
      <c r="N1497" s="1" t="s">
        <v>45</v>
      </c>
      <c r="O1497" s="1" t="s">
        <v>35</v>
      </c>
      <c r="P1497" s="1" t="s">
        <v>53</v>
      </c>
    </row>
    <row r="1498" spans="1:16" x14ac:dyDescent="0.25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>
        <v>39</v>
      </c>
      <c r="J1498" s="3">
        <v>5644.69</v>
      </c>
      <c r="K1498" s="2">
        <v>11.1</v>
      </c>
      <c r="L1498" s="3">
        <v>195707.05</v>
      </c>
      <c r="M1498">
        <v>46094</v>
      </c>
      <c r="N1498" s="1" t="s">
        <v>45</v>
      </c>
      <c r="O1498" s="1" t="s">
        <v>35</v>
      </c>
      <c r="P1498" s="1" t="s">
        <v>36</v>
      </c>
    </row>
    <row r="1499" spans="1:16" x14ac:dyDescent="0.25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>
        <v>6</v>
      </c>
      <c r="J1499" s="3">
        <v>24638.39</v>
      </c>
      <c r="K1499" s="2">
        <v>1.82</v>
      </c>
      <c r="L1499" s="3">
        <v>145139.82999999999</v>
      </c>
      <c r="M1499">
        <v>46089</v>
      </c>
      <c r="N1499" s="1" t="s">
        <v>45</v>
      </c>
      <c r="O1499" s="1" t="s">
        <v>25</v>
      </c>
      <c r="P1499" s="1" t="s">
        <v>26</v>
      </c>
    </row>
    <row r="1500" spans="1:16" x14ac:dyDescent="0.25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>
        <v>46</v>
      </c>
      <c r="J1500" s="3">
        <v>6320.89</v>
      </c>
      <c r="K1500" s="2">
        <v>2.87</v>
      </c>
      <c r="L1500" s="3">
        <v>282416.09999999998</v>
      </c>
      <c r="M1500">
        <v>46336</v>
      </c>
      <c r="N1500" s="1" t="s">
        <v>68</v>
      </c>
      <c r="O1500" s="1" t="s">
        <v>35</v>
      </c>
      <c r="P1500" s="1" t="s">
        <v>53</v>
      </c>
    </row>
    <row r="1501" spans="1:16" x14ac:dyDescent="0.25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>
        <v>28</v>
      </c>
      <c r="J1501" s="3">
        <v>42773.25</v>
      </c>
      <c r="K1501" s="2">
        <v>12.72</v>
      </c>
      <c r="L1501" s="3">
        <v>1045309.79</v>
      </c>
      <c r="M1501">
        <v>46386</v>
      </c>
      <c r="N1501" s="1" t="s">
        <v>24</v>
      </c>
      <c r="O1501" s="1" t="s">
        <v>35</v>
      </c>
      <c r="P1501" s="1" t="s">
        <v>26</v>
      </c>
    </row>
    <row r="1502" spans="1:16" x14ac:dyDescent="0.25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>
        <v>46</v>
      </c>
      <c r="J1502" s="3">
        <v>16921.43</v>
      </c>
      <c r="K1502" s="2">
        <v>19.489999999999998</v>
      </c>
      <c r="L1502" s="3">
        <v>626678.39</v>
      </c>
      <c r="M1502">
        <v>46257</v>
      </c>
      <c r="N1502" s="1" t="s">
        <v>24</v>
      </c>
      <c r="O1502" s="1" t="s">
        <v>35</v>
      </c>
      <c r="P1502" s="1" t="s">
        <v>26</v>
      </c>
    </row>
    <row r="1503" spans="1:16" x14ac:dyDescent="0.25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>
        <v>33</v>
      </c>
      <c r="J1503" s="3">
        <v>16356.52</v>
      </c>
      <c r="K1503" s="2">
        <v>10.73</v>
      </c>
      <c r="L1503" s="3">
        <v>481848.36</v>
      </c>
      <c r="M1503">
        <v>46061</v>
      </c>
      <c r="N1503" s="1" t="s">
        <v>45</v>
      </c>
      <c r="O1503" s="1" t="s">
        <v>35</v>
      </c>
      <c r="P1503" s="1" t="s">
        <v>36</v>
      </c>
    </row>
    <row r="1504" spans="1:16" x14ac:dyDescent="0.25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>
        <v>48</v>
      </c>
      <c r="J1504" s="3">
        <v>44254.23</v>
      </c>
      <c r="K1504" s="2">
        <v>11.69</v>
      </c>
      <c r="L1504" s="3">
        <v>1875883.7</v>
      </c>
      <c r="M1504">
        <v>46077</v>
      </c>
      <c r="N1504" s="1" t="s">
        <v>24</v>
      </c>
      <c r="O1504" s="1" t="s">
        <v>35</v>
      </c>
      <c r="P1504" s="1" t="s">
        <v>26</v>
      </c>
    </row>
    <row r="1505" spans="1:16" x14ac:dyDescent="0.25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>
        <v>11</v>
      </c>
      <c r="J1505" s="3">
        <v>33827.129999999997</v>
      </c>
      <c r="K1505" s="2">
        <v>16.03</v>
      </c>
      <c r="L1505" s="3">
        <v>312451.05</v>
      </c>
      <c r="M1505">
        <v>46130</v>
      </c>
      <c r="N1505" s="1" t="s">
        <v>113</v>
      </c>
      <c r="O1505" s="1" t="s">
        <v>35</v>
      </c>
      <c r="P1505" s="1" t="s">
        <v>36</v>
      </c>
    </row>
    <row r="1506" spans="1:16" x14ac:dyDescent="0.25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>
        <v>45</v>
      </c>
      <c r="J1506" s="3">
        <v>18828.3</v>
      </c>
      <c r="K1506" s="2">
        <v>6.33</v>
      </c>
      <c r="L1506" s="3">
        <v>793641.09</v>
      </c>
      <c r="M1506">
        <v>46197</v>
      </c>
      <c r="N1506" s="1" t="s">
        <v>45</v>
      </c>
      <c r="O1506" s="1" t="s">
        <v>35</v>
      </c>
      <c r="P1506" s="1" t="s">
        <v>26</v>
      </c>
    </row>
    <row r="1507" spans="1:16" x14ac:dyDescent="0.25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>
        <v>9</v>
      </c>
      <c r="J1507" s="3">
        <v>27009.4</v>
      </c>
      <c r="K1507" s="2">
        <v>19.77</v>
      </c>
      <c r="L1507" s="3">
        <v>195026.77</v>
      </c>
      <c r="M1507">
        <v>46208</v>
      </c>
      <c r="N1507" s="1" t="s">
        <v>68</v>
      </c>
      <c r="O1507" s="1" t="s">
        <v>35</v>
      </c>
      <c r="P1507" s="1" t="s">
        <v>26</v>
      </c>
    </row>
    <row r="1508" spans="1:16" x14ac:dyDescent="0.25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>
        <v>13</v>
      </c>
      <c r="J1508" s="3">
        <v>36763.019999999997</v>
      </c>
      <c r="K1508" s="2">
        <v>13.76</v>
      </c>
      <c r="L1508" s="3">
        <v>412157.57</v>
      </c>
      <c r="M1508">
        <v>46152</v>
      </c>
      <c r="N1508" s="1" t="s">
        <v>45</v>
      </c>
      <c r="O1508" s="1" t="s">
        <v>35</v>
      </c>
      <c r="P1508" s="1" t="s">
        <v>36</v>
      </c>
    </row>
    <row r="1509" spans="1:16" x14ac:dyDescent="0.25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>
        <v>32</v>
      </c>
      <c r="J1509" s="3">
        <v>39154.589999999997</v>
      </c>
      <c r="K1509" s="2">
        <v>15.36</v>
      </c>
      <c r="L1509" s="3">
        <v>1060494.24</v>
      </c>
      <c r="M1509">
        <v>46374</v>
      </c>
      <c r="N1509" s="1" t="s">
        <v>24</v>
      </c>
      <c r="O1509" s="1" t="s">
        <v>35</v>
      </c>
      <c r="P1509" s="1" t="s">
        <v>53</v>
      </c>
    </row>
    <row r="1510" spans="1:16" x14ac:dyDescent="0.25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>
        <v>22</v>
      </c>
      <c r="J1510" s="3">
        <v>21109.96</v>
      </c>
      <c r="K1510" s="2">
        <v>15.37</v>
      </c>
      <c r="L1510" s="3">
        <v>393037.9</v>
      </c>
      <c r="M1510">
        <v>46352</v>
      </c>
      <c r="N1510" s="1" t="s">
        <v>58</v>
      </c>
      <c r="O1510" s="1" t="s">
        <v>35</v>
      </c>
      <c r="P1510" s="1" t="s">
        <v>36</v>
      </c>
    </row>
    <row r="1511" spans="1:16" x14ac:dyDescent="0.25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>
        <v>31</v>
      </c>
      <c r="J1511" s="3">
        <v>41681.480000000003</v>
      </c>
      <c r="K1511" s="2">
        <v>4.83</v>
      </c>
      <c r="L1511" s="3">
        <v>1229716.2</v>
      </c>
      <c r="M1511">
        <v>46352</v>
      </c>
      <c r="N1511" s="1" t="s">
        <v>113</v>
      </c>
      <c r="O1511" s="1" t="s">
        <v>35</v>
      </c>
      <c r="P1511" s="1" t="s">
        <v>36</v>
      </c>
    </row>
    <row r="1512" spans="1:16" x14ac:dyDescent="0.25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>
        <v>33</v>
      </c>
      <c r="J1512" s="3">
        <v>10356.15</v>
      </c>
      <c r="K1512" s="2">
        <v>7.17</v>
      </c>
      <c r="L1512" s="3">
        <v>317249.26</v>
      </c>
      <c r="M1512">
        <v>46282</v>
      </c>
      <c r="N1512" s="1" t="s">
        <v>45</v>
      </c>
      <c r="O1512" s="1" t="s">
        <v>35</v>
      </c>
      <c r="P1512" s="1" t="s">
        <v>53</v>
      </c>
    </row>
    <row r="1513" spans="1:16" x14ac:dyDescent="0.25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>
        <v>23</v>
      </c>
      <c r="J1513" s="3">
        <v>11392.14</v>
      </c>
      <c r="K1513" s="2">
        <v>14.63</v>
      </c>
      <c r="L1513" s="3">
        <v>223685.81</v>
      </c>
      <c r="M1513">
        <v>46362</v>
      </c>
      <c r="N1513" s="1" t="s">
        <v>24</v>
      </c>
      <c r="O1513" s="1" t="s">
        <v>35</v>
      </c>
      <c r="P1513" s="1" t="s">
        <v>53</v>
      </c>
    </row>
    <row r="1514" spans="1:16" x14ac:dyDescent="0.25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>
        <v>16</v>
      </c>
      <c r="J1514" s="3">
        <v>40055.9</v>
      </c>
      <c r="K1514" s="2">
        <v>15.43</v>
      </c>
      <c r="L1514" s="3">
        <v>542004.39</v>
      </c>
      <c r="M1514">
        <v>46247</v>
      </c>
      <c r="N1514" s="1" t="s">
        <v>58</v>
      </c>
      <c r="O1514" s="1" t="s">
        <v>35</v>
      </c>
      <c r="P1514" s="1" t="s">
        <v>53</v>
      </c>
    </row>
    <row r="1515" spans="1:16" x14ac:dyDescent="0.25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>
        <v>11</v>
      </c>
      <c r="J1515" s="3">
        <v>36005.25</v>
      </c>
      <c r="K1515" s="2">
        <v>5.95</v>
      </c>
      <c r="L1515" s="3">
        <v>372492.31</v>
      </c>
      <c r="M1515">
        <v>46210</v>
      </c>
      <c r="N1515" s="1" t="s">
        <v>45</v>
      </c>
      <c r="O1515" s="1" t="s">
        <v>35</v>
      </c>
      <c r="P1515" s="1" t="s">
        <v>26</v>
      </c>
    </row>
    <row r="1516" spans="1:16" x14ac:dyDescent="0.25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>
        <v>8</v>
      </c>
      <c r="J1516" s="3">
        <v>23635.14</v>
      </c>
      <c r="K1516" s="2">
        <v>19.54</v>
      </c>
      <c r="L1516" s="3">
        <v>152134.67000000001</v>
      </c>
      <c r="M1516">
        <v>46086</v>
      </c>
      <c r="N1516" s="1" t="s">
        <v>113</v>
      </c>
      <c r="O1516" s="1" t="s">
        <v>35</v>
      </c>
      <c r="P1516" s="1" t="s">
        <v>36</v>
      </c>
    </row>
    <row r="1517" spans="1:16" x14ac:dyDescent="0.25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>
        <v>11</v>
      </c>
      <c r="J1517" s="3">
        <v>44664.41</v>
      </c>
      <c r="K1517" s="2">
        <v>13.91</v>
      </c>
      <c r="L1517" s="3">
        <v>422967.5</v>
      </c>
      <c r="M1517">
        <v>46377</v>
      </c>
      <c r="N1517" s="1" t="s">
        <v>113</v>
      </c>
      <c r="O1517" s="1" t="s">
        <v>35</v>
      </c>
      <c r="P1517" s="1" t="s">
        <v>26</v>
      </c>
    </row>
    <row r="1518" spans="1:16" x14ac:dyDescent="0.25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>
        <v>28</v>
      </c>
      <c r="J1518" s="3">
        <v>2581.75</v>
      </c>
      <c r="K1518" s="2">
        <v>2.27</v>
      </c>
      <c r="L1518" s="3">
        <v>70648.039999999994</v>
      </c>
      <c r="M1518">
        <v>46260</v>
      </c>
      <c r="N1518" s="1" t="s">
        <v>45</v>
      </c>
      <c r="O1518" s="1" t="s">
        <v>35</v>
      </c>
      <c r="P1518" s="1" t="s">
        <v>53</v>
      </c>
    </row>
    <row r="1519" spans="1:16" x14ac:dyDescent="0.25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>
        <v>30</v>
      </c>
      <c r="J1519" s="3">
        <v>30829.45</v>
      </c>
      <c r="K1519" s="2">
        <v>16.670000000000002</v>
      </c>
      <c r="L1519" s="3">
        <v>770705.42</v>
      </c>
      <c r="M1519">
        <v>46343</v>
      </c>
      <c r="N1519" s="1" t="s">
        <v>24</v>
      </c>
      <c r="O1519" s="1" t="s">
        <v>35</v>
      </c>
      <c r="P1519" s="1" t="s">
        <v>53</v>
      </c>
    </row>
    <row r="1520" spans="1:16" x14ac:dyDescent="0.25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>
        <v>4</v>
      </c>
      <c r="J1520" s="3">
        <v>4301.3</v>
      </c>
      <c r="K1520" s="2">
        <v>2.2799999999999998</v>
      </c>
      <c r="L1520" s="3">
        <v>16812.919999999998</v>
      </c>
      <c r="M1520">
        <v>46357</v>
      </c>
      <c r="N1520" s="1" t="s">
        <v>24</v>
      </c>
      <c r="O1520" s="1" t="s">
        <v>35</v>
      </c>
      <c r="P1520" s="1" t="s">
        <v>53</v>
      </c>
    </row>
    <row r="1521" spans="1:16" x14ac:dyDescent="0.25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>
        <v>21</v>
      </c>
      <c r="J1521" s="3">
        <v>5338.25</v>
      </c>
      <c r="K1521" s="2">
        <v>4.9400000000000004</v>
      </c>
      <c r="L1521" s="3">
        <v>106565.35</v>
      </c>
      <c r="M1521">
        <v>46027</v>
      </c>
      <c r="N1521" s="1" t="s">
        <v>58</v>
      </c>
      <c r="O1521" s="1" t="s">
        <v>35</v>
      </c>
      <c r="P1521" s="1" t="s">
        <v>53</v>
      </c>
    </row>
    <row r="1522" spans="1:16" x14ac:dyDescent="0.25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>
        <v>2</v>
      </c>
      <c r="J1522" s="3">
        <v>46720.05</v>
      </c>
      <c r="K1522" s="2">
        <v>9.7100000000000009</v>
      </c>
      <c r="L1522" s="3">
        <v>84367.07</v>
      </c>
      <c r="M1522">
        <v>46340</v>
      </c>
      <c r="N1522" s="1" t="s">
        <v>58</v>
      </c>
      <c r="O1522" s="1" t="s">
        <v>35</v>
      </c>
      <c r="P1522" s="1" t="s">
        <v>36</v>
      </c>
    </row>
    <row r="1523" spans="1:16" x14ac:dyDescent="0.25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>
        <v>31</v>
      </c>
      <c r="J1523" s="3">
        <v>48702.35</v>
      </c>
      <c r="K1523" s="2">
        <v>14.71</v>
      </c>
      <c r="L1523" s="3">
        <v>1287685.26</v>
      </c>
      <c r="M1523">
        <v>46262</v>
      </c>
      <c r="N1523" s="1" t="s">
        <v>45</v>
      </c>
      <c r="O1523" s="1" t="s">
        <v>35</v>
      </c>
      <c r="P1523" s="1" t="s">
        <v>53</v>
      </c>
    </row>
    <row r="1524" spans="1:16" x14ac:dyDescent="0.25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>
        <v>6</v>
      </c>
      <c r="J1524" s="3">
        <v>42906.78</v>
      </c>
      <c r="K1524" s="2">
        <v>3.63</v>
      </c>
      <c r="L1524" s="3">
        <v>248095.58</v>
      </c>
      <c r="M1524">
        <v>46343</v>
      </c>
      <c r="N1524" s="1" t="s">
        <v>113</v>
      </c>
      <c r="O1524" s="1" t="s">
        <v>35</v>
      </c>
      <c r="P1524" s="1" t="s">
        <v>36</v>
      </c>
    </row>
    <row r="1525" spans="1:16" x14ac:dyDescent="0.25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>
        <v>5</v>
      </c>
      <c r="J1525" s="3">
        <v>25607.37</v>
      </c>
      <c r="K1525" s="2">
        <v>18.72</v>
      </c>
      <c r="L1525" s="3">
        <v>104068.35</v>
      </c>
      <c r="M1525">
        <v>46193</v>
      </c>
      <c r="N1525" s="1" t="s">
        <v>58</v>
      </c>
      <c r="O1525" s="1" t="s">
        <v>25</v>
      </c>
      <c r="P1525" s="1" t="s">
        <v>26</v>
      </c>
    </row>
    <row r="1526" spans="1:16" x14ac:dyDescent="0.25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>
        <v>22</v>
      </c>
      <c r="J1526" s="3">
        <v>6777.94</v>
      </c>
      <c r="K1526" s="2">
        <v>4.75</v>
      </c>
      <c r="L1526" s="3">
        <v>142031.73000000001</v>
      </c>
      <c r="M1526">
        <v>46084</v>
      </c>
      <c r="N1526" s="1" t="s">
        <v>45</v>
      </c>
      <c r="O1526" s="1" t="s">
        <v>35</v>
      </c>
      <c r="P1526" s="1" t="s">
        <v>26</v>
      </c>
    </row>
    <row r="1527" spans="1:16" x14ac:dyDescent="0.25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>
        <v>26</v>
      </c>
      <c r="J1527" s="3">
        <v>6273.1</v>
      </c>
      <c r="K1527" s="2">
        <v>4.9800000000000004</v>
      </c>
      <c r="L1527" s="3">
        <v>154978.19</v>
      </c>
      <c r="M1527">
        <v>46210</v>
      </c>
      <c r="N1527" s="1" t="s">
        <v>58</v>
      </c>
      <c r="O1527" s="1" t="s">
        <v>35</v>
      </c>
      <c r="P1527" s="1" t="s">
        <v>36</v>
      </c>
    </row>
    <row r="1528" spans="1:16" x14ac:dyDescent="0.25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>
        <v>45</v>
      </c>
      <c r="J1528" s="3">
        <v>819.42</v>
      </c>
      <c r="K1528" s="2">
        <v>4.3</v>
      </c>
      <c r="L1528" s="3">
        <v>35288.32</v>
      </c>
      <c r="M1528">
        <v>46234</v>
      </c>
      <c r="N1528" s="1" t="s">
        <v>58</v>
      </c>
      <c r="O1528" s="1" t="s">
        <v>35</v>
      </c>
      <c r="P1528" s="1" t="s">
        <v>26</v>
      </c>
    </row>
    <row r="1529" spans="1:16" x14ac:dyDescent="0.25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>
        <v>5</v>
      </c>
      <c r="J1529" s="3">
        <v>23184.28</v>
      </c>
      <c r="K1529" s="2">
        <v>7.58</v>
      </c>
      <c r="L1529" s="3">
        <v>107134.56</v>
      </c>
      <c r="M1529">
        <v>46312</v>
      </c>
      <c r="N1529" s="1" t="s">
        <v>45</v>
      </c>
      <c r="O1529" s="1" t="s">
        <v>35</v>
      </c>
      <c r="P1529" s="1" t="s">
        <v>26</v>
      </c>
    </row>
    <row r="1530" spans="1:16" x14ac:dyDescent="0.25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>
        <v>35</v>
      </c>
      <c r="J1530" s="3">
        <v>44808.79</v>
      </c>
      <c r="K1530" s="2">
        <v>11.21</v>
      </c>
      <c r="L1530" s="3">
        <v>1392500.36</v>
      </c>
      <c r="M1530">
        <v>46085</v>
      </c>
      <c r="N1530" s="1" t="s">
        <v>58</v>
      </c>
      <c r="O1530" s="1" t="s">
        <v>35</v>
      </c>
      <c r="P1530" s="1" t="s">
        <v>53</v>
      </c>
    </row>
    <row r="1531" spans="1:16" x14ac:dyDescent="0.25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>
        <v>23</v>
      </c>
      <c r="J1531" s="3">
        <v>9263.91</v>
      </c>
      <c r="K1531" s="2">
        <v>0.66</v>
      </c>
      <c r="L1531" s="3">
        <v>211663.67</v>
      </c>
      <c r="M1531">
        <v>46337</v>
      </c>
      <c r="N1531" s="1" t="s">
        <v>113</v>
      </c>
      <c r="O1531" s="1" t="s">
        <v>35</v>
      </c>
      <c r="P1531" s="1" t="s">
        <v>26</v>
      </c>
    </row>
    <row r="1532" spans="1:16" x14ac:dyDescent="0.25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>
        <v>13</v>
      </c>
      <c r="J1532" s="3">
        <v>48147.75</v>
      </c>
      <c r="K1532" s="2">
        <v>18.53</v>
      </c>
      <c r="L1532" s="3">
        <v>509937.64</v>
      </c>
      <c r="M1532">
        <v>46168</v>
      </c>
      <c r="N1532" s="1" t="s">
        <v>24</v>
      </c>
      <c r="O1532" s="1" t="s">
        <v>35</v>
      </c>
      <c r="P1532" s="1" t="s">
        <v>53</v>
      </c>
    </row>
    <row r="1533" spans="1:16" x14ac:dyDescent="0.25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>
        <v>40</v>
      </c>
      <c r="J1533" s="3">
        <v>10574.05</v>
      </c>
      <c r="K1533" s="2">
        <v>18.14</v>
      </c>
      <c r="L1533" s="3">
        <v>346236.69</v>
      </c>
      <c r="M1533">
        <v>46240</v>
      </c>
      <c r="N1533" s="1" t="s">
        <v>24</v>
      </c>
      <c r="O1533" s="1" t="s">
        <v>35</v>
      </c>
      <c r="P1533" s="1" t="s">
        <v>36</v>
      </c>
    </row>
    <row r="1534" spans="1:16" x14ac:dyDescent="0.25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>
        <v>38</v>
      </c>
      <c r="J1534" s="3">
        <v>36828.99</v>
      </c>
      <c r="K1534" s="2">
        <v>11.62</v>
      </c>
      <c r="L1534" s="3">
        <v>1236879.53</v>
      </c>
      <c r="M1534">
        <v>46304</v>
      </c>
      <c r="N1534" s="1" t="s">
        <v>45</v>
      </c>
      <c r="O1534" s="1" t="s">
        <v>25</v>
      </c>
      <c r="P1534" s="1" t="s">
        <v>26</v>
      </c>
    </row>
    <row r="1535" spans="1:16" x14ac:dyDescent="0.25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>
        <v>30</v>
      </c>
      <c r="J1535" s="3">
        <v>40848.449999999997</v>
      </c>
      <c r="K1535" s="2">
        <v>13.71</v>
      </c>
      <c r="L1535" s="3">
        <v>1057443.83</v>
      </c>
      <c r="M1535">
        <v>46239</v>
      </c>
      <c r="N1535" s="1" t="s">
        <v>24</v>
      </c>
      <c r="O1535" s="1" t="s">
        <v>59</v>
      </c>
      <c r="P1535" s="1" t="s">
        <v>36</v>
      </c>
    </row>
    <row r="1536" spans="1:16" x14ac:dyDescent="0.25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>
        <v>1</v>
      </c>
      <c r="J1536" s="3">
        <v>2926.65</v>
      </c>
      <c r="K1536" s="2">
        <v>16.98</v>
      </c>
      <c r="L1536" s="3">
        <v>2429.6999999999998</v>
      </c>
      <c r="M1536">
        <v>46127</v>
      </c>
      <c r="N1536" s="1" t="s">
        <v>45</v>
      </c>
      <c r="O1536" s="1" t="s">
        <v>35</v>
      </c>
      <c r="P1536" s="1" t="s">
        <v>36</v>
      </c>
    </row>
    <row r="1537" spans="1:16" x14ac:dyDescent="0.25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>
        <v>4</v>
      </c>
      <c r="J1537" s="3">
        <v>24283.39</v>
      </c>
      <c r="K1537" s="2">
        <v>4.1399999999999997</v>
      </c>
      <c r="L1537" s="3">
        <v>93112.23</v>
      </c>
      <c r="M1537">
        <v>46139</v>
      </c>
      <c r="N1537" s="1" t="s">
        <v>68</v>
      </c>
      <c r="O1537" s="1" t="s">
        <v>35</v>
      </c>
      <c r="P1537" s="1" t="s">
        <v>53</v>
      </c>
    </row>
    <row r="1538" spans="1:16" x14ac:dyDescent="0.25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>
        <v>26</v>
      </c>
      <c r="J1538" s="3">
        <v>3491.72</v>
      </c>
      <c r="K1538" s="2">
        <v>14.22</v>
      </c>
      <c r="L1538" s="3">
        <v>77875.13</v>
      </c>
      <c r="M1538">
        <v>46138</v>
      </c>
      <c r="N1538" s="1" t="s">
        <v>113</v>
      </c>
      <c r="O1538" s="1" t="s">
        <v>35</v>
      </c>
      <c r="P1538" s="1" t="s">
        <v>26</v>
      </c>
    </row>
    <row r="1539" spans="1:16" x14ac:dyDescent="0.25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>
        <v>43</v>
      </c>
      <c r="J1539" s="3">
        <v>49424.82</v>
      </c>
      <c r="K1539" s="2">
        <v>8.7100000000000009</v>
      </c>
      <c r="L1539" s="3">
        <v>1940156.48</v>
      </c>
      <c r="M1539">
        <v>46320</v>
      </c>
      <c r="N1539" s="1" t="s">
        <v>68</v>
      </c>
      <c r="O1539" s="1" t="s">
        <v>35</v>
      </c>
      <c r="P1539" s="1" t="s">
        <v>36</v>
      </c>
    </row>
    <row r="1540" spans="1:16" x14ac:dyDescent="0.25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>
        <v>49</v>
      </c>
      <c r="J1540" s="3">
        <v>8314.2800000000007</v>
      </c>
      <c r="K1540" s="2">
        <v>19.55</v>
      </c>
      <c r="L1540" s="3">
        <v>327753.07</v>
      </c>
      <c r="M1540">
        <v>46299</v>
      </c>
      <c r="N1540" s="1" t="s">
        <v>24</v>
      </c>
      <c r="O1540" s="1" t="s">
        <v>35</v>
      </c>
      <c r="P1540" s="1" t="s">
        <v>36</v>
      </c>
    </row>
    <row r="1541" spans="1:16" x14ac:dyDescent="0.25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>
        <v>42</v>
      </c>
      <c r="J1541" s="3">
        <v>22250.97</v>
      </c>
      <c r="K1541" s="2">
        <v>8.5399999999999991</v>
      </c>
      <c r="L1541" s="3">
        <v>854730.96</v>
      </c>
      <c r="M1541">
        <v>46258</v>
      </c>
      <c r="N1541" s="1" t="s">
        <v>45</v>
      </c>
      <c r="O1541" s="1" t="s">
        <v>35</v>
      </c>
      <c r="P1541" s="1" t="s">
        <v>53</v>
      </c>
    </row>
    <row r="1542" spans="1:16" x14ac:dyDescent="0.25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>
        <v>16</v>
      </c>
      <c r="J1542" s="3">
        <v>19951.87</v>
      </c>
      <c r="K1542" s="2">
        <v>1.22</v>
      </c>
      <c r="L1542" s="3">
        <v>315335.31</v>
      </c>
      <c r="M1542">
        <v>46268</v>
      </c>
      <c r="N1542" s="1" t="s">
        <v>45</v>
      </c>
      <c r="O1542" s="1" t="s">
        <v>35</v>
      </c>
      <c r="P1542" s="1" t="s">
        <v>53</v>
      </c>
    </row>
    <row r="1543" spans="1:16" x14ac:dyDescent="0.25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>
        <v>12</v>
      </c>
      <c r="J1543" s="3">
        <v>23813.82</v>
      </c>
      <c r="K1543" s="2">
        <v>0.72</v>
      </c>
      <c r="L1543" s="3">
        <v>283708.33</v>
      </c>
      <c r="M1543">
        <v>46207</v>
      </c>
      <c r="N1543" s="1" t="s">
        <v>45</v>
      </c>
      <c r="O1543" s="1" t="s">
        <v>25</v>
      </c>
      <c r="P1543" s="1" t="s">
        <v>36</v>
      </c>
    </row>
    <row r="1544" spans="1:16" x14ac:dyDescent="0.25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>
        <v>45</v>
      </c>
      <c r="J1544" s="3">
        <v>17780.52</v>
      </c>
      <c r="K1544" s="2">
        <v>5.7</v>
      </c>
      <c r="L1544" s="3">
        <v>754516.37</v>
      </c>
      <c r="M1544">
        <v>46067</v>
      </c>
      <c r="N1544" s="1" t="s">
        <v>68</v>
      </c>
      <c r="O1544" s="1" t="s">
        <v>25</v>
      </c>
      <c r="P1544" s="1" t="s">
        <v>26</v>
      </c>
    </row>
    <row r="1545" spans="1:16" x14ac:dyDescent="0.25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>
        <v>5</v>
      </c>
      <c r="J1545" s="3">
        <v>3660.71</v>
      </c>
      <c r="K1545" s="2">
        <v>5.41</v>
      </c>
      <c r="L1545" s="3">
        <v>17313.330000000002</v>
      </c>
      <c r="M1545">
        <v>46120</v>
      </c>
      <c r="N1545" s="1" t="s">
        <v>68</v>
      </c>
      <c r="O1545" s="1" t="s">
        <v>35</v>
      </c>
      <c r="P1545" s="1" t="s">
        <v>26</v>
      </c>
    </row>
    <row r="1546" spans="1:16" x14ac:dyDescent="0.25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>
        <v>34</v>
      </c>
      <c r="J1546" s="3">
        <v>31405.59</v>
      </c>
      <c r="K1546" s="2">
        <v>14.28</v>
      </c>
      <c r="L1546" s="3">
        <v>915309.64</v>
      </c>
      <c r="M1546">
        <v>46352</v>
      </c>
      <c r="N1546" s="1" t="s">
        <v>68</v>
      </c>
      <c r="O1546" s="1" t="s">
        <v>35</v>
      </c>
      <c r="P1546" s="1" t="s">
        <v>53</v>
      </c>
    </row>
    <row r="1547" spans="1:16" x14ac:dyDescent="0.25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>
        <v>16</v>
      </c>
      <c r="J1547" s="3">
        <v>44170.58</v>
      </c>
      <c r="K1547" s="2">
        <v>3.16</v>
      </c>
      <c r="L1547" s="3">
        <v>684396.63</v>
      </c>
      <c r="M1547">
        <v>46241</v>
      </c>
      <c r="N1547" s="1" t="s">
        <v>24</v>
      </c>
      <c r="O1547" s="1" t="s">
        <v>35</v>
      </c>
      <c r="P1547" s="1" t="s">
        <v>26</v>
      </c>
    </row>
    <row r="1548" spans="1:16" x14ac:dyDescent="0.25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>
        <v>20</v>
      </c>
      <c r="J1548" s="3">
        <v>6390.67</v>
      </c>
      <c r="K1548" s="2">
        <v>7.54</v>
      </c>
      <c r="L1548" s="3">
        <v>118176.27</v>
      </c>
      <c r="M1548">
        <v>46216</v>
      </c>
      <c r="N1548" s="1" t="s">
        <v>68</v>
      </c>
      <c r="O1548" s="1" t="s">
        <v>35</v>
      </c>
      <c r="P1548" s="1" t="s">
        <v>26</v>
      </c>
    </row>
    <row r="1549" spans="1:16" x14ac:dyDescent="0.25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>
        <v>27</v>
      </c>
      <c r="J1549" s="3">
        <v>25873.34</v>
      </c>
      <c r="K1549" s="2">
        <v>7.02</v>
      </c>
      <c r="L1549" s="3">
        <v>649539.85</v>
      </c>
      <c r="M1549">
        <v>46102</v>
      </c>
      <c r="N1549" s="1" t="s">
        <v>45</v>
      </c>
      <c r="O1549" s="1" t="s">
        <v>35</v>
      </c>
      <c r="P1549" s="1" t="s">
        <v>36</v>
      </c>
    </row>
    <row r="1550" spans="1:16" x14ac:dyDescent="0.25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>
        <v>12</v>
      </c>
      <c r="J1550" s="3">
        <v>10253.01</v>
      </c>
      <c r="K1550" s="2">
        <v>10.64</v>
      </c>
      <c r="L1550" s="3">
        <v>109945.08</v>
      </c>
      <c r="M1550">
        <v>46130</v>
      </c>
      <c r="N1550" s="1" t="s">
        <v>24</v>
      </c>
      <c r="O1550" s="1" t="s">
        <v>35</v>
      </c>
      <c r="P1550" s="1" t="s">
        <v>36</v>
      </c>
    </row>
    <row r="1551" spans="1:16" x14ac:dyDescent="0.25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>
        <v>40</v>
      </c>
      <c r="J1551" s="3">
        <v>3410.48</v>
      </c>
      <c r="K1551" s="2">
        <v>7.99</v>
      </c>
      <c r="L1551" s="3">
        <v>125519.31</v>
      </c>
      <c r="M1551">
        <v>46092</v>
      </c>
      <c r="N1551" s="1" t="s">
        <v>68</v>
      </c>
      <c r="O1551" s="1" t="s">
        <v>35</v>
      </c>
      <c r="P1551" s="1" t="s">
        <v>36</v>
      </c>
    </row>
    <row r="1552" spans="1:16" x14ac:dyDescent="0.25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>
        <v>23</v>
      </c>
      <c r="J1552" s="3">
        <v>49408.28</v>
      </c>
      <c r="K1552" s="2">
        <v>10.06</v>
      </c>
      <c r="L1552" s="3">
        <v>1022069.56</v>
      </c>
      <c r="M1552">
        <v>46058</v>
      </c>
      <c r="N1552" s="1" t="s">
        <v>113</v>
      </c>
      <c r="O1552" s="1" t="s">
        <v>35</v>
      </c>
      <c r="P1552" s="1" t="s">
        <v>53</v>
      </c>
    </row>
    <row r="1553" spans="1:16" x14ac:dyDescent="0.25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>
        <v>40</v>
      </c>
      <c r="J1553" s="3">
        <v>43679.07</v>
      </c>
      <c r="K1553" s="2">
        <v>7.52</v>
      </c>
      <c r="L1553" s="3">
        <v>1615776.16</v>
      </c>
      <c r="M1553">
        <v>46337</v>
      </c>
      <c r="N1553" s="1" t="s">
        <v>68</v>
      </c>
      <c r="O1553" s="1" t="s">
        <v>35</v>
      </c>
      <c r="P1553" s="1" t="s">
        <v>53</v>
      </c>
    </row>
    <row r="1554" spans="1:16" x14ac:dyDescent="0.25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>
        <v>5</v>
      </c>
      <c r="J1554" s="3">
        <v>26057.14</v>
      </c>
      <c r="K1554" s="2">
        <v>14.97</v>
      </c>
      <c r="L1554" s="3">
        <v>110781.93</v>
      </c>
      <c r="M1554">
        <v>46155</v>
      </c>
      <c r="N1554" s="1" t="s">
        <v>58</v>
      </c>
      <c r="O1554" s="1" t="s">
        <v>35</v>
      </c>
      <c r="P1554" s="1" t="s">
        <v>26</v>
      </c>
    </row>
    <row r="1555" spans="1:16" x14ac:dyDescent="0.25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>
        <v>35</v>
      </c>
      <c r="J1555" s="3">
        <v>1800.36</v>
      </c>
      <c r="K1555" s="2">
        <v>5.33</v>
      </c>
      <c r="L1555" s="3">
        <v>59654.03</v>
      </c>
      <c r="M1555">
        <v>46093</v>
      </c>
      <c r="N1555" s="1" t="s">
        <v>68</v>
      </c>
      <c r="O1555" s="1" t="s">
        <v>35</v>
      </c>
      <c r="P1555" s="1" t="s">
        <v>36</v>
      </c>
    </row>
    <row r="1556" spans="1:16" x14ac:dyDescent="0.25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>
        <v>9</v>
      </c>
      <c r="J1556" s="3">
        <v>29945.69</v>
      </c>
      <c r="K1556" s="2">
        <v>3.17</v>
      </c>
      <c r="L1556" s="3">
        <v>260967.7</v>
      </c>
      <c r="M1556">
        <v>46283</v>
      </c>
      <c r="N1556" s="1" t="s">
        <v>113</v>
      </c>
      <c r="O1556" s="1" t="s">
        <v>59</v>
      </c>
      <c r="P1556" s="1" t="s">
        <v>36</v>
      </c>
    </row>
    <row r="1557" spans="1:16" x14ac:dyDescent="0.25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>
        <v>20</v>
      </c>
      <c r="J1557" s="3">
        <v>14732.51</v>
      </c>
      <c r="K1557" s="2">
        <v>1.59</v>
      </c>
      <c r="L1557" s="3">
        <v>289965.26</v>
      </c>
      <c r="M1557">
        <v>46303</v>
      </c>
      <c r="N1557" s="1" t="s">
        <v>45</v>
      </c>
      <c r="O1557" s="1" t="s">
        <v>35</v>
      </c>
      <c r="P1557" s="1" t="s">
        <v>26</v>
      </c>
    </row>
    <row r="1558" spans="1:16" x14ac:dyDescent="0.25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>
        <v>39</v>
      </c>
      <c r="J1558" s="3">
        <v>2675.45</v>
      </c>
      <c r="K1558" s="2">
        <v>10.31</v>
      </c>
      <c r="L1558" s="3">
        <v>93584.83</v>
      </c>
      <c r="M1558">
        <v>46035</v>
      </c>
      <c r="N1558" s="1" t="s">
        <v>45</v>
      </c>
      <c r="O1558" s="1" t="s">
        <v>35</v>
      </c>
      <c r="P1558" s="1" t="s">
        <v>53</v>
      </c>
    </row>
    <row r="1559" spans="1:16" x14ac:dyDescent="0.25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>
        <v>50</v>
      </c>
      <c r="J1559" s="3">
        <v>9884.07</v>
      </c>
      <c r="K1559" s="2">
        <v>12.02</v>
      </c>
      <c r="L1559" s="3">
        <v>434800.24</v>
      </c>
      <c r="M1559">
        <v>46234</v>
      </c>
      <c r="N1559" s="1" t="s">
        <v>58</v>
      </c>
      <c r="O1559" s="1" t="s">
        <v>35</v>
      </c>
      <c r="P1559" s="1" t="s">
        <v>36</v>
      </c>
    </row>
    <row r="1560" spans="1:16" x14ac:dyDescent="0.25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>
        <v>11</v>
      </c>
      <c r="J1560" s="3">
        <v>23850.89</v>
      </c>
      <c r="K1560" s="2">
        <v>5.68</v>
      </c>
      <c r="L1560" s="3">
        <v>247457.75</v>
      </c>
      <c r="M1560">
        <v>46341</v>
      </c>
      <c r="N1560" s="1" t="s">
        <v>113</v>
      </c>
      <c r="O1560" s="1" t="s">
        <v>35</v>
      </c>
      <c r="P1560" s="1" t="s">
        <v>53</v>
      </c>
    </row>
    <row r="1561" spans="1:16" x14ac:dyDescent="0.25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>
        <v>43</v>
      </c>
      <c r="J1561" s="3">
        <v>49129.94</v>
      </c>
      <c r="K1561" s="2">
        <v>1.71</v>
      </c>
      <c r="L1561" s="3">
        <v>2076462.18</v>
      </c>
      <c r="M1561">
        <v>46182</v>
      </c>
      <c r="N1561" s="1" t="s">
        <v>45</v>
      </c>
      <c r="O1561" s="1" t="s">
        <v>35</v>
      </c>
      <c r="P1561" s="1" t="s">
        <v>53</v>
      </c>
    </row>
    <row r="1562" spans="1:16" x14ac:dyDescent="0.25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>
        <v>18</v>
      </c>
      <c r="J1562" s="3">
        <v>8354.98</v>
      </c>
      <c r="K1562" s="2">
        <v>1.26</v>
      </c>
      <c r="L1562" s="3">
        <v>148494.73000000001</v>
      </c>
      <c r="M1562">
        <v>46303</v>
      </c>
      <c r="N1562" s="1" t="s">
        <v>68</v>
      </c>
      <c r="O1562" s="1" t="s">
        <v>35</v>
      </c>
      <c r="P1562" s="1" t="s">
        <v>53</v>
      </c>
    </row>
    <row r="1563" spans="1:16" x14ac:dyDescent="0.25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>
        <v>47</v>
      </c>
      <c r="J1563" s="3">
        <v>5674.73</v>
      </c>
      <c r="K1563" s="2">
        <v>8.76</v>
      </c>
      <c r="L1563" s="3">
        <v>243348.31</v>
      </c>
      <c r="M1563">
        <v>46137</v>
      </c>
      <c r="N1563" s="1" t="s">
        <v>58</v>
      </c>
      <c r="O1563" s="1" t="s">
        <v>25</v>
      </c>
      <c r="P1563" s="1" t="s">
        <v>53</v>
      </c>
    </row>
    <row r="1564" spans="1:16" x14ac:dyDescent="0.25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>
        <v>7</v>
      </c>
      <c r="J1564" s="3">
        <v>34465.5</v>
      </c>
      <c r="K1564" s="2">
        <v>19.329999999999998</v>
      </c>
      <c r="L1564" s="3">
        <v>194623.23</v>
      </c>
      <c r="M1564">
        <v>46097</v>
      </c>
      <c r="N1564" s="1" t="s">
        <v>45</v>
      </c>
      <c r="O1564" s="1" t="s">
        <v>25</v>
      </c>
      <c r="P1564" s="1" t="s">
        <v>53</v>
      </c>
    </row>
    <row r="1565" spans="1:16" x14ac:dyDescent="0.25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>
        <v>45</v>
      </c>
      <c r="J1565" s="3">
        <v>27284.7</v>
      </c>
      <c r="K1565" s="2">
        <v>18.16</v>
      </c>
      <c r="L1565" s="3">
        <v>1004840.93</v>
      </c>
      <c r="M1565">
        <v>46059</v>
      </c>
      <c r="N1565" s="1" t="s">
        <v>45</v>
      </c>
      <c r="O1565" s="1" t="s">
        <v>35</v>
      </c>
      <c r="P1565" s="1" t="s">
        <v>53</v>
      </c>
    </row>
    <row r="1566" spans="1:16" x14ac:dyDescent="0.25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>
        <v>19</v>
      </c>
      <c r="J1566" s="3">
        <v>40800.120000000003</v>
      </c>
      <c r="K1566" s="2">
        <v>11.12</v>
      </c>
      <c r="L1566" s="3">
        <v>688999.79</v>
      </c>
      <c r="M1566">
        <v>46067</v>
      </c>
      <c r="N1566" s="1" t="s">
        <v>113</v>
      </c>
      <c r="O1566" s="1" t="s">
        <v>35</v>
      </c>
      <c r="P1566" s="1" t="s">
        <v>53</v>
      </c>
    </row>
    <row r="1567" spans="1:16" x14ac:dyDescent="0.25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>
        <v>50</v>
      </c>
      <c r="J1567" s="3">
        <v>48361.49</v>
      </c>
      <c r="K1567" s="2">
        <v>6.06</v>
      </c>
      <c r="L1567" s="3">
        <v>2271539.19</v>
      </c>
      <c r="M1567">
        <v>46319</v>
      </c>
      <c r="N1567" s="1" t="s">
        <v>113</v>
      </c>
      <c r="O1567" s="1" t="s">
        <v>35</v>
      </c>
      <c r="P1567" s="1" t="s">
        <v>26</v>
      </c>
    </row>
    <row r="1568" spans="1:16" x14ac:dyDescent="0.25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>
        <v>39</v>
      </c>
      <c r="J1568" s="3">
        <v>12288.85</v>
      </c>
      <c r="K1568" s="2">
        <v>17.36</v>
      </c>
      <c r="L1568" s="3">
        <v>396064.72</v>
      </c>
      <c r="M1568">
        <v>46078</v>
      </c>
      <c r="N1568" s="1" t="s">
        <v>24</v>
      </c>
      <c r="O1568" s="1" t="s">
        <v>35</v>
      </c>
      <c r="P1568" s="1" t="s">
        <v>26</v>
      </c>
    </row>
    <row r="1569" spans="1:16" x14ac:dyDescent="0.25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>
        <v>5</v>
      </c>
      <c r="J1569" s="3">
        <v>14196.69</v>
      </c>
      <c r="K1569" s="2">
        <v>9.14</v>
      </c>
      <c r="L1569" s="3">
        <v>64495.56</v>
      </c>
      <c r="M1569">
        <v>46169</v>
      </c>
      <c r="N1569" s="1" t="s">
        <v>24</v>
      </c>
      <c r="O1569" s="1" t="s">
        <v>35</v>
      </c>
      <c r="P1569" s="1" t="s">
        <v>36</v>
      </c>
    </row>
    <row r="1570" spans="1:16" x14ac:dyDescent="0.25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>
        <v>28</v>
      </c>
      <c r="J1570" s="3">
        <v>25701.69</v>
      </c>
      <c r="K1570" s="2">
        <v>3.14</v>
      </c>
      <c r="L1570" s="3">
        <v>697050.39</v>
      </c>
      <c r="M1570">
        <v>46116</v>
      </c>
      <c r="N1570" s="1" t="s">
        <v>58</v>
      </c>
      <c r="O1570" s="1" t="s">
        <v>35</v>
      </c>
      <c r="P1570" s="1" t="s">
        <v>53</v>
      </c>
    </row>
    <row r="1571" spans="1:16" x14ac:dyDescent="0.25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>
        <v>8</v>
      </c>
      <c r="J1571" s="3">
        <v>5716.72</v>
      </c>
      <c r="K1571" s="2">
        <v>1.1399999999999999</v>
      </c>
      <c r="L1571" s="3">
        <v>45212.4</v>
      </c>
      <c r="M1571">
        <v>46058</v>
      </c>
      <c r="N1571" s="1" t="s">
        <v>58</v>
      </c>
      <c r="O1571" s="1" t="s">
        <v>35</v>
      </c>
      <c r="P1571" s="1" t="s">
        <v>26</v>
      </c>
    </row>
    <row r="1572" spans="1:16" x14ac:dyDescent="0.25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>
        <v>49</v>
      </c>
      <c r="J1572" s="3">
        <v>15529.71</v>
      </c>
      <c r="K1572" s="2">
        <v>4.17</v>
      </c>
      <c r="L1572" s="3">
        <v>729223.93</v>
      </c>
      <c r="M1572">
        <v>46239</v>
      </c>
      <c r="N1572" s="1" t="s">
        <v>45</v>
      </c>
      <c r="O1572" s="1" t="s">
        <v>35</v>
      </c>
      <c r="P1572" s="1" t="s">
        <v>53</v>
      </c>
    </row>
    <row r="1573" spans="1:16" x14ac:dyDescent="0.25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>
        <v>3</v>
      </c>
      <c r="J1573" s="3">
        <v>47176.53</v>
      </c>
      <c r="K1573" s="2">
        <v>4.6500000000000004</v>
      </c>
      <c r="L1573" s="3">
        <v>134948.46</v>
      </c>
      <c r="M1573">
        <v>46166</v>
      </c>
      <c r="N1573" s="1" t="s">
        <v>68</v>
      </c>
      <c r="O1573" s="1" t="s">
        <v>59</v>
      </c>
      <c r="P1573" s="1" t="s">
        <v>26</v>
      </c>
    </row>
    <row r="1574" spans="1:16" x14ac:dyDescent="0.25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>
        <v>32</v>
      </c>
      <c r="J1574" s="3">
        <v>20962.63</v>
      </c>
      <c r="K1574" s="2">
        <v>8.51</v>
      </c>
      <c r="L1574" s="3">
        <v>613718.73</v>
      </c>
      <c r="M1574">
        <v>46229</v>
      </c>
      <c r="N1574" s="1" t="s">
        <v>58</v>
      </c>
      <c r="O1574" s="1" t="s">
        <v>35</v>
      </c>
      <c r="P1574" s="1" t="s">
        <v>53</v>
      </c>
    </row>
    <row r="1575" spans="1:16" x14ac:dyDescent="0.25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>
        <v>47</v>
      </c>
      <c r="J1575" s="3">
        <v>3460.18</v>
      </c>
      <c r="K1575" s="2">
        <v>10.43</v>
      </c>
      <c r="L1575" s="3">
        <v>145666.31</v>
      </c>
      <c r="M1575">
        <v>46118</v>
      </c>
      <c r="N1575" s="1" t="s">
        <v>45</v>
      </c>
      <c r="O1575" s="1" t="s">
        <v>35</v>
      </c>
      <c r="P1575" s="1" t="s">
        <v>53</v>
      </c>
    </row>
    <row r="1576" spans="1:16" x14ac:dyDescent="0.25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>
        <v>14</v>
      </c>
      <c r="J1576" s="3">
        <v>21707.83</v>
      </c>
      <c r="K1576" s="2">
        <v>0.78</v>
      </c>
      <c r="L1576" s="3">
        <v>301539.12</v>
      </c>
      <c r="M1576">
        <v>46039</v>
      </c>
      <c r="N1576" s="1" t="s">
        <v>68</v>
      </c>
      <c r="O1576" s="1" t="s">
        <v>35</v>
      </c>
      <c r="P1576" s="1" t="s">
        <v>53</v>
      </c>
    </row>
    <row r="1577" spans="1:16" x14ac:dyDescent="0.25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>
        <v>20</v>
      </c>
      <c r="J1577" s="3">
        <v>36978.26</v>
      </c>
      <c r="K1577" s="2">
        <v>4.38</v>
      </c>
      <c r="L1577" s="3">
        <v>707172.24</v>
      </c>
      <c r="M1577">
        <v>46056</v>
      </c>
      <c r="N1577" s="1" t="s">
        <v>58</v>
      </c>
      <c r="O1577" s="1" t="s">
        <v>35</v>
      </c>
      <c r="P1577" s="1" t="s">
        <v>36</v>
      </c>
    </row>
    <row r="1578" spans="1:16" x14ac:dyDescent="0.25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>
        <v>50</v>
      </c>
      <c r="J1578" s="3">
        <v>21008.78</v>
      </c>
      <c r="K1578" s="2">
        <v>18.07</v>
      </c>
      <c r="L1578" s="3">
        <v>860624.67</v>
      </c>
      <c r="M1578">
        <v>46139</v>
      </c>
      <c r="N1578" s="1" t="s">
        <v>24</v>
      </c>
      <c r="O1578" s="1" t="s">
        <v>35</v>
      </c>
      <c r="P1578" s="1" t="s">
        <v>53</v>
      </c>
    </row>
    <row r="1579" spans="1:16" x14ac:dyDescent="0.25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>
        <v>5</v>
      </c>
      <c r="J1579" s="3">
        <v>48930.47</v>
      </c>
      <c r="K1579" s="2">
        <v>9.2100000000000009</v>
      </c>
      <c r="L1579" s="3">
        <v>222119.87</v>
      </c>
      <c r="M1579">
        <v>46371</v>
      </c>
      <c r="N1579" s="1" t="s">
        <v>24</v>
      </c>
      <c r="O1579" s="1" t="s">
        <v>35</v>
      </c>
      <c r="P1579" s="1" t="s">
        <v>26</v>
      </c>
    </row>
    <row r="1580" spans="1:16" x14ac:dyDescent="0.25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>
        <v>27</v>
      </c>
      <c r="J1580" s="3">
        <v>20393.099999999999</v>
      </c>
      <c r="K1580" s="2">
        <v>16.170000000000002</v>
      </c>
      <c r="L1580" s="3">
        <v>461579.46</v>
      </c>
      <c r="M1580">
        <v>46039</v>
      </c>
      <c r="N1580" s="1" t="s">
        <v>68</v>
      </c>
      <c r="O1580" s="1" t="s">
        <v>35</v>
      </c>
      <c r="P1580" s="1" t="s">
        <v>26</v>
      </c>
    </row>
    <row r="1581" spans="1:16" x14ac:dyDescent="0.25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>
        <v>30</v>
      </c>
      <c r="J1581" s="3">
        <v>39179.449999999997</v>
      </c>
      <c r="K1581" s="2">
        <v>11.8</v>
      </c>
      <c r="L1581" s="3">
        <v>1036688.25</v>
      </c>
      <c r="M1581">
        <v>46063</v>
      </c>
      <c r="N1581" s="1" t="s">
        <v>58</v>
      </c>
      <c r="O1581" s="1" t="s">
        <v>35</v>
      </c>
      <c r="P1581" s="1" t="s">
        <v>36</v>
      </c>
    </row>
    <row r="1582" spans="1:16" x14ac:dyDescent="0.25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>
        <v>4</v>
      </c>
      <c r="J1582" s="3">
        <v>2596.09</v>
      </c>
      <c r="K1582" s="2">
        <v>14.24</v>
      </c>
      <c r="L1582" s="3">
        <v>8905.6299999999992</v>
      </c>
      <c r="M1582">
        <v>46056</v>
      </c>
      <c r="N1582" s="1" t="s">
        <v>113</v>
      </c>
      <c r="O1582" s="1" t="s">
        <v>35</v>
      </c>
      <c r="P1582" s="1" t="s">
        <v>53</v>
      </c>
    </row>
    <row r="1583" spans="1:16" x14ac:dyDescent="0.25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>
        <v>24</v>
      </c>
      <c r="J1583" s="3">
        <v>40819.910000000003</v>
      </c>
      <c r="K1583" s="2">
        <v>1.4</v>
      </c>
      <c r="L1583" s="3">
        <v>965962.35</v>
      </c>
      <c r="M1583">
        <v>46339</v>
      </c>
      <c r="N1583" s="1" t="s">
        <v>58</v>
      </c>
      <c r="O1583" s="1" t="s">
        <v>25</v>
      </c>
      <c r="P1583" s="1" t="s">
        <v>53</v>
      </c>
    </row>
    <row r="1584" spans="1:16" x14ac:dyDescent="0.25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>
        <v>24</v>
      </c>
      <c r="J1584" s="3">
        <v>43039.040000000001</v>
      </c>
      <c r="K1584" s="2">
        <v>0.79</v>
      </c>
      <c r="L1584" s="3">
        <v>1024776.76</v>
      </c>
      <c r="M1584">
        <v>46116</v>
      </c>
      <c r="N1584" s="1" t="s">
        <v>58</v>
      </c>
      <c r="O1584" s="1" t="s">
        <v>59</v>
      </c>
      <c r="P1584" s="1" t="s">
        <v>36</v>
      </c>
    </row>
    <row r="1585" spans="1:16" x14ac:dyDescent="0.25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>
        <v>14</v>
      </c>
      <c r="J1585" s="3">
        <v>5745</v>
      </c>
      <c r="K1585" s="2">
        <v>17.739999999999998</v>
      </c>
      <c r="L1585" s="3">
        <v>66161.72</v>
      </c>
      <c r="M1585">
        <v>46365</v>
      </c>
      <c r="N1585" s="1" t="s">
        <v>68</v>
      </c>
      <c r="O1585" s="1" t="s">
        <v>35</v>
      </c>
      <c r="P1585" s="1" t="s">
        <v>26</v>
      </c>
    </row>
    <row r="1586" spans="1:16" x14ac:dyDescent="0.25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>
        <v>38</v>
      </c>
      <c r="J1586" s="3">
        <v>585.79</v>
      </c>
      <c r="K1586" s="2">
        <v>4.54</v>
      </c>
      <c r="L1586" s="3">
        <v>21249.42</v>
      </c>
      <c r="M1586">
        <v>46094</v>
      </c>
      <c r="N1586" s="1" t="s">
        <v>113</v>
      </c>
      <c r="O1586" s="1" t="s">
        <v>25</v>
      </c>
      <c r="P1586" s="1" t="s">
        <v>53</v>
      </c>
    </row>
    <row r="1587" spans="1:16" x14ac:dyDescent="0.25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>
        <v>41</v>
      </c>
      <c r="J1587" s="3">
        <v>31614.31</v>
      </c>
      <c r="K1587" s="2">
        <v>6.12</v>
      </c>
      <c r="L1587" s="3">
        <v>1216860.08</v>
      </c>
      <c r="M1587">
        <v>46159</v>
      </c>
      <c r="N1587" s="1" t="s">
        <v>68</v>
      </c>
      <c r="O1587" s="1" t="s">
        <v>35</v>
      </c>
      <c r="P1587" s="1" t="s">
        <v>26</v>
      </c>
    </row>
    <row r="1588" spans="1:16" x14ac:dyDescent="0.25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>
        <v>10</v>
      </c>
      <c r="J1588" s="3">
        <v>871.15</v>
      </c>
      <c r="K1588" s="2">
        <v>14.28</v>
      </c>
      <c r="L1588" s="3">
        <v>7467.5</v>
      </c>
      <c r="M1588">
        <v>46067</v>
      </c>
      <c r="N1588" s="1" t="s">
        <v>58</v>
      </c>
      <c r="O1588" s="1" t="s">
        <v>35</v>
      </c>
      <c r="P1588" s="1" t="s">
        <v>36</v>
      </c>
    </row>
    <row r="1589" spans="1:16" x14ac:dyDescent="0.25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>
        <v>50</v>
      </c>
      <c r="J1589" s="3">
        <v>49415.98</v>
      </c>
      <c r="K1589" s="2">
        <v>7.8</v>
      </c>
      <c r="L1589" s="3">
        <v>2278076.6800000002</v>
      </c>
      <c r="M1589">
        <v>46356</v>
      </c>
      <c r="N1589" s="1" t="s">
        <v>68</v>
      </c>
      <c r="O1589" s="1" t="s">
        <v>35</v>
      </c>
      <c r="P1589" s="1" t="s">
        <v>53</v>
      </c>
    </row>
    <row r="1590" spans="1:16" x14ac:dyDescent="0.25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>
        <v>11</v>
      </c>
      <c r="J1590" s="3">
        <v>14981.67</v>
      </c>
      <c r="K1590" s="2">
        <v>10.06</v>
      </c>
      <c r="L1590" s="3">
        <v>148219.65</v>
      </c>
      <c r="M1590">
        <v>46320</v>
      </c>
      <c r="N1590" s="1" t="s">
        <v>24</v>
      </c>
      <c r="O1590" s="1" t="s">
        <v>25</v>
      </c>
      <c r="P1590" s="1" t="s">
        <v>36</v>
      </c>
    </row>
    <row r="1591" spans="1:16" x14ac:dyDescent="0.25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>
        <v>13</v>
      </c>
      <c r="J1591" s="3">
        <v>17954.82</v>
      </c>
      <c r="K1591" s="2">
        <v>7.25</v>
      </c>
      <c r="L1591" s="3">
        <v>216490.23999999999</v>
      </c>
      <c r="M1591">
        <v>46129</v>
      </c>
      <c r="N1591" s="1" t="s">
        <v>45</v>
      </c>
      <c r="O1591" s="1" t="s">
        <v>35</v>
      </c>
      <c r="P1591" s="1" t="s">
        <v>26</v>
      </c>
    </row>
    <row r="1592" spans="1:16" x14ac:dyDescent="0.25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>
        <v>34</v>
      </c>
      <c r="J1592" s="3">
        <v>37766.11</v>
      </c>
      <c r="K1592" s="2">
        <v>15.58</v>
      </c>
      <c r="L1592" s="3">
        <v>1083993.1000000001</v>
      </c>
      <c r="M1592">
        <v>46040</v>
      </c>
      <c r="N1592" s="1" t="s">
        <v>45</v>
      </c>
      <c r="O1592" s="1" t="s">
        <v>35</v>
      </c>
      <c r="P1592" s="1" t="s">
        <v>36</v>
      </c>
    </row>
    <row r="1593" spans="1:16" x14ac:dyDescent="0.25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>
        <v>17</v>
      </c>
      <c r="J1593" s="3">
        <v>4692.67</v>
      </c>
      <c r="K1593" s="2">
        <v>11.58</v>
      </c>
      <c r="L1593" s="3">
        <v>70537.399999999994</v>
      </c>
      <c r="M1593">
        <v>46235</v>
      </c>
      <c r="N1593" s="1" t="s">
        <v>113</v>
      </c>
      <c r="O1593" s="1" t="s">
        <v>35</v>
      </c>
      <c r="P1593" s="1" t="s">
        <v>53</v>
      </c>
    </row>
    <row r="1594" spans="1:16" x14ac:dyDescent="0.25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>
        <v>1</v>
      </c>
      <c r="J1594" s="3">
        <v>2344.39</v>
      </c>
      <c r="K1594" s="2">
        <v>18.09</v>
      </c>
      <c r="L1594" s="3">
        <v>1920.29</v>
      </c>
      <c r="M1594">
        <v>46198</v>
      </c>
      <c r="N1594" s="1" t="s">
        <v>24</v>
      </c>
      <c r="O1594" s="1" t="s">
        <v>35</v>
      </c>
      <c r="P1594" s="1" t="s">
        <v>36</v>
      </c>
    </row>
    <row r="1595" spans="1:16" x14ac:dyDescent="0.25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>
        <v>12</v>
      </c>
      <c r="J1595" s="3">
        <v>2779.89</v>
      </c>
      <c r="K1595" s="2">
        <v>19.3</v>
      </c>
      <c r="L1595" s="3">
        <v>26920.45</v>
      </c>
      <c r="M1595">
        <v>46316</v>
      </c>
      <c r="N1595" s="1" t="s">
        <v>24</v>
      </c>
      <c r="O1595" s="1" t="s">
        <v>35</v>
      </c>
      <c r="P1595" s="1" t="s">
        <v>26</v>
      </c>
    </row>
    <row r="1596" spans="1:16" x14ac:dyDescent="0.25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>
        <v>35</v>
      </c>
      <c r="J1596" s="3">
        <v>36948.43</v>
      </c>
      <c r="K1596" s="2">
        <v>16.37</v>
      </c>
      <c r="L1596" s="3">
        <v>1081499.02</v>
      </c>
      <c r="M1596">
        <v>46085</v>
      </c>
      <c r="N1596" s="1" t="s">
        <v>45</v>
      </c>
      <c r="O1596" s="1" t="s">
        <v>35</v>
      </c>
      <c r="P1596" s="1" t="s">
        <v>26</v>
      </c>
    </row>
    <row r="1597" spans="1:16" x14ac:dyDescent="0.25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>
        <v>21</v>
      </c>
      <c r="J1597" s="3">
        <v>8008.13</v>
      </c>
      <c r="K1597" s="2">
        <v>2.65</v>
      </c>
      <c r="L1597" s="3">
        <v>163714.21</v>
      </c>
      <c r="M1597">
        <v>46170</v>
      </c>
      <c r="N1597" s="1" t="s">
        <v>24</v>
      </c>
      <c r="O1597" s="1" t="s">
        <v>35</v>
      </c>
      <c r="P1597" s="1" t="s">
        <v>36</v>
      </c>
    </row>
    <row r="1598" spans="1:16" x14ac:dyDescent="0.25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>
        <v>36</v>
      </c>
      <c r="J1598" s="3">
        <v>42071.29</v>
      </c>
      <c r="K1598" s="2">
        <v>12.57</v>
      </c>
      <c r="L1598" s="3">
        <v>1324185.44</v>
      </c>
      <c r="M1598">
        <v>46109</v>
      </c>
      <c r="N1598" s="1" t="s">
        <v>58</v>
      </c>
      <c r="O1598" s="1" t="s">
        <v>35</v>
      </c>
      <c r="P1598" s="1" t="s">
        <v>36</v>
      </c>
    </row>
    <row r="1599" spans="1:16" x14ac:dyDescent="0.25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>
        <v>8</v>
      </c>
      <c r="J1599" s="3">
        <v>18066.849999999999</v>
      </c>
      <c r="K1599" s="2">
        <v>19.989999999999998</v>
      </c>
      <c r="L1599" s="3">
        <v>115642.29</v>
      </c>
      <c r="M1599">
        <v>46047</v>
      </c>
      <c r="N1599" s="1" t="s">
        <v>45</v>
      </c>
      <c r="O1599" s="1" t="s">
        <v>35</v>
      </c>
      <c r="P1599" s="1" t="s">
        <v>26</v>
      </c>
    </row>
    <row r="1600" spans="1:16" x14ac:dyDescent="0.25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>
        <v>27</v>
      </c>
      <c r="J1600" s="3">
        <v>6578.21</v>
      </c>
      <c r="K1600" s="2">
        <v>14.07</v>
      </c>
      <c r="L1600" s="3">
        <v>152621.71</v>
      </c>
      <c r="M1600">
        <v>46246</v>
      </c>
      <c r="N1600" s="1" t="s">
        <v>113</v>
      </c>
      <c r="O1600" s="1" t="s">
        <v>59</v>
      </c>
      <c r="P1600" s="1" t="s">
        <v>36</v>
      </c>
    </row>
    <row r="1601" spans="1:16" x14ac:dyDescent="0.25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>
        <v>7</v>
      </c>
      <c r="J1601" s="3">
        <v>40465.019999999997</v>
      </c>
      <c r="K1601" s="2">
        <v>16.420000000000002</v>
      </c>
      <c r="L1601" s="3">
        <v>236744.65</v>
      </c>
      <c r="M1601">
        <v>46294</v>
      </c>
      <c r="N1601" s="1" t="s">
        <v>68</v>
      </c>
      <c r="O1601" s="1" t="s">
        <v>35</v>
      </c>
      <c r="P1601" s="1" t="s">
        <v>26</v>
      </c>
    </row>
    <row r="1602" spans="1:16" x14ac:dyDescent="0.25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>
        <v>1</v>
      </c>
      <c r="J1602" s="3">
        <v>49856.91</v>
      </c>
      <c r="K1602" s="2">
        <v>0.56999999999999995</v>
      </c>
      <c r="L1602" s="3">
        <v>49572.73</v>
      </c>
      <c r="M1602">
        <v>46327</v>
      </c>
      <c r="N1602" s="1" t="s">
        <v>45</v>
      </c>
      <c r="O1602" s="1" t="s">
        <v>35</v>
      </c>
      <c r="P1602" s="1" t="s">
        <v>26</v>
      </c>
    </row>
    <row r="1603" spans="1:16" x14ac:dyDescent="0.25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>
        <v>18</v>
      </c>
      <c r="J1603" s="3">
        <v>40660.17</v>
      </c>
      <c r="K1603" s="2">
        <v>4.5</v>
      </c>
      <c r="L1603" s="3">
        <v>698948.32</v>
      </c>
      <c r="M1603">
        <v>46156</v>
      </c>
      <c r="N1603" s="1" t="s">
        <v>68</v>
      </c>
      <c r="O1603" s="1" t="s">
        <v>35</v>
      </c>
      <c r="P1603" s="1" t="s">
        <v>53</v>
      </c>
    </row>
    <row r="1604" spans="1:16" x14ac:dyDescent="0.25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>
        <v>9</v>
      </c>
      <c r="J1604" s="3">
        <v>49743.42</v>
      </c>
      <c r="K1604" s="2">
        <v>12.54</v>
      </c>
      <c r="L1604" s="3">
        <v>391550.36</v>
      </c>
      <c r="M1604">
        <v>46359</v>
      </c>
      <c r="N1604" s="1" t="s">
        <v>68</v>
      </c>
      <c r="O1604" s="1" t="s">
        <v>35</v>
      </c>
      <c r="P1604" s="1" t="s">
        <v>53</v>
      </c>
    </row>
    <row r="1605" spans="1:16" x14ac:dyDescent="0.25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>
        <v>13</v>
      </c>
      <c r="J1605" s="3">
        <v>31497.65</v>
      </c>
      <c r="K1605" s="2">
        <v>9.8800000000000008</v>
      </c>
      <c r="L1605" s="3">
        <v>369013.87</v>
      </c>
      <c r="M1605">
        <v>46118</v>
      </c>
      <c r="N1605" s="1" t="s">
        <v>68</v>
      </c>
      <c r="O1605" s="1" t="s">
        <v>35</v>
      </c>
      <c r="P1605" s="1" t="s">
        <v>36</v>
      </c>
    </row>
    <row r="1606" spans="1:16" x14ac:dyDescent="0.25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>
        <v>47</v>
      </c>
      <c r="J1606" s="3">
        <v>37864.160000000003</v>
      </c>
      <c r="K1606" s="2">
        <v>3.33</v>
      </c>
      <c r="L1606" s="3">
        <v>1720354.32</v>
      </c>
      <c r="M1606">
        <v>46199</v>
      </c>
      <c r="N1606" s="1" t="s">
        <v>24</v>
      </c>
      <c r="O1606" s="1" t="s">
        <v>35</v>
      </c>
      <c r="P1606" s="1" t="s">
        <v>36</v>
      </c>
    </row>
    <row r="1607" spans="1:16" x14ac:dyDescent="0.25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>
        <v>43</v>
      </c>
      <c r="J1607" s="3">
        <v>12867.43</v>
      </c>
      <c r="K1607" s="2">
        <v>1.75</v>
      </c>
      <c r="L1607" s="3">
        <v>543616.75</v>
      </c>
      <c r="M1607">
        <v>46094</v>
      </c>
      <c r="N1607" s="1" t="s">
        <v>58</v>
      </c>
      <c r="O1607" s="1" t="s">
        <v>35</v>
      </c>
      <c r="P1607" s="1" t="s">
        <v>26</v>
      </c>
    </row>
    <row r="1608" spans="1:16" x14ac:dyDescent="0.25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>
        <v>39</v>
      </c>
      <c r="J1608" s="3">
        <v>3535.99</v>
      </c>
      <c r="K1608" s="2">
        <v>16.690000000000001</v>
      </c>
      <c r="L1608" s="3">
        <v>114887.5</v>
      </c>
      <c r="M1608">
        <v>46259</v>
      </c>
      <c r="N1608" s="1" t="s">
        <v>45</v>
      </c>
      <c r="O1608" s="1" t="s">
        <v>35</v>
      </c>
      <c r="P1608" s="1" t="s">
        <v>26</v>
      </c>
    </row>
    <row r="1609" spans="1:16" x14ac:dyDescent="0.25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>
        <v>50</v>
      </c>
      <c r="J1609" s="3">
        <v>12226.05</v>
      </c>
      <c r="K1609" s="2">
        <v>18.47</v>
      </c>
      <c r="L1609" s="3">
        <v>498394.93</v>
      </c>
      <c r="M1609">
        <v>46332</v>
      </c>
      <c r="N1609" s="1" t="s">
        <v>24</v>
      </c>
      <c r="O1609" s="1" t="s">
        <v>35</v>
      </c>
      <c r="P1609" s="1" t="s">
        <v>53</v>
      </c>
    </row>
    <row r="1610" spans="1:16" x14ac:dyDescent="0.25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>
        <v>26</v>
      </c>
      <c r="J1610" s="3">
        <v>20696.689999999999</v>
      </c>
      <c r="K1610" s="2">
        <v>9.5299999999999994</v>
      </c>
      <c r="L1610" s="3">
        <v>486831.68</v>
      </c>
      <c r="M1610">
        <v>46123</v>
      </c>
      <c r="N1610" s="1" t="s">
        <v>113</v>
      </c>
      <c r="O1610" s="1" t="s">
        <v>35</v>
      </c>
      <c r="P1610" s="1" t="s">
        <v>26</v>
      </c>
    </row>
    <row r="1611" spans="1:16" x14ac:dyDescent="0.25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>
        <v>13</v>
      </c>
      <c r="J1611" s="3">
        <v>20903.259999999998</v>
      </c>
      <c r="K1611" s="2">
        <v>17.920000000000002</v>
      </c>
      <c r="L1611" s="3">
        <v>223046.15</v>
      </c>
      <c r="M1611">
        <v>46335</v>
      </c>
      <c r="N1611" s="1" t="s">
        <v>24</v>
      </c>
      <c r="O1611" s="1" t="s">
        <v>35</v>
      </c>
      <c r="P1611" s="1" t="s">
        <v>36</v>
      </c>
    </row>
    <row r="1612" spans="1:16" x14ac:dyDescent="0.25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>
        <v>48</v>
      </c>
      <c r="J1612" s="3">
        <v>21219.759999999998</v>
      </c>
      <c r="K1612" s="2">
        <v>8.36</v>
      </c>
      <c r="L1612" s="3">
        <v>933397.83</v>
      </c>
      <c r="M1612">
        <v>46347</v>
      </c>
      <c r="N1612" s="1" t="s">
        <v>58</v>
      </c>
      <c r="O1612" s="1" t="s">
        <v>35</v>
      </c>
      <c r="P1612" s="1" t="s">
        <v>36</v>
      </c>
    </row>
    <row r="1613" spans="1:16" x14ac:dyDescent="0.25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>
        <v>32</v>
      </c>
      <c r="J1613" s="3">
        <v>20370.34</v>
      </c>
      <c r="K1613" s="2">
        <v>2.25</v>
      </c>
      <c r="L1613" s="3">
        <v>637184.24</v>
      </c>
      <c r="M1613">
        <v>46055</v>
      </c>
      <c r="N1613" s="1" t="s">
        <v>113</v>
      </c>
      <c r="O1613" s="1" t="s">
        <v>35</v>
      </c>
      <c r="P1613" s="1" t="s">
        <v>26</v>
      </c>
    </row>
    <row r="1614" spans="1:16" x14ac:dyDescent="0.25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>
        <v>5</v>
      </c>
      <c r="J1614" s="3">
        <v>41604.71</v>
      </c>
      <c r="K1614" s="2">
        <v>19.62</v>
      </c>
      <c r="L1614" s="3">
        <v>167209.32999999999</v>
      </c>
      <c r="M1614">
        <v>46078</v>
      </c>
      <c r="N1614" s="1" t="s">
        <v>24</v>
      </c>
      <c r="O1614" s="1" t="s">
        <v>35</v>
      </c>
      <c r="P1614" s="1" t="s">
        <v>53</v>
      </c>
    </row>
    <row r="1615" spans="1:16" x14ac:dyDescent="0.25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>
        <v>22</v>
      </c>
      <c r="J1615" s="3">
        <v>32299.5</v>
      </c>
      <c r="K1615" s="2">
        <v>17.399999999999999</v>
      </c>
      <c r="L1615" s="3">
        <v>586946.51</v>
      </c>
      <c r="M1615">
        <v>46326</v>
      </c>
      <c r="N1615" s="1" t="s">
        <v>45</v>
      </c>
      <c r="O1615" s="1" t="s">
        <v>35</v>
      </c>
      <c r="P1615" s="1" t="s">
        <v>36</v>
      </c>
    </row>
    <row r="1616" spans="1:16" x14ac:dyDescent="0.25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>
        <v>5</v>
      </c>
      <c r="J1616" s="3">
        <v>5014.6000000000004</v>
      </c>
      <c r="K1616" s="2">
        <v>17.690000000000001</v>
      </c>
      <c r="L1616" s="3">
        <v>20637.59</v>
      </c>
      <c r="M1616">
        <v>46336</v>
      </c>
      <c r="N1616" s="1" t="s">
        <v>68</v>
      </c>
      <c r="O1616" s="1" t="s">
        <v>35</v>
      </c>
      <c r="P1616" s="1" t="s">
        <v>53</v>
      </c>
    </row>
    <row r="1617" spans="1:16" x14ac:dyDescent="0.25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>
        <v>9</v>
      </c>
      <c r="J1617" s="3">
        <v>47844.49</v>
      </c>
      <c r="K1617" s="2">
        <v>15.13</v>
      </c>
      <c r="L1617" s="3">
        <v>365450.57</v>
      </c>
      <c r="M1617">
        <v>46144</v>
      </c>
      <c r="N1617" s="1" t="s">
        <v>45</v>
      </c>
      <c r="O1617" s="1" t="s">
        <v>35</v>
      </c>
      <c r="P1617" s="1" t="s">
        <v>36</v>
      </c>
    </row>
    <row r="1618" spans="1:16" x14ac:dyDescent="0.25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>
        <v>21</v>
      </c>
      <c r="J1618" s="3">
        <v>49344.81</v>
      </c>
      <c r="K1618" s="2">
        <v>7.08</v>
      </c>
      <c r="L1618" s="3">
        <v>962875.15</v>
      </c>
      <c r="M1618">
        <v>46301</v>
      </c>
      <c r="N1618" s="1" t="s">
        <v>58</v>
      </c>
      <c r="O1618" s="1" t="s">
        <v>25</v>
      </c>
      <c r="P1618" s="1" t="s">
        <v>26</v>
      </c>
    </row>
    <row r="1619" spans="1:16" x14ac:dyDescent="0.25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>
        <v>7</v>
      </c>
      <c r="J1619" s="3">
        <v>38569.94</v>
      </c>
      <c r="K1619" s="2">
        <v>11.49</v>
      </c>
      <c r="L1619" s="3">
        <v>238967.78</v>
      </c>
      <c r="M1619">
        <v>46215</v>
      </c>
      <c r="N1619" s="1" t="s">
        <v>45</v>
      </c>
      <c r="O1619" s="1" t="s">
        <v>35</v>
      </c>
      <c r="P1619" s="1" t="s">
        <v>36</v>
      </c>
    </row>
    <row r="1620" spans="1:16" x14ac:dyDescent="0.25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>
        <v>28</v>
      </c>
      <c r="J1620" s="3">
        <v>4148.16</v>
      </c>
      <c r="K1620" s="2">
        <v>12.3</v>
      </c>
      <c r="L1620" s="3">
        <v>101862.22</v>
      </c>
      <c r="M1620">
        <v>46307</v>
      </c>
      <c r="N1620" s="1" t="s">
        <v>45</v>
      </c>
      <c r="O1620" s="1" t="s">
        <v>35</v>
      </c>
      <c r="P1620" s="1" t="s">
        <v>53</v>
      </c>
    </row>
    <row r="1621" spans="1:16" x14ac:dyDescent="0.25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>
        <v>10</v>
      </c>
      <c r="J1621" s="3">
        <v>2714.06</v>
      </c>
      <c r="K1621" s="2">
        <v>1.26</v>
      </c>
      <c r="L1621" s="3">
        <v>26798.63</v>
      </c>
      <c r="M1621">
        <v>46269</v>
      </c>
      <c r="N1621" s="1" t="s">
        <v>113</v>
      </c>
      <c r="O1621" s="1" t="s">
        <v>35</v>
      </c>
      <c r="P1621" s="1" t="s">
        <v>53</v>
      </c>
    </row>
    <row r="1622" spans="1:16" x14ac:dyDescent="0.25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>
        <v>24</v>
      </c>
      <c r="J1622" s="3">
        <v>38689.199999999997</v>
      </c>
      <c r="K1622" s="2">
        <v>18.809999999999999</v>
      </c>
      <c r="L1622" s="3">
        <v>753882.28</v>
      </c>
      <c r="M1622">
        <v>46130</v>
      </c>
      <c r="N1622" s="1" t="s">
        <v>45</v>
      </c>
      <c r="O1622" s="1" t="s">
        <v>35</v>
      </c>
      <c r="P1622" s="1" t="s">
        <v>36</v>
      </c>
    </row>
    <row r="1623" spans="1:16" x14ac:dyDescent="0.25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>
        <v>26</v>
      </c>
      <c r="J1623" s="3">
        <v>45323.5</v>
      </c>
      <c r="K1623" s="2">
        <v>2.4900000000000002</v>
      </c>
      <c r="L1623" s="3">
        <v>1149068.57</v>
      </c>
      <c r="M1623">
        <v>46039</v>
      </c>
      <c r="N1623" s="1" t="s">
        <v>68</v>
      </c>
      <c r="O1623" s="1" t="s">
        <v>35</v>
      </c>
      <c r="P1623" s="1" t="s">
        <v>53</v>
      </c>
    </row>
    <row r="1624" spans="1:16" x14ac:dyDescent="0.25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>
        <v>12</v>
      </c>
      <c r="J1624" s="3">
        <v>12107.31</v>
      </c>
      <c r="K1624" s="2">
        <v>11</v>
      </c>
      <c r="L1624" s="3">
        <v>129306.07</v>
      </c>
      <c r="M1624">
        <v>46278</v>
      </c>
      <c r="N1624" s="1" t="s">
        <v>68</v>
      </c>
      <c r="O1624" s="1" t="s">
        <v>35</v>
      </c>
      <c r="P1624" s="1" t="s">
        <v>26</v>
      </c>
    </row>
    <row r="1625" spans="1:16" x14ac:dyDescent="0.25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>
        <v>12</v>
      </c>
      <c r="J1625" s="3">
        <v>33271.42</v>
      </c>
      <c r="K1625" s="2">
        <v>12.8</v>
      </c>
      <c r="L1625" s="3">
        <v>348152.14</v>
      </c>
      <c r="M1625">
        <v>46227</v>
      </c>
      <c r="N1625" s="1" t="s">
        <v>45</v>
      </c>
      <c r="O1625" s="1" t="s">
        <v>35</v>
      </c>
      <c r="P1625" s="1" t="s">
        <v>53</v>
      </c>
    </row>
    <row r="1626" spans="1:16" x14ac:dyDescent="0.25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>
        <v>26</v>
      </c>
      <c r="J1626" s="3">
        <v>40140.089999999997</v>
      </c>
      <c r="K1626" s="2">
        <v>14.24</v>
      </c>
      <c r="L1626" s="3">
        <v>895027.67</v>
      </c>
      <c r="M1626">
        <v>46158</v>
      </c>
      <c r="N1626" s="1" t="s">
        <v>24</v>
      </c>
      <c r="O1626" s="1" t="s">
        <v>25</v>
      </c>
      <c r="P1626" s="1" t="s">
        <v>36</v>
      </c>
    </row>
    <row r="1627" spans="1:16" x14ac:dyDescent="0.25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>
        <v>22</v>
      </c>
      <c r="J1627" s="3">
        <v>45431.27</v>
      </c>
      <c r="K1627" s="2">
        <v>2.96</v>
      </c>
      <c r="L1627" s="3">
        <v>969903.1</v>
      </c>
      <c r="M1627">
        <v>46043</v>
      </c>
      <c r="N1627" s="1" t="s">
        <v>113</v>
      </c>
      <c r="O1627" s="1" t="s">
        <v>35</v>
      </c>
      <c r="P1627" s="1" t="s">
        <v>53</v>
      </c>
    </row>
    <row r="1628" spans="1:16" x14ac:dyDescent="0.25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>
        <v>48</v>
      </c>
      <c r="J1628" s="3">
        <v>34829.019999999997</v>
      </c>
      <c r="K1628" s="2">
        <v>4.08</v>
      </c>
      <c r="L1628" s="3">
        <v>1603583.81</v>
      </c>
      <c r="M1628">
        <v>46340</v>
      </c>
      <c r="N1628" s="1" t="s">
        <v>113</v>
      </c>
      <c r="O1628" s="1" t="s">
        <v>35</v>
      </c>
      <c r="P1628" s="1" t="s">
        <v>53</v>
      </c>
    </row>
    <row r="1629" spans="1:16" x14ac:dyDescent="0.25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>
        <v>20</v>
      </c>
      <c r="J1629" s="3">
        <v>3641.94</v>
      </c>
      <c r="K1629" s="2">
        <v>0.19</v>
      </c>
      <c r="L1629" s="3">
        <v>72700.41</v>
      </c>
      <c r="M1629">
        <v>46113</v>
      </c>
      <c r="N1629" s="1" t="s">
        <v>68</v>
      </c>
      <c r="O1629" s="1" t="s">
        <v>35</v>
      </c>
      <c r="P1629" s="1" t="s">
        <v>26</v>
      </c>
    </row>
    <row r="1630" spans="1:16" x14ac:dyDescent="0.25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>
        <v>48</v>
      </c>
      <c r="J1630" s="3">
        <v>32720.83</v>
      </c>
      <c r="K1630" s="2">
        <v>15.15</v>
      </c>
      <c r="L1630" s="3">
        <v>1332653.96</v>
      </c>
      <c r="M1630">
        <v>46210</v>
      </c>
      <c r="N1630" s="1" t="s">
        <v>58</v>
      </c>
      <c r="O1630" s="1" t="s">
        <v>35</v>
      </c>
      <c r="P1630" s="1" t="s">
        <v>36</v>
      </c>
    </row>
    <row r="1631" spans="1:16" x14ac:dyDescent="0.25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>
        <v>34</v>
      </c>
      <c r="J1631" s="3">
        <v>29217.26</v>
      </c>
      <c r="K1631" s="2">
        <v>15.12</v>
      </c>
      <c r="L1631" s="3">
        <v>843186.75</v>
      </c>
      <c r="M1631">
        <v>46163</v>
      </c>
      <c r="N1631" s="1" t="s">
        <v>68</v>
      </c>
      <c r="O1631" s="1" t="s">
        <v>35</v>
      </c>
      <c r="P1631" s="1" t="s">
        <v>36</v>
      </c>
    </row>
    <row r="1632" spans="1:16" x14ac:dyDescent="0.25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>
        <v>22</v>
      </c>
      <c r="J1632" s="3">
        <v>1688.45</v>
      </c>
      <c r="K1632" s="2">
        <v>7.32</v>
      </c>
      <c r="L1632" s="3">
        <v>34426.82</v>
      </c>
      <c r="M1632">
        <v>46367</v>
      </c>
      <c r="N1632" s="1" t="s">
        <v>24</v>
      </c>
      <c r="O1632" s="1" t="s">
        <v>35</v>
      </c>
      <c r="P1632" s="1" t="s">
        <v>26</v>
      </c>
    </row>
    <row r="1633" spans="1:16" x14ac:dyDescent="0.25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>
        <v>48</v>
      </c>
      <c r="J1633" s="3">
        <v>20740.54</v>
      </c>
      <c r="K1633" s="2">
        <v>0.19</v>
      </c>
      <c r="L1633" s="3">
        <v>993654.38</v>
      </c>
      <c r="M1633">
        <v>46178</v>
      </c>
      <c r="N1633" s="1" t="s">
        <v>68</v>
      </c>
      <c r="O1633" s="1" t="s">
        <v>35</v>
      </c>
      <c r="P1633" s="1" t="s">
        <v>53</v>
      </c>
    </row>
    <row r="1634" spans="1:16" x14ac:dyDescent="0.25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>
        <v>36</v>
      </c>
      <c r="J1634" s="3">
        <v>38128.18</v>
      </c>
      <c r="K1634" s="2">
        <v>11.6</v>
      </c>
      <c r="L1634" s="3">
        <v>1213391.2</v>
      </c>
      <c r="M1634">
        <v>46048</v>
      </c>
      <c r="N1634" s="1" t="s">
        <v>113</v>
      </c>
      <c r="O1634" s="1" t="s">
        <v>35</v>
      </c>
      <c r="P1634" s="1" t="s">
        <v>53</v>
      </c>
    </row>
    <row r="1635" spans="1:16" x14ac:dyDescent="0.25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>
        <v>10</v>
      </c>
      <c r="J1635" s="3">
        <v>13751.57</v>
      </c>
      <c r="K1635" s="2">
        <v>10.64</v>
      </c>
      <c r="L1635" s="3">
        <v>122884.03</v>
      </c>
      <c r="M1635">
        <v>46337</v>
      </c>
      <c r="N1635" s="1" t="s">
        <v>68</v>
      </c>
      <c r="O1635" s="1" t="s">
        <v>35</v>
      </c>
      <c r="P1635" s="1" t="s">
        <v>26</v>
      </c>
    </row>
    <row r="1636" spans="1:16" x14ac:dyDescent="0.25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>
        <v>44</v>
      </c>
      <c r="J1636" s="3">
        <v>42743.18</v>
      </c>
      <c r="K1636" s="2">
        <v>19.04</v>
      </c>
      <c r="L1636" s="3">
        <v>1522614.66</v>
      </c>
      <c r="M1636">
        <v>46337</v>
      </c>
      <c r="N1636" s="1" t="s">
        <v>113</v>
      </c>
      <c r="O1636" s="1" t="s">
        <v>35</v>
      </c>
      <c r="P1636" s="1" t="s">
        <v>53</v>
      </c>
    </row>
    <row r="1637" spans="1:16" x14ac:dyDescent="0.25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>
        <v>12</v>
      </c>
      <c r="J1637" s="3">
        <v>37662.61</v>
      </c>
      <c r="K1637" s="2">
        <v>8.5399999999999991</v>
      </c>
      <c r="L1637" s="3">
        <v>413354.68</v>
      </c>
      <c r="M1637">
        <v>46210</v>
      </c>
      <c r="N1637" s="1" t="s">
        <v>113</v>
      </c>
      <c r="O1637" s="1" t="s">
        <v>35</v>
      </c>
      <c r="P1637" s="1" t="s">
        <v>53</v>
      </c>
    </row>
    <row r="1638" spans="1:16" x14ac:dyDescent="0.25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>
        <v>1</v>
      </c>
      <c r="J1638" s="3">
        <v>11052.75</v>
      </c>
      <c r="K1638" s="2">
        <v>0.85</v>
      </c>
      <c r="L1638" s="3">
        <v>10958.8</v>
      </c>
      <c r="M1638">
        <v>46165</v>
      </c>
      <c r="N1638" s="1" t="s">
        <v>58</v>
      </c>
      <c r="O1638" s="1" t="s">
        <v>25</v>
      </c>
      <c r="P1638" s="1" t="s">
        <v>36</v>
      </c>
    </row>
    <row r="1639" spans="1:16" x14ac:dyDescent="0.25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>
        <v>30</v>
      </c>
      <c r="J1639" s="3">
        <v>46016.4</v>
      </c>
      <c r="K1639" s="2">
        <v>15.03</v>
      </c>
      <c r="L1639" s="3">
        <v>1173004.05</v>
      </c>
      <c r="M1639">
        <v>46093</v>
      </c>
      <c r="N1639" s="1" t="s">
        <v>58</v>
      </c>
      <c r="O1639" s="1" t="s">
        <v>59</v>
      </c>
      <c r="P1639" s="1" t="s">
        <v>26</v>
      </c>
    </row>
    <row r="1640" spans="1:16" x14ac:dyDescent="0.25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>
        <v>44</v>
      </c>
      <c r="J1640" s="3">
        <v>32658.77</v>
      </c>
      <c r="K1640" s="2">
        <v>17.920000000000002</v>
      </c>
      <c r="L1640" s="3">
        <v>1179478.01</v>
      </c>
      <c r="M1640">
        <v>46135</v>
      </c>
      <c r="N1640" s="1" t="s">
        <v>58</v>
      </c>
      <c r="O1640" s="1" t="s">
        <v>25</v>
      </c>
      <c r="P1640" s="1" t="s">
        <v>53</v>
      </c>
    </row>
    <row r="1641" spans="1:16" x14ac:dyDescent="0.25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>
        <v>25</v>
      </c>
      <c r="J1641" s="3">
        <v>21576.21</v>
      </c>
      <c r="K1641" s="2">
        <v>4.87</v>
      </c>
      <c r="L1641" s="3">
        <v>513136.21</v>
      </c>
      <c r="M1641">
        <v>46289</v>
      </c>
      <c r="N1641" s="1" t="s">
        <v>45</v>
      </c>
      <c r="O1641" s="1" t="s">
        <v>35</v>
      </c>
      <c r="P1641" s="1" t="s">
        <v>53</v>
      </c>
    </row>
    <row r="1642" spans="1:16" x14ac:dyDescent="0.25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>
        <v>17</v>
      </c>
      <c r="J1642" s="3">
        <v>15402.99</v>
      </c>
      <c r="K1642" s="2">
        <v>8.32</v>
      </c>
      <c r="L1642" s="3">
        <v>240064.84</v>
      </c>
      <c r="M1642">
        <v>46246</v>
      </c>
      <c r="N1642" s="1" t="s">
        <v>68</v>
      </c>
      <c r="O1642" s="1" t="s">
        <v>35</v>
      </c>
      <c r="P1642" s="1" t="s">
        <v>36</v>
      </c>
    </row>
    <row r="1643" spans="1:16" x14ac:dyDescent="0.25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>
        <v>10</v>
      </c>
      <c r="J1643" s="3">
        <v>47452.7</v>
      </c>
      <c r="K1643" s="2">
        <v>16.170000000000002</v>
      </c>
      <c r="L1643" s="3">
        <v>397795.98</v>
      </c>
      <c r="M1643">
        <v>46068</v>
      </c>
      <c r="N1643" s="1" t="s">
        <v>113</v>
      </c>
      <c r="O1643" s="1" t="s">
        <v>59</v>
      </c>
      <c r="P1643" s="1" t="s">
        <v>26</v>
      </c>
    </row>
    <row r="1644" spans="1:16" x14ac:dyDescent="0.25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>
        <v>39</v>
      </c>
      <c r="J1644" s="3">
        <v>14581.44</v>
      </c>
      <c r="K1644" s="2">
        <v>10.54</v>
      </c>
      <c r="L1644" s="3">
        <v>508737.69</v>
      </c>
      <c r="M1644">
        <v>46139</v>
      </c>
      <c r="N1644" s="1" t="s">
        <v>45</v>
      </c>
      <c r="O1644" s="1" t="s">
        <v>35</v>
      </c>
      <c r="P1644" s="1" t="s">
        <v>26</v>
      </c>
    </row>
    <row r="1645" spans="1:16" x14ac:dyDescent="0.25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>
        <v>5</v>
      </c>
      <c r="J1645" s="3">
        <v>47175.85</v>
      </c>
      <c r="K1645" s="2">
        <v>1.51</v>
      </c>
      <c r="L1645" s="3">
        <v>232317.47</v>
      </c>
      <c r="M1645">
        <v>46106</v>
      </c>
      <c r="N1645" s="1" t="s">
        <v>68</v>
      </c>
      <c r="O1645" s="1" t="s">
        <v>35</v>
      </c>
      <c r="P1645" s="1" t="s">
        <v>36</v>
      </c>
    </row>
    <row r="1646" spans="1:16" x14ac:dyDescent="0.25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>
        <v>50</v>
      </c>
      <c r="J1646" s="3">
        <v>35465.33</v>
      </c>
      <c r="K1646" s="2">
        <v>3.55</v>
      </c>
      <c r="L1646" s="3">
        <v>1710315.54</v>
      </c>
      <c r="M1646">
        <v>46112</v>
      </c>
      <c r="N1646" s="1" t="s">
        <v>58</v>
      </c>
      <c r="O1646" s="1" t="s">
        <v>35</v>
      </c>
      <c r="P1646" s="1" t="s">
        <v>53</v>
      </c>
    </row>
    <row r="1647" spans="1:16" x14ac:dyDescent="0.25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>
        <v>35</v>
      </c>
      <c r="J1647" s="3">
        <v>33477.43</v>
      </c>
      <c r="K1647" s="2">
        <v>14.56</v>
      </c>
      <c r="L1647" s="3">
        <v>1001109.07</v>
      </c>
      <c r="M1647">
        <v>46267</v>
      </c>
      <c r="N1647" s="1" t="s">
        <v>68</v>
      </c>
      <c r="O1647" s="1" t="s">
        <v>35</v>
      </c>
      <c r="P1647" s="1" t="s">
        <v>26</v>
      </c>
    </row>
    <row r="1648" spans="1:16" x14ac:dyDescent="0.25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>
        <v>17</v>
      </c>
      <c r="J1648" s="3">
        <v>12007.01</v>
      </c>
      <c r="K1648" s="2">
        <v>10.29</v>
      </c>
      <c r="L1648" s="3">
        <v>183115.31</v>
      </c>
      <c r="M1648">
        <v>46282</v>
      </c>
      <c r="N1648" s="1" t="s">
        <v>58</v>
      </c>
      <c r="O1648" s="1" t="s">
        <v>35</v>
      </c>
      <c r="P1648" s="1" t="s">
        <v>26</v>
      </c>
    </row>
    <row r="1649" spans="1:16" x14ac:dyDescent="0.25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>
        <v>17</v>
      </c>
      <c r="J1649" s="3">
        <v>28500.27</v>
      </c>
      <c r="K1649" s="2">
        <v>1.1000000000000001</v>
      </c>
      <c r="L1649" s="3">
        <v>479175.04</v>
      </c>
      <c r="M1649">
        <v>46297</v>
      </c>
      <c r="N1649" s="1" t="s">
        <v>45</v>
      </c>
      <c r="O1649" s="1" t="s">
        <v>35</v>
      </c>
      <c r="P1649" s="1" t="s">
        <v>26</v>
      </c>
    </row>
    <row r="1650" spans="1:16" x14ac:dyDescent="0.25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>
        <v>15</v>
      </c>
      <c r="J1650" s="3">
        <v>20067.72</v>
      </c>
      <c r="K1650" s="2">
        <v>12.67</v>
      </c>
      <c r="L1650" s="3">
        <v>262877.09999999998</v>
      </c>
      <c r="M1650">
        <v>46122</v>
      </c>
      <c r="N1650" s="1" t="s">
        <v>58</v>
      </c>
      <c r="O1650" s="1" t="s">
        <v>35</v>
      </c>
      <c r="P1650" s="1" t="s">
        <v>36</v>
      </c>
    </row>
    <row r="1651" spans="1:16" x14ac:dyDescent="0.25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>
        <v>17</v>
      </c>
      <c r="J1651" s="3">
        <v>11932.01</v>
      </c>
      <c r="K1651" s="2">
        <v>4.79</v>
      </c>
      <c r="L1651" s="3">
        <v>193127.93</v>
      </c>
      <c r="M1651">
        <v>46082</v>
      </c>
      <c r="N1651" s="1" t="s">
        <v>24</v>
      </c>
      <c r="O1651" s="1" t="s">
        <v>35</v>
      </c>
      <c r="P1651" s="1" t="s">
        <v>53</v>
      </c>
    </row>
    <row r="1652" spans="1:16" x14ac:dyDescent="0.25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>
        <v>23</v>
      </c>
      <c r="J1652" s="3">
        <v>9005.81</v>
      </c>
      <c r="K1652" s="2">
        <v>0.76</v>
      </c>
      <c r="L1652" s="3">
        <v>205559.41</v>
      </c>
      <c r="M1652">
        <v>46122</v>
      </c>
      <c r="N1652" s="1" t="s">
        <v>113</v>
      </c>
      <c r="O1652" s="1" t="s">
        <v>35</v>
      </c>
      <c r="P1652" s="1" t="s">
        <v>36</v>
      </c>
    </row>
    <row r="1653" spans="1:16" x14ac:dyDescent="0.25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>
        <v>41</v>
      </c>
      <c r="J1653" s="3">
        <v>47221.51</v>
      </c>
      <c r="K1653" s="2">
        <v>18.03</v>
      </c>
      <c r="L1653" s="3">
        <v>1587006.34</v>
      </c>
      <c r="M1653">
        <v>46275</v>
      </c>
      <c r="N1653" s="1" t="s">
        <v>68</v>
      </c>
      <c r="O1653" s="1" t="s">
        <v>35</v>
      </c>
      <c r="P1653" s="1" t="s">
        <v>36</v>
      </c>
    </row>
    <row r="1654" spans="1:16" x14ac:dyDescent="0.25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>
        <v>18</v>
      </c>
      <c r="J1654" s="3">
        <v>44696.62</v>
      </c>
      <c r="K1654" s="2">
        <v>2.99</v>
      </c>
      <c r="L1654" s="3">
        <v>780483.44</v>
      </c>
      <c r="M1654">
        <v>46077</v>
      </c>
      <c r="N1654" s="1" t="s">
        <v>113</v>
      </c>
      <c r="O1654" s="1" t="s">
        <v>35</v>
      </c>
      <c r="P1654" s="1" t="s">
        <v>26</v>
      </c>
    </row>
    <row r="1655" spans="1:16" x14ac:dyDescent="0.25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>
        <v>19</v>
      </c>
      <c r="J1655" s="3">
        <v>13401.53</v>
      </c>
      <c r="K1655" s="2">
        <v>9.7200000000000006</v>
      </c>
      <c r="L1655" s="3">
        <v>229879.12</v>
      </c>
      <c r="M1655">
        <v>46369</v>
      </c>
      <c r="N1655" s="1" t="s">
        <v>68</v>
      </c>
      <c r="O1655" s="1" t="s">
        <v>35</v>
      </c>
      <c r="P1655" s="1" t="s">
        <v>36</v>
      </c>
    </row>
    <row r="1656" spans="1:16" x14ac:dyDescent="0.25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>
        <v>36</v>
      </c>
      <c r="J1656" s="3">
        <v>25186.959999999999</v>
      </c>
      <c r="K1656" s="2">
        <v>12.72</v>
      </c>
      <c r="L1656" s="3">
        <v>791394.43</v>
      </c>
      <c r="M1656">
        <v>46207</v>
      </c>
      <c r="N1656" s="1" t="s">
        <v>45</v>
      </c>
      <c r="O1656" s="1" t="s">
        <v>35</v>
      </c>
      <c r="P1656" s="1" t="s">
        <v>53</v>
      </c>
    </row>
    <row r="1657" spans="1:16" x14ac:dyDescent="0.25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>
        <v>17</v>
      </c>
      <c r="J1657" s="3">
        <v>44203.34</v>
      </c>
      <c r="K1657" s="2">
        <v>0.9</v>
      </c>
      <c r="L1657" s="3">
        <v>744693.67</v>
      </c>
      <c r="M1657">
        <v>46319</v>
      </c>
      <c r="N1657" s="1" t="s">
        <v>58</v>
      </c>
      <c r="O1657" s="1" t="s">
        <v>25</v>
      </c>
      <c r="P1657" s="1" t="s">
        <v>26</v>
      </c>
    </row>
    <row r="1658" spans="1:16" x14ac:dyDescent="0.25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>
        <v>41</v>
      </c>
      <c r="J1658" s="3">
        <v>41871.160000000003</v>
      </c>
      <c r="K1658" s="2">
        <v>1.84</v>
      </c>
      <c r="L1658" s="3">
        <v>1685129.96</v>
      </c>
      <c r="M1658">
        <v>46289</v>
      </c>
      <c r="N1658" s="1" t="s">
        <v>24</v>
      </c>
      <c r="O1658" s="1" t="s">
        <v>35</v>
      </c>
      <c r="P1658" s="1" t="s">
        <v>26</v>
      </c>
    </row>
    <row r="1659" spans="1:16" x14ac:dyDescent="0.25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>
        <v>5</v>
      </c>
      <c r="J1659" s="3">
        <v>35648.629999999997</v>
      </c>
      <c r="K1659" s="2">
        <v>11.94</v>
      </c>
      <c r="L1659" s="3">
        <v>156960.92000000001</v>
      </c>
      <c r="M1659">
        <v>46027</v>
      </c>
      <c r="N1659" s="1" t="s">
        <v>45</v>
      </c>
      <c r="O1659" s="1" t="s">
        <v>35</v>
      </c>
      <c r="P1659" s="1" t="s">
        <v>36</v>
      </c>
    </row>
    <row r="1660" spans="1:16" x14ac:dyDescent="0.25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>
        <v>11</v>
      </c>
      <c r="J1660" s="3">
        <v>46279.94</v>
      </c>
      <c r="K1660" s="2">
        <v>17.59</v>
      </c>
      <c r="L1660" s="3">
        <v>419532.28</v>
      </c>
      <c r="M1660">
        <v>46203</v>
      </c>
      <c r="N1660" s="1" t="s">
        <v>68</v>
      </c>
      <c r="O1660" s="1" t="s">
        <v>35</v>
      </c>
      <c r="P1660" s="1" t="s">
        <v>53</v>
      </c>
    </row>
    <row r="1661" spans="1:16" x14ac:dyDescent="0.25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>
        <v>22</v>
      </c>
      <c r="J1661" s="3">
        <v>24182.46</v>
      </c>
      <c r="K1661" s="2">
        <v>3.48</v>
      </c>
      <c r="L1661" s="3">
        <v>513500.03</v>
      </c>
      <c r="M1661">
        <v>46277</v>
      </c>
      <c r="N1661" s="1" t="s">
        <v>58</v>
      </c>
      <c r="O1661" s="1" t="s">
        <v>35</v>
      </c>
      <c r="P1661" s="1" t="s">
        <v>26</v>
      </c>
    </row>
    <row r="1662" spans="1:16" x14ac:dyDescent="0.25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>
        <v>11</v>
      </c>
      <c r="J1662" s="3">
        <v>36263.58</v>
      </c>
      <c r="K1662" s="2">
        <v>6.06</v>
      </c>
      <c r="L1662" s="3">
        <v>374726.08</v>
      </c>
      <c r="M1662">
        <v>46025</v>
      </c>
      <c r="N1662" s="1" t="s">
        <v>24</v>
      </c>
      <c r="O1662" s="1" t="s">
        <v>35</v>
      </c>
      <c r="P1662" s="1" t="s">
        <v>53</v>
      </c>
    </row>
    <row r="1663" spans="1:16" x14ac:dyDescent="0.25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>
        <v>20</v>
      </c>
      <c r="J1663" s="3">
        <v>49523.54</v>
      </c>
      <c r="K1663" s="2">
        <v>17.420000000000002</v>
      </c>
      <c r="L1663" s="3">
        <v>817930.79</v>
      </c>
      <c r="M1663">
        <v>46328</v>
      </c>
      <c r="N1663" s="1" t="s">
        <v>24</v>
      </c>
      <c r="O1663" s="1" t="s">
        <v>35</v>
      </c>
      <c r="P1663" s="1" t="s">
        <v>26</v>
      </c>
    </row>
    <row r="1664" spans="1:16" x14ac:dyDescent="0.25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>
        <v>44</v>
      </c>
      <c r="J1664" s="3">
        <v>21842.59</v>
      </c>
      <c r="K1664" s="2">
        <v>19.809999999999999</v>
      </c>
      <c r="L1664" s="3">
        <v>770685.21</v>
      </c>
      <c r="M1664">
        <v>46032</v>
      </c>
      <c r="N1664" s="1" t="s">
        <v>24</v>
      </c>
      <c r="O1664" s="1" t="s">
        <v>35</v>
      </c>
      <c r="P1664" s="1" t="s">
        <v>26</v>
      </c>
    </row>
    <row r="1665" spans="1:16" x14ac:dyDescent="0.25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>
        <v>37</v>
      </c>
      <c r="J1665" s="3">
        <v>42944.92</v>
      </c>
      <c r="K1665" s="2">
        <v>13.44</v>
      </c>
      <c r="L1665" s="3">
        <v>1375405.54</v>
      </c>
      <c r="M1665">
        <v>46229</v>
      </c>
      <c r="N1665" s="1" t="s">
        <v>113</v>
      </c>
      <c r="O1665" s="1" t="s">
        <v>25</v>
      </c>
      <c r="P1665" s="1" t="s">
        <v>53</v>
      </c>
    </row>
    <row r="1666" spans="1:16" x14ac:dyDescent="0.25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>
        <v>41</v>
      </c>
      <c r="J1666" s="3">
        <v>7999.41</v>
      </c>
      <c r="K1666" s="2">
        <v>8.23</v>
      </c>
      <c r="L1666" s="3">
        <v>300983.40000000002</v>
      </c>
      <c r="M1666">
        <v>46153</v>
      </c>
      <c r="N1666" s="1" t="s">
        <v>45</v>
      </c>
      <c r="O1666" s="1" t="s">
        <v>35</v>
      </c>
      <c r="P1666" s="1" t="s">
        <v>36</v>
      </c>
    </row>
    <row r="1667" spans="1:16" x14ac:dyDescent="0.25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>
        <v>6</v>
      </c>
      <c r="J1667" s="3">
        <v>30135.19</v>
      </c>
      <c r="K1667" s="2">
        <v>3.23</v>
      </c>
      <c r="L1667" s="3">
        <v>174970.94</v>
      </c>
      <c r="M1667">
        <v>46242</v>
      </c>
      <c r="N1667" s="1" t="s">
        <v>24</v>
      </c>
      <c r="O1667" s="1" t="s">
        <v>35</v>
      </c>
      <c r="P1667" s="1" t="s">
        <v>26</v>
      </c>
    </row>
    <row r="1668" spans="1:16" x14ac:dyDescent="0.25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>
        <v>3</v>
      </c>
      <c r="J1668" s="3">
        <v>29066.080000000002</v>
      </c>
      <c r="K1668" s="2">
        <v>8.64</v>
      </c>
      <c r="L1668" s="3">
        <v>79664.31</v>
      </c>
      <c r="M1668">
        <v>46075</v>
      </c>
      <c r="N1668" s="1" t="s">
        <v>45</v>
      </c>
      <c r="O1668" s="1" t="s">
        <v>35</v>
      </c>
      <c r="P1668" s="1" t="s">
        <v>53</v>
      </c>
    </row>
    <row r="1669" spans="1:16" x14ac:dyDescent="0.25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>
        <v>33</v>
      </c>
      <c r="J1669" s="3">
        <v>31467.200000000001</v>
      </c>
      <c r="K1669" s="2">
        <v>13.09</v>
      </c>
      <c r="L1669" s="3">
        <v>902488.74</v>
      </c>
      <c r="M1669">
        <v>46092</v>
      </c>
      <c r="N1669" s="1" t="s">
        <v>68</v>
      </c>
      <c r="O1669" s="1" t="s">
        <v>35</v>
      </c>
      <c r="P1669" s="1" t="s">
        <v>26</v>
      </c>
    </row>
    <row r="1670" spans="1:16" x14ac:dyDescent="0.25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>
        <v>21</v>
      </c>
      <c r="J1670" s="3">
        <v>25353.56</v>
      </c>
      <c r="K1670" s="2">
        <v>13.64</v>
      </c>
      <c r="L1670" s="3">
        <v>459802.02</v>
      </c>
      <c r="M1670">
        <v>46181</v>
      </c>
      <c r="N1670" s="1" t="s">
        <v>58</v>
      </c>
      <c r="O1670" s="1" t="s">
        <v>35</v>
      </c>
      <c r="P1670" s="1" t="s">
        <v>26</v>
      </c>
    </row>
    <row r="1671" spans="1:16" x14ac:dyDescent="0.25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>
        <v>3</v>
      </c>
      <c r="J1671" s="3">
        <v>47095.87</v>
      </c>
      <c r="K1671" s="2">
        <v>4.01</v>
      </c>
      <c r="L1671" s="3">
        <v>135621.98000000001</v>
      </c>
      <c r="M1671">
        <v>46319</v>
      </c>
      <c r="N1671" s="1" t="s">
        <v>45</v>
      </c>
      <c r="O1671" s="1" t="s">
        <v>35</v>
      </c>
      <c r="P1671" s="1" t="s">
        <v>36</v>
      </c>
    </row>
    <row r="1672" spans="1:16" x14ac:dyDescent="0.25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>
        <v>34</v>
      </c>
      <c r="J1672" s="3">
        <v>33318.92</v>
      </c>
      <c r="K1672" s="2">
        <v>18.61</v>
      </c>
      <c r="L1672" s="3">
        <v>922021.15</v>
      </c>
      <c r="M1672">
        <v>46104</v>
      </c>
      <c r="N1672" s="1" t="s">
        <v>24</v>
      </c>
      <c r="O1672" s="1" t="s">
        <v>25</v>
      </c>
      <c r="P1672" s="1" t="s">
        <v>26</v>
      </c>
    </row>
    <row r="1673" spans="1:16" x14ac:dyDescent="0.25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>
        <v>40</v>
      </c>
      <c r="J1673" s="3">
        <v>16277.05</v>
      </c>
      <c r="K1673" s="2">
        <v>19.75</v>
      </c>
      <c r="L1673" s="3">
        <v>522493.3</v>
      </c>
      <c r="M1673">
        <v>46320</v>
      </c>
      <c r="N1673" s="1" t="s">
        <v>45</v>
      </c>
      <c r="O1673" s="1" t="s">
        <v>35</v>
      </c>
      <c r="P1673" s="1" t="s">
        <v>36</v>
      </c>
    </row>
    <row r="1674" spans="1:16" x14ac:dyDescent="0.25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>
        <v>3</v>
      </c>
      <c r="J1674" s="3">
        <v>14623.55</v>
      </c>
      <c r="K1674" s="2">
        <v>10.72</v>
      </c>
      <c r="L1674" s="3">
        <v>39167.72</v>
      </c>
      <c r="M1674">
        <v>46185</v>
      </c>
      <c r="N1674" s="1" t="s">
        <v>58</v>
      </c>
      <c r="O1674" s="1" t="s">
        <v>25</v>
      </c>
      <c r="P1674" s="1" t="s">
        <v>36</v>
      </c>
    </row>
    <row r="1675" spans="1:16" x14ac:dyDescent="0.25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>
        <v>24</v>
      </c>
      <c r="J1675" s="3">
        <v>47332.28</v>
      </c>
      <c r="K1675" s="2">
        <v>0.88</v>
      </c>
      <c r="L1675" s="3">
        <v>1125978.1399999999</v>
      </c>
      <c r="M1675">
        <v>46204</v>
      </c>
      <c r="N1675" s="1" t="s">
        <v>24</v>
      </c>
      <c r="O1675" s="1" t="s">
        <v>35</v>
      </c>
      <c r="P1675" s="1" t="s">
        <v>26</v>
      </c>
    </row>
    <row r="1676" spans="1:16" x14ac:dyDescent="0.25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>
        <v>7</v>
      </c>
      <c r="J1676" s="3">
        <v>42032.5</v>
      </c>
      <c r="K1676" s="2">
        <v>1.18</v>
      </c>
      <c r="L1676" s="3">
        <v>290755.62</v>
      </c>
      <c r="M1676">
        <v>46104</v>
      </c>
      <c r="N1676" s="1" t="s">
        <v>68</v>
      </c>
      <c r="O1676" s="1" t="s">
        <v>35</v>
      </c>
      <c r="P1676" s="1" t="s">
        <v>36</v>
      </c>
    </row>
    <row r="1677" spans="1:16" x14ac:dyDescent="0.25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>
        <v>6</v>
      </c>
      <c r="J1677" s="3">
        <v>815.75</v>
      </c>
      <c r="K1677" s="2">
        <v>1.62</v>
      </c>
      <c r="L1677" s="3">
        <v>4815.21</v>
      </c>
      <c r="M1677">
        <v>46088</v>
      </c>
      <c r="N1677" s="1" t="s">
        <v>113</v>
      </c>
      <c r="O1677" s="1" t="s">
        <v>35</v>
      </c>
      <c r="P1677" s="1" t="s">
        <v>36</v>
      </c>
    </row>
    <row r="1678" spans="1:16" x14ac:dyDescent="0.25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>
        <v>18</v>
      </c>
      <c r="J1678" s="3">
        <v>26098.53</v>
      </c>
      <c r="K1678" s="2">
        <v>8.61</v>
      </c>
      <c r="L1678" s="3">
        <v>429326.04</v>
      </c>
      <c r="M1678">
        <v>46086</v>
      </c>
      <c r="N1678" s="1" t="s">
        <v>58</v>
      </c>
      <c r="O1678" s="1" t="s">
        <v>35</v>
      </c>
      <c r="P1678" s="1" t="s">
        <v>53</v>
      </c>
    </row>
    <row r="1679" spans="1:16" x14ac:dyDescent="0.25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>
        <v>43</v>
      </c>
      <c r="J1679" s="3">
        <v>12067.55</v>
      </c>
      <c r="K1679" s="2">
        <v>9.51</v>
      </c>
      <c r="L1679" s="3">
        <v>469556.82</v>
      </c>
      <c r="M1679">
        <v>46117</v>
      </c>
      <c r="N1679" s="1" t="s">
        <v>24</v>
      </c>
      <c r="O1679" s="1" t="s">
        <v>35</v>
      </c>
      <c r="P1679" s="1" t="s">
        <v>53</v>
      </c>
    </row>
    <row r="1680" spans="1:16" x14ac:dyDescent="0.25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>
        <v>43</v>
      </c>
      <c r="J1680" s="3">
        <v>28498.5</v>
      </c>
      <c r="K1680" s="2">
        <v>6.63</v>
      </c>
      <c r="L1680" s="3">
        <v>1144189.1299999999</v>
      </c>
      <c r="M1680">
        <v>46360</v>
      </c>
      <c r="N1680" s="1" t="s">
        <v>24</v>
      </c>
      <c r="O1680" s="1" t="s">
        <v>35</v>
      </c>
      <c r="P1680" s="1" t="s">
        <v>26</v>
      </c>
    </row>
    <row r="1681" spans="1:16" x14ac:dyDescent="0.25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>
        <v>39</v>
      </c>
      <c r="J1681" s="3">
        <v>2555.9299999999998</v>
      </c>
      <c r="K1681" s="2">
        <v>12.25</v>
      </c>
      <c r="L1681" s="3">
        <v>87470.31</v>
      </c>
      <c r="M1681">
        <v>46169</v>
      </c>
      <c r="N1681" s="1" t="s">
        <v>68</v>
      </c>
      <c r="O1681" s="1" t="s">
        <v>35</v>
      </c>
      <c r="P1681" s="1" t="s">
        <v>53</v>
      </c>
    </row>
    <row r="1682" spans="1:16" x14ac:dyDescent="0.25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>
        <v>26</v>
      </c>
      <c r="J1682" s="3">
        <v>9412.49</v>
      </c>
      <c r="K1682" s="2">
        <v>15.96</v>
      </c>
      <c r="L1682" s="3">
        <v>205666.67</v>
      </c>
      <c r="M1682">
        <v>46185</v>
      </c>
      <c r="N1682" s="1" t="s">
        <v>58</v>
      </c>
      <c r="O1682" s="1" t="s">
        <v>35</v>
      </c>
      <c r="P1682" s="1" t="s">
        <v>36</v>
      </c>
    </row>
    <row r="1683" spans="1:16" x14ac:dyDescent="0.25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>
        <v>24</v>
      </c>
      <c r="J1683" s="3">
        <v>17736.55</v>
      </c>
      <c r="K1683" s="2">
        <v>15.72</v>
      </c>
      <c r="L1683" s="3">
        <v>358760.74</v>
      </c>
      <c r="M1683">
        <v>46118</v>
      </c>
      <c r="N1683" s="1" t="s">
        <v>24</v>
      </c>
      <c r="O1683" s="1" t="s">
        <v>35</v>
      </c>
      <c r="P1683" s="1" t="s">
        <v>26</v>
      </c>
    </row>
    <row r="1684" spans="1:16" x14ac:dyDescent="0.25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>
        <v>17</v>
      </c>
      <c r="J1684" s="3">
        <v>2609.6799999999998</v>
      </c>
      <c r="K1684" s="2">
        <v>7.08</v>
      </c>
      <c r="L1684" s="3">
        <v>41223.550000000003</v>
      </c>
      <c r="M1684">
        <v>46037</v>
      </c>
      <c r="N1684" s="1" t="s">
        <v>24</v>
      </c>
      <c r="O1684" s="1" t="s">
        <v>25</v>
      </c>
      <c r="P1684" s="1" t="s">
        <v>36</v>
      </c>
    </row>
    <row r="1685" spans="1:16" x14ac:dyDescent="0.25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>
        <v>16</v>
      </c>
      <c r="J1685" s="3">
        <v>8705.31</v>
      </c>
      <c r="K1685" s="2">
        <v>9.31</v>
      </c>
      <c r="L1685" s="3">
        <v>126317.53</v>
      </c>
      <c r="M1685">
        <v>46175</v>
      </c>
      <c r="N1685" s="1" t="s">
        <v>68</v>
      </c>
      <c r="O1685" s="1" t="s">
        <v>25</v>
      </c>
      <c r="P1685" s="1" t="s">
        <v>26</v>
      </c>
    </row>
    <row r="1686" spans="1:16" x14ac:dyDescent="0.25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>
        <v>39</v>
      </c>
      <c r="J1686" s="3">
        <v>27364.92</v>
      </c>
      <c r="K1686" s="2">
        <v>10.8</v>
      </c>
      <c r="L1686" s="3">
        <v>951970.84</v>
      </c>
      <c r="M1686">
        <v>46316</v>
      </c>
      <c r="N1686" s="1" t="s">
        <v>68</v>
      </c>
      <c r="O1686" s="1" t="s">
        <v>35</v>
      </c>
      <c r="P1686" s="1" t="s">
        <v>53</v>
      </c>
    </row>
    <row r="1687" spans="1:16" x14ac:dyDescent="0.25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>
        <v>45</v>
      </c>
      <c r="J1687" s="3">
        <v>15239.58</v>
      </c>
      <c r="K1687" s="2">
        <v>11.71</v>
      </c>
      <c r="L1687" s="3">
        <v>605476.13</v>
      </c>
      <c r="M1687">
        <v>46057</v>
      </c>
      <c r="N1687" s="1" t="s">
        <v>58</v>
      </c>
      <c r="O1687" s="1" t="s">
        <v>25</v>
      </c>
      <c r="P1687" s="1" t="s">
        <v>26</v>
      </c>
    </row>
    <row r="1688" spans="1:16" x14ac:dyDescent="0.25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>
        <v>17</v>
      </c>
      <c r="J1688" s="3">
        <v>20259.060000000001</v>
      </c>
      <c r="K1688" s="2">
        <v>11.14</v>
      </c>
      <c r="L1688" s="3">
        <v>306037.40999999997</v>
      </c>
      <c r="M1688">
        <v>46247</v>
      </c>
      <c r="N1688" s="1" t="s">
        <v>113</v>
      </c>
      <c r="O1688" s="1" t="s">
        <v>35</v>
      </c>
      <c r="P1688" s="1" t="s">
        <v>53</v>
      </c>
    </row>
    <row r="1689" spans="1:16" x14ac:dyDescent="0.25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>
        <v>46</v>
      </c>
      <c r="J1689" s="3">
        <v>20590.72</v>
      </c>
      <c r="K1689" s="2">
        <v>7.89</v>
      </c>
      <c r="L1689" s="3">
        <v>872441.16</v>
      </c>
      <c r="M1689">
        <v>46106</v>
      </c>
      <c r="N1689" s="1" t="s">
        <v>45</v>
      </c>
      <c r="O1689" s="1" t="s">
        <v>35</v>
      </c>
      <c r="P1689" s="1" t="s">
        <v>53</v>
      </c>
    </row>
    <row r="1690" spans="1:16" x14ac:dyDescent="0.25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>
        <v>16</v>
      </c>
      <c r="J1690" s="3">
        <v>37144.49</v>
      </c>
      <c r="K1690" s="2">
        <v>4.51</v>
      </c>
      <c r="L1690" s="3">
        <v>567508.38</v>
      </c>
      <c r="M1690">
        <v>46043</v>
      </c>
      <c r="N1690" s="1" t="s">
        <v>58</v>
      </c>
      <c r="O1690" s="1" t="s">
        <v>35</v>
      </c>
      <c r="P1690" s="1" t="s">
        <v>36</v>
      </c>
    </row>
    <row r="1691" spans="1:16" x14ac:dyDescent="0.25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>
        <v>44</v>
      </c>
      <c r="J1691" s="3">
        <v>9757.11</v>
      </c>
      <c r="K1691" s="2">
        <v>2.48</v>
      </c>
      <c r="L1691" s="3">
        <v>418665.88</v>
      </c>
      <c r="M1691">
        <v>46212</v>
      </c>
      <c r="N1691" s="1" t="s">
        <v>68</v>
      </c>
      <c r="O1691" s="1" t="s">
        <v>35</v>
      </c>
      <c r="P1691" s="1" t="s">
        <v>26</v>
      </c>
    </row>
    <row r="1692" spans="1:16" x14ac:dyDescent="0.25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>
        <v>12</v>
      </c>
      <c r="J1692" s="3">
        <v>17423.86</v>
      </c>
      <c r="K1692" s="2">
        <v>15.79</v>
      </c>
      <c r="L1692" s="3">
        <v>176071.59</v>
      </c>
      <c r="M1692">
        <v>46242</v>
      </c>
      <c r="N1692" s="1" t="s">
        <v>58</v>
      </c>
      <c r="O1692" s="1" t="s">
        <v>35</v>
      </c>
      <c r="P1692" s="1" t="s">
        <v>53</v>
      </c>
    </row>
    <row r="1693" spans="1:16" x14ac:dyDescent="0.25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>
        <v>25</v>
      </c>
      <c r="J1693" s="3">
        <v>9036.2999999999993</v>
      </c>
      <c r="K1693" s="2">
        <v>0.67</v>
      </c>
      <c r="L1693" s="3">
        <v>224393.92</v>
      </c>
      <c r="M1693">
        <v>46050</v>
      </c>
      <c r="N1693" s="1" t="s">
        <v>58</v>
      </c>
      <c r="O1693" s="1" t="s">
        <v>35</v>
      </c>
      <c r="P1693" s="1" t="s">
        <v>26</v>
      </c>
    </row>
    <row r="1694" spans="1:16" x14ac:dyDescent="0.25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>
        <v>32</v>
      </c>
      <c r="J1694" s="3">
        <v>28786.34</v>
      </c>
      <c r="K1694" s="2">
        <v>6.51</v>
      </c>
      <c r="L1694" s="3">
        <v>861195.18</v>
      </c>
      <c r="M1694">
        <v>46108</v>
      </c>
      <c r="N1694" s="1" t="s">
        <v>24</v>
      </c>
      <c r="O1694" s="1" t="s">
        <v>35</v>
      </c>
      <c r="P1694" s="1" t="s">
        <v>53</v>
      </c>
    </row>
    <row r="1695" spans="1:16" x14ac:dyDescent="0.25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>
        <v>35</v>
      </c>
      <c r="J1695" s="3">
        <v>42087.13</v>
      </c>
      <c r="K1695" s="2">
        <v>8.83</v>
      </c>
      <c r="L1695" s="3">
        <v>1342979.27</v>
      </c>
      <c r="M1695">
        <v>46137</v>
      </c>
      <c r="N1695" s="1" t="s">
        <v>24</v>
      </c>
      <c r="O1695" s="1" t="s">
        <v>35</v>
      </c>
      <c r="P1695" s="1" t="s">
        <v>53</v>
      </c>
    </row>
    <row r="1696" spans="1:16" x14ac:dyDescent="0.25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>
        <v>35</v>
      </c>
      <c r="J1696" s="3">
        <v>34618.050000000003</v>
      </c>
      <c r="K1696" s="2">
        <v>0.89</v>
      </c>
      <c r="L1696" s="3">
        <v>1200848.23</v>
      </c>
      <c r="M1696">
        <v>46143</v>
      </c>
      <c r="N1696" s="1" t="s">
        <v>24</v>
      </c>
      <c r="O1696" s="1" t="s">
        <v>35</v>
      </c>
      <c r="P1696" s="1" t="s">
        <v>53</v>
      </c>
    </row>
    <row r="1697" spans="1:16" x14ac:dyDescent="0.25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>
        <v>17</v>
      </c>
      <c r="J1697" s="3">
        <v>45811.97</v>
      </c>
      <c r="K1697" s="2">
        <v>13.38</v>
      </c>
      <c r="L1697" s="3">
        <v>674599.58</v>
      </c>
      <c r="M1697">
        <v>46077</v>
      </c>
      <c r="N1697" s="1" t="s">
        <v>58</v>
      </c>
      <c r="O1697" s="1" t="s">
        <v>35</v>
      </c>
      <c r="P1697" s="1" t="s">
        <v>36</v>
      </c>
    </row>
    <row r="1698" spans="1:16" x14ac:dyDescent="0.25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>
        <v>26</v>
      </c>
      <c r="J1698" s="3">
        <v>49449.17</v>
      </c>
      <c r="K1698" s="2">
        <v>7.19</v>
      </c>
      <c r="L1698" s="3">
        <v>1193238.1399999999</v>
      </c>
      <c r="M1698">
        <v>46074</v>
      </c>
      <c r="N1698" s="1" t="s">
        <v>24</v>
      </c>
      <c r="O1698" s="1" t="s">
        <v>35</v>
      </c>
      <c r="P1698" s="1" t="s">
        <v>53</v>
      </c>
    </row>
    <row r="1699" spans="1:16" x14ac:dyDescent="0.25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>
        <v>6</v>
      </c>
      <c r="J1699" s="3">
        <v>11595.1</v>
      </c>
      <c r="K1699" s="2">
        <v>10.72</v>
      </c>
      <c r="L1699" s="3">
        <v>62112.63</v>
      </c>
      <c r="M1699">
        <v>46381</v>
      </c>
      <c r="N1699" s="1" t="s">
        <v>68</v>
      </c>
      <c r="O1699" s="1" t="s">
        <v>35</v>
      </c>
      <c r="P1699" s="1" t="s">
        <v>53</v>
      </c>
    </row>
    <row r="1700" spans="1:16" x14ac:dyDescent="0.25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>
        <v>43</v>
      </c>
      <c r="J1700" s="3">
        <v>44829.94</v>
      </c>
      <c r="K1700" s="2">
        <v>10.029999999999999</v>
      </c>
      <c r="L1700" s="3">
        <v>1734340.37</v>
      </c>
      <c r="M1700">
        <v>46026</v>
      </c>
      <c r="N1700" s="1" t="s">
        <v>113</v>
      </c>
      <c r="O1700" s="1" t="s">
        <v>35</v>
      </c>
      <c r="P1700" s="1" t="s">
        <v>36</v>
      </c>
    </row>
    <row r="1701" spans="1:16" x14ac:dyDescent="0.25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>
        <v>46</v>
      </c>
      <c r="J1701" s="3">
        <v>42245.98</v>
      </c>
      <c r="K1701" s="2">
        <v>11.39</v>
      </c>
      <c r="L1701" s="3">
        <v>1721971.49</v>
      </c>
      <c r="M1701">
        <v>46275</v>
      </c>
      <c r="N1701" s="1" t="s">
        <v>58</v>
      </c>
      <c r="O1701" s="1" t="s">
        <v>35</v>
      </c>
      <c r="P1701" s="1" t="s">
        <v>26</v>
      </c>
    </row>
    <row r="1702" spans="1:16" x14ac:dyDescent="0.25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>
        <v>14</v>
      </c>
      <c r="J1702" s="3">
        <v>46918.5</v>
      </c>
      <c r="K1702" s="2">
        <v>16.190000000000001</v>
      </c>
      <c r="L1702" s="3">
        <v>550513.53</v>
      </c>
      <c r="M1702">
        <v>46073</v>
      </c>
      <c r="N1702" s="1" t="s">
        <v>58</v>
      </c>
      <c r="O1702" s="1" t="s">
        <v>35</v>
      </c>
      <c r="P1702" s="1" t="s">
        <v>53</v>
      </c>
    </row>
    <row r="1703" spans="1:16" x14ac:dyDescent="0.25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>
        <v>20</v>
      </c>
      <c r="J1703" s="3">
        <v>17818.009999999998</v>
      </c>
      <c r="K1703" s="2">
        <v>5.74</v>
      </c>
      <c r="L1703" s="3">
        <v>335905.12</v>
      </c>
      <c r="M1703">
        <v>46031</v>
      </c>
      <c r="N1703" s="1" t="s">
        <v>113</v>
      </c>
      <c r="O1703" s="1" t="s">
        <v>35</v>
      </c>
      <c r="P1703" s="1" t="s">
        <v>53</v>
      </c>
    </row>
    <row r="1704" spans="1:16" x14ac:dyDescent="0.25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>
        <v>25</v>
      </c>
      <c r="J1704" s="3">
        <v>46531.8</v>
      </c>
      <c r="K1704" s="2">
        <v>17.32</v>
      </c>
      <c r="L1704" s="3">
        <v>961812.31</v>
      </c>
      <c r="M1704">
        <v>46249</v>
      </c>
      <c r="N1704" s="1" t="s">
        <v>58</v>
      </c>
      <c r="O1704" s="1" t="s">
        <v>35</v>
      </c>
      <c r="P1704" s="1" t="s">
        <v>26</v>
      </c>
    </row>
    <row r="1705" spans="1:16" x14ac:dyDescent="0.25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>
        <v>46</v>
      </c>
      <c r="J1705" s="3">
        <v>35969.120000000003</v>
      </c>
      <c r="K1705" s="2">
        <v>3.95</v>
      </c>
      <c r="L1705" s="3">
        <v>1589223.63</v>
      </c>
      <c r="M1705">
        <v>46295</v>
      </c>
      <c r="N1705" s="1" t="s">
        <v>113</v>
      </c>
      <c r="O1705" s="1" t="s">
        <v>35</v>
      </c>
      <c r="P1705" s="1" t="s">
        <v>53</v>
      </c>
    </row>
    <row r="1706" spans="1:16" x14ac:dyDescent="0.25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>
        <v>16</v>
      </c>
      <c r="J1706" s="3">
        <v>29256.080000000002</v>
      </c>
      <c r="K1706" s="2">
        <v>10.25</v>
      </c>
      <c r="L1706" s="3">
        <v>420117.31</v>
      </c>
      <c r="M1706">
        <v>46124</v>
      </c>
      <c r="N1706" s="1" t="s">
        <v>24</v>
      </c>
      <c r="O1706" s="1" t="s">
        <v>35</v>
      </c>
      <c r="P1706" s="1" t="s">
        <v>53</v>
      </c>
    </row>
    <row r="1707" spans="1:16" x14ac:dyDescent="0.25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>
        <v>9</v>
      </c>
      <c r="J1707" s="3">
        <v>20348.36</v>
      </c>
      <c r="K1707" s="2">
        <v>3.89</v>
      </c>
      <c r="L1707" s="3">
        <v>176011.28</v>
      </c>
      <c r="M1707">
        <v>46188</v>
      </c>
      <c r="N1707" s="1" t="s">
        <v>45</v>
      </c>
      <c r="O1707" s="1" t="s">
        <v>35</v>
      </c>
      <c r="P1707" s="1" t="s">
        <v>36</v>
      </c>
    </row>
    <row r="1708" spans="1:16" x14ac:dyDescent="0.25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>
        <v>22</v>
      </c>
      <c r="J1708" s="3">
        <v>27054.720000000001</v>
      </c>
      <c r="K1708" s="2">
        <v>19.53</v>
      </c>
      <c r="L1708" s="3">
        <v>478960.53</v>
      </c>
      <c r="M1708">
        <v>46305</v>
      </c>
      <c r="N1708" s="1" t="s">
        <v>24</v>
      </c>
      <c r="O1708" s="1" t="s">
        <v>59</v>
      </c>
      <c r="P1708" s="1" t="s">
        <v>53</v>
      </c>
    </row>
    <row r="1709" spans="1:16" x14ac:dyDescent="0.25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>
        <v>43</v>
      </c>
      <c r="J1709" s="3">
        <v>627.82000000000005</v>
      </c>
      <c r="K1709" s="2">
        <v>18.350000000000001</v>
      </c>
      <c r="L1709" s="3">
        <v>22042.45</v>
      </c>
      <c r="M1709">
        <v>46192</v>
      </c>
      <c r="N1709" s="1" t="s">
        <v>113</v>
      </c>
      <c r="O1709" s="1" t="s">
        <v>35</v>
      </c>
      <c r="P1709" s="1" t="s">
        <v>53</v>
      </c>
    </row>
    <row r="1710" spans="1:16" x14ac:dyDescent="0.25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>
        <v>21</v>
      </c>
      <c r="J1710" s="3">
        <v>39544.79</v>
      </c>
      <c r="K1710" s="2">
        <v>0.66</v>
      </c>
      <c r="L1710" s="3">
        <v>824959.68</v>
      </c>
      <c r="M1710">
        <v>46032</v>
      </c>
      <c r="N1710" s="1" t="s">
        <v>113</v>
      </c>
      <c r="O1710" s="1" t="s">
        <v>35</v>
      </c>
      <c r="P1710" s="1" t="s">
        <v>36</v>
      </c>
    </row>
    <row r="1711" spans="1:16" x14ac:dyDescent="0.25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>
        <v>50</v>
      </c>
      <c r="J1711" s="3">
        <v>18776.62</v>
      </c>
      <c r="K1711" s="2">
        <v>7.65</v>
      </c>
      <c r="L1711" s="3">
        <v>867010.43</v>
      </c>
      <c r="M1711">
        <v>46155</v>
      </c>
      <c r="N1711" s="1" t="s">
        <v>113</v>
      </c>
      <c r="O1711" s="1" t="s">
        <v>35</v>
      </c>
      <c r="P1711" s="1" t="s">
        <v>36</v>
      </c>
    </row>
    <row r="1712" spans="1:16" x14ac:dyDescent="0.25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>
        <v>7</v>
      </c>
      <c r="J1712" s="3">
        <v>34141</v>
      </c>
      <c r="K1712" s="2">
        <v>8.9499999999999993</v>
      </c>
      <c r="L1712" s="3">
        <v>217597.66</v>
      </c>
      <c r="M1712">
        <v>46305</v>
      </c>
      <c r="N1712" s="1" t="s">
        <v>68</v>
      </c>
      <c r="O1712" s="1" t="s">
        <v>35</v>
      </c>
      <c r="P1712" s="1" t="s">
        <v>53</v>
      </c>
    </row>
    <row r="1713" spans="1:16" x14ac:dyDescent="0.25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>
        <v>47</v>
      </c>
      <c r="J1713" s="3">
        <v>10128.15</v>
      </c>
      <c r="K1713" s="2">
        <v>18.98</v>
      </c>
      <c r="L1713" s="3">
        <v>385673.88</v>
      </c>
      <c r="M1713">
        <v>46363</v>
      </c>
      <c r="N1713" s="1" t="s">
        <v>45</v>
      </c>
      <c r="O1713" s="1" t="s">
        <v>35</v>
      </c>
      <c r="P1713" s="1" t="s">
        <v>53</v>
      </c>
    </row>
    <row r="1714" spans="1:16" x14ac:dyDescent="0.25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>
        <v>23</v>
      </c>
      <c r="J1714" s="3">
        <v>21790.87</v>
      </c>
      <c r="K1714" s="2">
        <v>6.46</v>
      </c>
      <c r="L1714" s="3">
        <v>468813.14</v>
      </c>
      <c r="M1714">
        <v>46229</v>
      </c>
      <c r="N1714" s="1" t="s">
        <v>24</v>
      </c>
      <c r="O1714" s="1" t="s">
        <v>35</v>
      </c>
      <c r="P1714" s="1" t="s">
        <v>26</v>
      </c>
    </row>
    <row r="1715" spans="1:16" x14ac:dyDescent="0.25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>
        <v>24</v>
      </c>
      <c r="J1715" s="3">
        <v>13574.63</v>
      </c>
      <c r="K1715" s="2">
        <v>2.2599999999999998</v>
      </c>
      <c r="L1715" s="3">
        <v>318428.24</v>
      </c>
      <c r="M1715">
        <v>46313</v>
      </c>
      <c r="N1715" s="1" t="s">
        <v>24</v>
      </c>
      <c r="O1715" s="1" t="s">
        <v>35</v>
      </c>
      <c r="P1715" s="1" t="s">
        <v>36</v>
      </c>
    </row>
    <row r="1716" spans="1:16" x14ac:dyDescent="0.25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>
        <v>45</v>
      </c>
      <c r="J1716" s="3">
        <v>29437.27</v>
      </c>
      <c r="K1716" s="2">
        <v>5.17</v>
      </c>
      <c r="L1716" s="3">
        <v>1256191.3400000001</v>
      </c>
      <c r="M1716">
        <v>46368</v>
      </c>
      <c r="N1716" s="1" t="s">
        <v>68</v>
      </c>
      <c r="O1716" s="1" t="s">
        <v>35</v>
      </c>
      <c r="P1716" s="1" t="s">
        <v>26</v>
      </c>
    </row>
    <row r="1717" spans="1:16" x14ac:dyDescent="0.25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>
        <v>37</v>
      </c>
      <c r="J1717" s="3">
        <v>25386.06</v>
      </c>
      <c r="K1717" s="2">
        <v>5.63</v>
      </c>
      <c r="L1717" s="3">
        <v>886402.52</v>
      </c>
      <c r="M1717">
        <v>46063</v>
      </c>
      <c r="N1717" s="1" t="s">
        <v>24</v>
      </c>
      <c r="O1717" s="1" t="s">
        <v>35</v>
      </c>
      <c r="P1717" s="1" t="s">
        <v>26</v>
      </c>
    </row>
    <row r="1718" spans="1:16" x14ac:dyDescent="0.25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>
        <v>30</v>
      </c>
      <c r="J1718" s="3">
        <v>9746.64</v>
      </c>
      <c r="K1718" s="2">
        <v>16.690000000000001</v>
      </c>
      <c r="L1718" s="3">
        <v>243597.77</v>
      </c>
      <c r="M1718">
        <v>46165</v>
      </c>
      <c r="N1718" s="1" t="s">
        <v>45</v>
      </c>
      <c r="O1718" s="1" t="s">
        <v>25</v>
      </c>
      <c r="P1718" s="1" t="s">
        <v>36</v>
      </c>
    </row>
    <row r="1719" spans="1:16" x14ac:dyDescent="0.25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>
        <v>21</v>
      </c>
      <c r="J1719" s="3">
        <v>25049.02</v>
      </c>
      <c r="K1719" s="2">
        <v>7.76</v>
      </c>
      <c r="L1719" s="3">
        <v>485209.54</v>
      </c>
      <c r="M1719">
        <v>46033</v>
      </c>
      <c r="N1719" s="1" t="s">
        <v>45</v>
      </c>
      <c r="O1719" s="1" t="s">
        <v>35</v>
      </c>
      <c r="P1719" s="1" t="s">
        <v>53</v>
      </c>
    </row>
    <row r="1720" spans="1:16" x14ac:dyDescent="0.25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>
        <v>38</v>
      </c>
      <c r="J1720" s="3">
        <v>19567.32</v>
      </c>
      <c r="K1720" s="2">
        <v>6.69</v>
      </c>
      <c r="L1720" s="3">
        <v>693814.12</v>
      </c>
      <c r="M1720">
        <v>46045</v>
      </c>
      <c r="N1720" s="1" t="s">
        <v>113</v>
      </c>
      <c r="O1720" s="1" t="s">
        <v>35</v>
      </c>
      <c r="P1720" s="1" t="s">
        <v>53</v>
      </c>
    </row>
    <row r="1721" spans="1:16" x14ac:dyDescent="0.25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>
        <v>3</v>
      </c>
      <c r="J1721" s="3">
        <v>15963.31</v>
      </c>
      <c r="K1721" s="2">
        <v>7.04</v>
      </c>
      <c r="L1721" s="3">
        <v>44518.48</v>
      </c>
      <c r="M1721">
        <v>46199</v>
      </c>
      <c r="N1721" s="1" t="s">
        <v>113</v>
      </c>
      <c r="O1721" s="1" t="s">
        <v>35</v>
      </c>
      <c r="P1721" s="1" t="s">
        <v>26</v>
      </c>
    </row>
    <row r="1722" spans="1:16" x14ac:dyDescent="0.25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>
        <v>28</v>
      </c>
      <c r="J1722" s="3">
        <v>48007.59</v>
      </c>
      <c r="K1722" s="2">
        <v>9.1</v>
      </c>
      <c r="L1722" s="3">
        <v>1221889.18</v>
      </c>
      <c r="M1722">
        <v>46066</v>
      </c>
      <c r="N1722" s="1" t="s">
        <v>113</v>
      </c>
      <c r="O1722" s="1" t="s">
        <v>35</v>
      </c>
      <c r="P1722" s="1" t="s">
        <v>26</v>
      </c>
    </row>
    <row r="1723" spans="1:16" x14ac:dyDescent="0.25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>
        <v>6</v>
      </c>
      <c r="J1723" s="3">
        <v>19111.650000000001</v>
      </c>
      <c r="K1723" s="2">
        <v>9.07</v>
      </c>
      <c r="L1723" s="3">
        <v>104269.34</v>
      </c>
      <c r="M1723">
        <v>46335</v>
      </c>
      <c r="N1723" s="1" t="s">
        <v>68</v>
      </c>
      <c r="O1723" s="1" t="s">
        <v>25</v>
      </c>
      <c r="P1723" s="1" t="s">
        <v>53</v>
      </c>
    </row>
    <row r="1724" spans="1:16" x14ac:dyDescent="0.25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>
        <v>46</v>
      </c>
      <c r="J1724" s="3">
        <v>42809.16</v>
      </c>
      <c r="K1724" s="2">
        <v>18.25</v>
      </c>
      <c r="L1724" s="3">
        <v>1609838.46</v>
      </c>
      <c r="M1724">
        <v>46305</v>
      </c>
      <c r="N1724" s="1" t="s">
        <v>24</v>
      </c>
      <c r="O1724" s="1" t="s">
        <v>35</v>
      </c>
      <c r="P1724" s="1" t="s">
        <v>36</v>
      </c>
    </row>
    <row r="1725" spans="1:16" x14ac:dyDescent="0.25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>
        <v>18</v>
      </c>
      <c r="J1725" s="3">
        <v>10977</v>
      </c>
      <c r="K1725" s="2">
        <v>12.6</v>
      </c>
      <c r="L1725" s="3">
        <v>172690.16</v>
      </c>
      <c r="M1725">
        <v>46074</v>
      </c>
      <c r="N1725" s="1" t="s">
        <v>58</v>
      </c>
      <c r="O1725" s="1" t="s">
        <v>25</v>
      </c>
      <c r="P1725" s="1" t="s">
        <v>36</v>
      </c>
    </row>
    <row r="1726" spans="1:16" x14ac:dyDescent="0.25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>
        <v>3</v>
      </c>
      <c r="J1726" s="3">
        <v>49782.2</v>
      </c>
      <c r="K1726" s="2">
        <v>10.49</v>
      </c>
      <c r="L1726" s="3">
        <v>133680.14000000001</v>
      </c>
      <c r="M1726">
        <v>46347</v>
      </c>
      <c r="N1726" s="1" t="s">
        <v>58</v>
      </c>
      <c r="O1726" s="1" t="s">
        <v>35</v>
      </c>
      <c r="P1726" s="1" t="s">
        <v>36</v>
      </c>
    </row>
    <row r="1727" spans="1:16" x14ac:dyDescent="0.25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>
        <v>23</v>
      </c>
      <c r="J1727" s="3">
        <v>7825.05</v>
      </c>
      <c r="K1727" s="2">
        <v>3.05</v>
      </c>
      <c r="L1727" s="3">
        <v>174486.88</v>
      </c>
      <c r="M1727">
        <v>46220</v>
      </c>
      <c r="N1727" s="1" t="s">
        <v>45</v>
      </c>
      <c r="O1727" s="1" t="s">
        <v>35</v>
      </c>
      <c r="P1727" s="1" t="s">
        <v>53</v>
      </c>
    </row>
    <row r="1728" spans="1:16" x14ac:dyDescent="0.25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>
        <v>20</v>
      </c>
      <c r="J1728" s="3">
        <v>44265.08</v>
      </c>
      <c r="K1728" s="2">
        <v>17.62</v>
      </c>
      <c r="L1728" s="3">
        <v>729311.46</v>
      </c>
      <c r="M1728">
        <v>46164</v>
      </c>
      <c r="N1728" s="1" t="s">
        <v>113</v>
      </c>
      <c r="O1728" s="1" t="s">
        <v>35</v>
      </c>
      <c r="P1728" s="1" t="s">
        <v>36</v>
      </c>
    </row>
    <row r="1729" spans="1:16" x14ac:dyDescent="0.25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>
        <v>46</v>
      </c>
      <c r="J1729" s="3">
        <v>46561.48</v>
      </c>
      <c r="K1729" s="2">
        <v>3.96</v>
      </c>
      <c r="L1729" s="3">
        <v>2057011.69</v>
      </c>
      <c r="M1729">
        <v>46039</v>
      </c>
      <c r="N1729" s="1" t="s">
        <v>113</v>
      </c>
      <c r="O1729" s="1" t="s">
        <v>35</v>
      </c>
      <c r="P1729" s="1" t="s">
        <v>53</v>
      </c>
    </row>
    <row r="1730" spans="1:16" x14ac:dyDescent="0.25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>
        <v>22</v>
      </c>
      <c r="J1730" s="3">
        <v>19727.990000000002</v>
      </c>
      <c r="K1730" s="2">
        <v>17.84</v>
      </c>
      <c r="L1730" s="3">
        <v>356587.36</v>
      </c>
      <c r="M1730">
        <v>46081</v>
      </c>
      <c r="N1730" s="1" t="s">
        <v>58</v>
      </c>
      <c r="O1730" s="1" t="s">
        <v>25</v>
      </c>
      <c r="P1730" s="1" t="s">
        <v>53</v>
      </c>
    </row>
    <row r="1731" spans="1:16" x14ac:dyDescent="0.25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>
        <v>8</v>
      </c>
      <c r="J1731" s="3">
        <v>38343.24</v>
      </c>
      <c r="K1731" s="2">
        <v>6.99</v>
      </c>
      <c r="L1731" s="3">
        <v>285304.38</v>
      </c>
      <c r="M1731">
        <v>46279</v>
      </c>
      <c r="N1731" s="1" t="s">
        <v>68</v>
      </c>
      <c r="O1731" s="1" t="s">
        <v>35</v>
      </c>
      <c r="P1731" s="1" t="s">
        <v>36</v>
      </c>
    </row>
    <row r="1732" spans="1:16" x14ac:dyDescent="0.25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>
        <v>16</v>
      </c>
      <c r="J1732" s="3">
        <v>24381.48</v>
      </c>
      <c r="K1732" s="2">
        <v>1.54</v>
      </c>
      <c r="L1732" s="3">
        <v>384096.08</v>
      </c>
      <c r="M1732">
        <v>46255</v>
      </c>
      <c r="N1732" s="1" t="s">
        <v>113</v>
      </c>
      <c r="O1732" s="1" t="s">
        <v>35</v>
      </c>
      <c r="P1732" s="1" t="s">
        <v>53</v>
      </c>
    </row>
    <row r="1733" spans="1:16" x14ac:dyDescent="0.25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>
        <v>6</v>
      </c>
      <c r="J1733" s="3">
        <v>32057.01</v>
      </c>
      <c r="K1733" s="2">
        <v>15.11</v>
      </c>
      <c r="L1733" s="3">
        <v>163279.17000000001</v>
      </c>
      <c r="M1733">
        <v>46366</v>
      </c>
      <c r="N1733" s="1" t="s">
        <v>68</v>
      </c>
      <c r="O1733" s="1" t="s">
        <v>35</v>
      </c>
      <c r="P1733" s="1" t="s">
        <v>53</v>
      </c>
    </row>
    <row r="1734" spans="1:16" x14ac:dyDescent="0.25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>
        <v>16</v>
      </c>
      <c r="J1734" s="3">
        <v>9085.59</v>
      </c>
      <c r="K1734" s="2">
        <v>3.79</v>
      </c>
      <c r="L1734" s="3">
        <v>139859.94</v>
      </c>
      <c r="M1734">
        <v>46261</v>
      </c>
      <c r="N1734" s="1" t="s">
        <v>58</v>
      </c>
      <c r="O1734" s="1" t="s">
        <v>35</v>
      </c>
      <c r="P1734" s="1" t="s">
        <v>53</v>
      </c>
    </row>
    <row r="1735" spans="1:16" x14ac:dyDescent="0.25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>
        <v>33</v>
      </c>
      <c r="J1735" s="3">
        <v>34834.019999999997</v>
      </c>
      <c r="K1735" s="2">
        <v>10.35</v>
      </c>
      <c r="L1735" s="3">
        <v>1030547.06</v>
      </c>
      <c r="M1735">
        <v>46138</v>
      </c>
      <c r="N1735" s="1" t="s">
        <v>113</v>
      </c>
      <c r="O1735" s="1" t="s">
        <v>35</v>
      </c>
      <c r="P1735" s="1" t="s">
        <v>26</v>
      </c>
    </row>
    <row r="1736" spans="1:16" x14ac:dyDescent="0.25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>
        <v>8</v>
      </c>
      <c r="J1736" s="3">
        <v>34334.199999999997</v>
      </c>
      <c r="K1736" s="2">
        <v>4.74</v>
      </c>
      <c r="L1736" s="3">
        <v>261654.07</v>
      </c>
      <c r="M1736">
        <v>46033</v>
      </c>
      <c r="N1736" s="1" t="s">
        <v>68</v>
      </c>
      <c r="O1736" s="1" t="s">
        <v>35</v>
      </c>
      <c r="P1736" s="1" t="s">
        <v>53</v>
      </c>
    </row>
    <row r="1737" spans="1:16" x14ac:dyDescent="0.25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>
        <v>22</v>
      </c>
      <c r="J1737" s="3">
        <v>48685.82</v>
      </c>
      <c r="K1737" s="2">
        <v>18.170000000000002</v>
      </c>
      <c r="L1737" s="3">
        <v>876471.34</v>
      </c>
      <c r="M1737">
        <v>46165</v>
      </c>
      <c r="N1737" s="1" t="s">
        <v>58</v>
      </c>
      <c r="O1737" s="1" t="s">
        <v>35</v>
      </c>
      <c r="P1737" s="1" t="s">
        <v>26</v>
      </c>
    </row>
    <row r="1738" spans="1:16" x14ac:dyDescent="0.25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>
        <v>44</v>
      </c>
      <c r="J1738" s="3">
        <v>16457.43</v>
      </c>
      <c r="K1738" s="2">
        <v>2.48</v>
      </c>
      <c r="L1738" s="3">
        <v>706168.57</v>
      </c>
      <c r="M1738">
        <v>46323</v>
      </c>
      <c r="N1738" s="1" t="s">
        <v>68</v>
      </c>
      <c r="O1738" s="1" t="s">
        <v>35</v>
      </c>
      <c r="P1738" s="1" t="s">
        <v>53</v>
      </c>
    </row>
    <row r="1739" spans="1:16" x14ac:dyDescent="0.25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>
        <v>12</v>
      </c>
      <c r="J1739" s="3">
        <v>44130.27</v>
      </c>
      <c r="K1739" s="2">
        <v>19.37</v>
      </c>
      <c r="L1739" s="3">
        <v>426986.84</v>
      </c>
      <c r="M1739">
        <v>46357</v>
      </c>
      <c r="N1739" s="1" t="s">
        <v>68</v>
      </c>
      <c r="O1739" s="1" t="s">
        <v>35</v>
      </c>
      <c r="P1739" s="1" t="s">
        <v>36</v>
      </c>
    </row>
    <row r="1740" spans="1:16" x14ac:dyDescent="0.25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>
        <v>32</v>
      </c>
      <c r="J1740" s="3">
        <v>46431.91</v>
      </c>
      <c r="K1740" s="2">
        <v>10.83</v>
      </c>
      <c r="L1740" s="3">
        <v>1324906.69</v>
      </c>
      <c r="M1740">
        <v>46348</v>
      </c>
      <c r="N1740" s="1" t="s">
        <v>68</v>
      </c>
      <c r="O1740" s="1" t="s">
        <v>35</v>
      </c>
      <c r="P1740" s="1" t="s">
        <v>53</v>
      </c>
    </row>
    <row r="1741" spans="1:16" x14ac:dyDescent="0.25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>
        <v>37</v>
      </c>
      <c r="J1741" s="3">
        <v>5989.21</v>
      </c>
      <c r="K1741" s="2">
        <v>16.48</v>
      </c>
      <c r="L1741" s="3">
        <v>185080.95999999999</v>
      </c>
      <c r="M1741">
        <v>46291</v>
      </c>
      <c r="N1741" s="1" t="s">
        <v>68</v>
      </c>
      <c r="O1741" s="1" t="s">
        <v>35</v>
      </c>
      <c r="P1741" s="1" t="s">
        <v>36</v>
      </c>
    </row>
    <row r="1742" spans="1:16" x14ac:dyDescent="0.25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>
        <v>19</v>
      </c>
      <c r="J1742" s="3">
        <v>29263.86</v>
      </c>
      <c r="K1742" s="2">
        <v>19.02</v>
      </c>
      <c r="L1742" s="3">
        <v>450259.6</v>
      </c>
      <c r="M1742">
        <v>46317</v>
      </c>
      <c r="N1742" s="1" t="s">
        <v>24</v>
      </c>
      <c r="O1742" s="1" t="s">
        <v>35</v>
      </c>
      <c r="P1742" s="1" t="s">
        <v>36</v>
      </c>
    </row>
    <row r="1743" spans="1:16" x14ac:dyDescent="0.25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>
        <v>20</v>
      </c>
      <c r="J1743" s="3">
        <v>41797.82</v>
      </c>
      <c r="K1743" s="2">
        <v>6.26</v>
      </c>
      <c r="L1743" s="3">
        <v>783625.53</v>
      </c>
      <c r="M1743">
        <v>46055</v>
      </c>
      <c r="N1743" s="1" t="s">
        <v>58</v>
      </c>
      <c r="O1743" s="1" t="s">
        <v>35</v>
      </c>
      <c r="P1743" s="1" t="s">
        <v>36</v>
      </c>
    </row>
    <row r="1744" spans="1:16" x14ac:dyDescent="0.25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>
        <v>42</v>
      </c>
      <c r="J1744" s="3">
        <v>19415.38</v>
      </c>
      <c r="K1744" s="2">
        <v>6.96</v>
      </c>
      <c r="L1744" s="3">
        <v>758690.92</v>
      </c>
      <c r="M1744">
        <v>46040</v>
      </c>
      <c r="N1744" s="1" t="s">
        <v>113</v>
      </c>
      <c r="O1744" s="1" t="s">
        <v>35</v>
      </c>
      <c r="P1744" s="1" t="s">
        <v>53</v>
      </c>
    </row>
    <row r="1745" spans="1:16" x14ac:dyDescent="0.25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>
        <v>20</v>
      </c>
      <c r="J1745" s="3">
        <v>41003.339999999997</v>
      </c>
      <c r="K1745" s="2">
        <v>4.12</v>
      </c>
      <c r="L1745" s="3">
        <v>786280.05</v>
      </c>
      <c r="M1745">
        <v>46073</v>
      </c>
      <c r="N1745" s="1" t="s">
        <v>58</v>
      </c>
      <c r="O1745" s="1" t="s">
        <v>35</v>
      </c>
      <c r="P1745" s="1" t="s">
        <v>26</v>
      </c>
    </row>
    <row r="1746" spans="1:16" x14ac:dyDescent="0.25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>
        <v>25</v>
      </c>
      <c r="J1746" s="3">
        <v>48139.57</v>
      </c>
      <c r="K1746" s="2">
        <v>12.08</v>
      </c>
      <c r="L1746" s="3">
        <v>1058107.75</v>
      </c>
      <c r="M1746">
        <v>46183</v>
      </c>
      <c r="N1746" s="1" t="s">
        <v>45</v>
      </c>
      <c r="O1746" s="1" t="s">
        <v>35</v>
      </c>
      <c r="P1746" s="1" t="s">
        <v>36</v>
      </c>
    </row>
    <row r="1747" spans="1:16" x14ac:dyDescent="0.25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>
        <v>41</v>
      </c>
      <c r="J1747" s="3">
        <v>34404.620000000003</v>
      </c>
      <c r="K1747" s="2">
        <v>14.39</v>
      </c>
      <c r="L1747" s="3">
        <v>1207605.6000000001</v>
      </c>
      <c r="M1747">
        <v>46035</v>
      </c>
      <c r="N1747" s="1" t="s">
        <v>24</v>
      </c>
      <c r="O1747" s="1" t="s">
        <v>35</v>
      </c>
      <c r="P1747" s="1" t="s">
        <v>53</v>
      </c>
    </row>
    <row r="1748" spans="1:16" x14ac:dyDescent="0.25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>
        <v>41</v>
      </c>
      <c r="J1748" s="3">
        <v>5166.37</v>
      </c>
      <c r="K1748" s="2">
        <v>7.21</v>
      </c>
      <c r="L1748" s="3">
        <v>196548.86</v>
      </c>
      <c r="M1748">
        <v>46179</v>
      </c>
      <c r="N1748" s="1" t="s">
        <v>45</v>
      </c>
      <c r="O1748" s="1" t="s">
        <v>35</v>
      </c>
      <c r="P1748" s="1" t="s">
        <v>26</v>
      </c>
    </row>
    <row r="1749" spans="1:16" x14ac:dyDescent="0.25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>
        <v>36</v>
      </c>
      <c r="J1749" s="3">
        <v>49418.09</v>
      </c>
      <c r="K1749" s="2">
        <v>11.47</v>
      </c>
      <c r="L1749" s="3">
        <v>1574994.06</v>
      </c>
      <c r="M1749">
        <v>46332</v>
      </c>
      <c r="N1749" s="1" t="s">
        <v>68</v>
      </c>
      <c r="O1749" s="1" t="s">
        <v>35</v>
      </c>
      <c r="P1749" s="1" t="s">
        <v>53</v>
      </c>
    </row>
    <row r="1750" spans="1:16" x14ac:dyDescent="0.25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>
        <v>26</v>
      </c>
      <c r="J1750" s="3">
        <v>26795.73</v>
      </c>
      <c r="K1750" s="2">
        <v>9.52</v>
      </c>
      <c r="L1750" s="3">
        <v>630364.18999999994</v>
      </c>
      <c r="M1750">
        <v>46202</v>
      </c>
      <c r="N1750" s="1" t="s">
        <v>68</v>
      </c>
      <c r="O1750" s="1" t="s">
        <v>35</v>
      </c>
      <c r="P1750" s="1" t="s">
        <v>36</v>
      </c>
    </row>
    <row r="1751" spans="1:16" x14ac:dyDescent="0.25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>
        <v>45</v>
      </c>
      <c r="J1751" s="3">
        <v>21531.200000000001</v>
      </c>
      <c r="K1751" s="2">
        <v>4.21</v>
      </c>
      <c r="L1751" s="3">
        <v>928113.14</v>
      </c>
      <c r="M1751">
        <v>46122</v>
      </c>
      <c r="N1751" s="1" t="s">
        <v>58</v>
      </c>
      <c r="O1751" s="1" t="s">
        <v>35</v>
      </c>
      <c r="P1751" s="1" t="s">
        <v>53</v>
      </c>
    </row>
    <row r="1752" spans="1:16" x14ac:dyDescent="0.25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>
        <v>30</v>
      </c>
      <c r="J1752" s="3">
        <v>6530.42</v>
      </c>
      <c r="K1752" s="2">
        <v>9.2100000000000009</v>
      </c>
      <c r="L1752" s="3">
        <v>177869.05</v>
      </c>
      <c r="M1752">
        <v>46124</v>
      </c>
      <c r="N1752" s="1" t="s">
        <v>24</v>
      </c>
      <c r="O1752" s="1" t="s">
        <v>25</v>
      </c>
      <c r="P1752" s="1" t="s">
        <v>36</v>
      </c>
    </row>
    <row r="1753" spans="1:16" x14ac:dyDescent="0.25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>
        <v>5</v>
      </c>
      <c r="J1753" s="3">
        <v>4365.71</v>
      </c>
      <c r="K1753" s="2">
        <v>0.84</v>
      </c>
      <c r="L1753" s="3">
        <v>21645.19</v>
      </c>
      <c r="M1753">
        <v>46378</v>
      </c>
      <c r="N1753" s="1" t="s">
        <v>24</v>
      </c>
      <c r="O1753" s="1" t="s">
        <v>25</v>
      </c>
      <c r="P1753" s="1" t="s">
        <v>53</v>
      </c>
    </row>
    <row r="1754" spans="1:16" x14ac:dyDescent="0.25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>
        <v>19</v>
      </c>
      <c r="J1754" s="3">
        <v>18449.080000000002</v>
      </c>
      <c r="K1754" s="2">
        <v>12.6</v>
      </c>
      <c r="L1754" s="3">
        <v>306365.42</v>
      </c>
      <c r="M1754">
        <v>46092</v>
      </c>
      <c r="N1754" s="1" t="s">
        <v>24</v>
      </c>
      <c r="O1754" s="1" t="s">
        <v>35</v>
      </c>
      <c r="P1754" s="1" t="s">
        <v>36</v>
      </c>
    </row>
    <row r="1755" spans="1:16" x14ac:dyDescent="0.25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>
        <v>44</v>
      </c>
      <c r="J1755" s="3">
        <v>45115.5</v>
      </c>
      <c r="K1755" s="2">
        <v>17.66</v>
      </c>
      <c r="L1755" s="3">
        <v>1634516.52</v>
      </c>
      <c r="M1755">
        <v>46278</v>
      </c>
      <c r="N1755" s="1" t="s">
        <v>45</v>
      </c>
      <c r="O1755" s="1" t="s">
        <v>35</v>
      </c>
      <c r="P1755" s="1" t="s">
        <v>53</v>
      </c>
    </row>
    <row r="1756" spans="1:16" x14ac:dyDescent="0.25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>
        <v>7</v>
      </c>
      <c r="J1756" s="3">
        <v>772.77</v>
      </c>
      <c r="K1756" s="2">
        <v>4.29</v>
      </c>
      <c r="L1756" s="3">
        <v>5177.33</v>
      </c>
      <c r="M1756">
        <v>46204</v>
      </c>
      <c r="N1756" s="1" t="s">
        <v>113</v>
      </c>
      <c r="O1756" s="1" t="s">
        <v>35</v>
      </c>
      <c r="P1756" s="1" t="s">
        <v>36</v>
      </c>
    </row>
    <row r="1757" spans="1:16" x14ac:dyDescent="0.25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>
        <v>6</v>
      </c>
      <c r="J1757" s="3">
        <v>3300.91</v>
      </c>
      <c r="K1757" s="2">
        <v>3.65</v>
      </c>
      <c r="L1757" s="3">
        <v>19082.560000000001</v>
      </c>
      <c r="M1757">
        <v>46308</v>
      </c>
      <c r="N1757" s="1" t="s">
        <v>24</v>
      </c>
      <c r="O1757" s="1" t="s">
        <v>35</v>
      </c>
      <c r="P1757" s="1" t="s">
        <v>53</v>
      </c>
    </row>
    <row r="1758" spans="1:16" x14ac:dyDescent="0.25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>
        <v>50</v>
      </c>
      <c r="J1758" s="3">
        <v>26137.27</v>
      </c>
      <c r="K1758" s="2">
        <v>17.13</v>
      </c>
      <c r="L1758" s="3">
        <v>1082997.78</v>
      </c>
      <c r="M1758">
        <v>46036</v>
      </c>
      <c r="N1758" s="1" t="s">
        <v>24</v>
      </c>
      <c r="O1758" s="1" t="s">
        <v>35</v>
      </c>
      <c r="P1758" s="1" t="s">
        <v>26</v>
      </c>
    </row>
    <row r="1759" spans="1:16" x14ac:dyDescent="0.25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>
        <v>37</v>
      </c>
      <c r="J1759" s="3">
        <v>28322.81</v>
      </c>
      <c r="K1759" s="2">
        <v>3.11</v>
      </c>
      <c r="L1759" s="3">
        <v>1015352.91</v>
      </c>
      <c r="M1759">
        <v>46079</v>
      </c>
      <c r="N1759" s="1" t="s">
        <v>113</v>
      </c>
      <c r="O1759" s="1" t="s">
        <v>35</v>
      </c>
      <c r="P1759" s="1" t="s">
        <v>36</v>
      </c>
    </row>
    <row r="1760" spans="1:16" x14ac:dyDescent="0.25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>
        <v>15</v>
      </c>
      <c r="J1760" s="3">
        <v>44398.98</v>
      </c>
      <c r="K1760" s="2">
        <v>10.27</v>
      </c>
      <c r="L1760" s="3">
        <v>597588.06999999995</v>
      </c>
      <c r="M1760">
        <v>46051</v>
      </c>
      <c r="N1760" s="1" t="s">
        <v>24</v>
      </c>
      <c r="O1760" s="1" t="s">
        <v>35</v>
      </c>
      <c r="P1760" s="1" t="s">
        <v>26</v>
      </c>
    </row>
    <row r="1761" spans="1:16" x14ac:dyDescent="0.25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>
        <v>19</v>
      </c>
      <c r="J1761" s="3">
        <v>24605.61</v>
      </c>
      <c r="K1761" s="2">
        <v>6.31</v>
      </c>
      <c r="L1761" s="3">
        <v>438006.92</v>
      </c>
      <c r="M1761">
        <v>46053</v>
      </c>
      <c r="N1761" s="1" t="s">
        <v>68</v>
      </c>
      <c r="O1761" s="1" t="s">
        <v>35</v>
      </c>
      <c r="P1761" s="1" t="s">
        <v>36</v>
      </c>
    </row>
    <row r="1762" spans="1:16" x14ac:dyDescent="0.25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>
        <v>15</v>
      </c>
      <c r="J1762" s="3">
        <v>19167.82</v>
      </c>
      <c r="K1762" s="2">
        <v>1.65</v>
      </c>
      <c r="L1762" s="3">
        <v>282773.26</v>
      </c>
      <c r="M1762">
        <v>46081</v>
      </c>
      <c r="N1762" s="1" t="s">
        <v>58</v>
      </c>
      <c r="O1762" s="1" t="s">
        <v>25</v>
      </c>
      <c r="P1762" s="1" t="s">
        <v>53</v>
      </c>
    </row>
    <row r="1763" spans="1:16" x14ac:dyDescent="0.25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>
        <v>48</v>
      </c>
      <c r="J1763" s="3">
        <v>40033.68</v>
      </c>
      <c r="K1763" s="2">
        <v>3.47</v>
      </c>
      <c r="L1763" s="3">
        <v>1854936.54</v>
      </c>
      <c r="M1763">
        <v>46276</v>
      </c>
      <c r="N1763" s="1" t="s">
        <v>113</v>
      </c>
      <c r="O1763" s="1" t="s">
        <v>35</v>
      </c>
      <c r="P1763" s="1" t="s">
        <v>53</v>
      </c>
    </row>
    <row r="1764" spans="1:16" x14ac:dyDescent="0.25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>
        <v>1</v>
      </c>
      <c r="J1764" s="3">
        <v>6978.81</v>
      </c>
      <c r="K1764" s="2">
        <v>10.75</v>
      </c>
      <c r="L1764" s="3">
        <v>6228.59</v>
      </c>
      <c r="M1764">
        <v>46055</v>
      </c>
      <c r="N1764" s="1" t="s">
        <v>113</v>
      </c>
      <c r="O1764" s="1" t="s">
        <v>25</v>
      </c>
      <c r="P1764" s="1" t="s">
        <v>26</v>
      </c>
    </row>
    <row r="1765" spans="1:16" x14ac:dyDescent="0.25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>
        <v>27</v>
      </c>
      <c r="J1765" s="3">
        <v>8010.84</v>
      </c>
      <c r="K1765" s="2">
        <v>14.39</v>
      </c>
      <c r="L1765" s="3">
        <v>185168.16</v>
      </c>
      <c r="M1765">
        <v>46113</v>
      </c>
      <c r="N1765" s="1" t="s">
        <v>68</v>
      </c>
      <c r="O1765" s="1" t="s">
        <v>35</v>
      </c>
      <c r="P1765" s="1" t="s">
        <v>26</v>
      </c>
    </row>
    <row r="1766" spans="1:16" x14ac:dyDescent="0.25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>
        <v>14</v>
      </c>
      <c r="J1766" s="3">
        <v>38615.99</v>
      </c>
      <c r="K1766" s="2">
        <v>6.58</v>
      </c>
      <c r="L1766" s="3">
        <v>505050.81</v>
      </c>
      <c r="M1766">
        <v>46194</v>
      </c>
      <c r="N1766" s="1" t="s">
        <v>113</v>
      </c>
      <c r="O1766" s="1" t="s">
        <v>35</v>
      </c>
      <c r="P1766" s="1" t="s">
        <v>53</v>
      </c>
    </row>
    <row r="1767" spans="1:16" x14ac:dyDescent="0.25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>
        <v>20</v>
      </c>
      <c r="J1767" s="3">
        <v>24979.72</v>
      </c>
      <c r="K1767" s="2">
        <v>8.09</v>
      </c>
      <c r="L1767" s="3">
        <v>459177.21</v>
      </c>
      <c r="M1767">
        <v>46357</v>
      </c>
      <c r="N1767" s="1" t="s">
        <v>24</v>
      </c>
      <c r="O1767" s="1" t="s">
        <v>35</v>
      </c>
      <c r="P1767" s="1" t="s">
        <v>53</v>
      </c>
    </row>
    <row r="1768" spans="1:16" x14ac:dyDescent="0.25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>
        <v>4</v>
      </c>
      <c r="J1768" s="3">
        <v>16019.01</v>
      </c>
      <c r="K1768" s="2">
        <v>1.41</v>
      </c>
      <c r="L1768" s="3">
        <v>63172.57</v>
      </c>
      <c r="M1768">
        <v>46070</v>
      </c>
      <c r="N1768" s="1" t="s">
        <v>24</v>
      </c>
      <c r="O1768" s="1" t="s">
        <v>35</v>
      </c>
      <c r="P1768" s="1" t="s">
        <v>53</v>
      </c>
    </row>
    <row r="1769" spans="1:16" x14ac:dyDescent="0.25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>
        <v>8</v>
      </c>
      <c r="J1769" s="3">
        <v>37191.980000000003</v>
      </c>
      <c r="K1769" s="2">
        <v>18.8</v>
      </c>
      <c r="L1769" s="3">
        <v>241599.1</v>
      </c>
      <c r="M1769">
        <v>46071</v>
      </c>
      <c r="N1769" s="1" t="s">
        <v>68</v>
      </c>
      <c r="O1769" s="1" t="s">
        <v>35</v>
      </c>
      <c r="P1769" s="1" t="s">
        <v>53</v>
      </c>
    </row>
    <row r="1770" spans="1:16" x14ac:dyDescent="0.25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>
        <v>29</v>
      </c>
      <c r="J1770" s="3">
        <v>12851.03</v>
      </c>
      <c r="K1770" s="2">
        <v>7.72</v>
      </c>
      <c r="L1770" s="3">
        <v>343908.98</v>
      </c>
      <c r="M1770">
        <v>46230</v>
      </c>
      <c r="N1770" s="1" t="s">
        <v>24</v>
      </c>
      <c r="O1770" s="1" t="s">
        <v>25</v>
      </c>
      <c r="P1770" s="1" t="s">
        <v>26</v>
      </c>
    </row>
    <row r="1771" spans="1:16" x14ac:dyDescent="0.25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>
        <v>39</v>
      </c>
      <c r="J1771" s="3">
        <v>32313.38</v>
      </c>
      <c r="K1771" s="2">
        <v>9.85</v>
      </c>
      <c r="L1771" s="3">
        <v>1136089.97</v>
      </c>
      <c r="M1771">
        <v>46189</v>
      </c>
      <c r="N1771" s="1" t="s">
        <v>58</v>
      </c>
      <c r="O1771" s="1" t="s">
        <v>35</v>
      </c>
      <c r="P1771" s="1" t="s">
        <v>36</v>
      </c>
    </row>
    <row r="1772" spans="1:16" x14ac:dyDescent="0.25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>
        <v>30</v>
      </c>
      <c r="J1772" s="3">
        <v>39771.99</v>
      </c>
      <c r="K1772" s="2">
        <v>9.81</v>
      </c>
      <c r="L1772" s="3">
        <v>1076110.73</v>
      </c>
      <c r="M1772">
        <v>46086</v>
      </c>
      <c r="N1772" s="1" t="s">
        <v>113</v>
      </c>
      <c r="O1772" s="1" t="s">
        <v>35</v>
      </c>
      <c r="P1772" s="1" t="s">
        <v>36</v>
      </c>
    </row>
    <row r="1773" spans="1:16" x14ac:dyDescent="0.25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>
        <v>41</v>
      </c>
      <c r="J1773" s="3">
        <v>25462.19</v>
      </c>
      <c r="K1773" s="2">
        <v>4.2699999999999996</v>
      </c>
      <c r="L1773" s="3">
        <v>999373.13</v>
      </c>
      <c r="M1773">
        <v>46312</v>
      </c>
      <c r="N1773" s="1" t="s">
        <v>113</v>
      </c>
      <c r="O1773" s="1" t="s">
        <v>35</v>
      </c>
      <c r="P1773" s="1" t="s">
        <v>26</v>
      </c>
    </row>
    <row r="1774" spans="1:16" x14ac:dyDescent="0.25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>
        <v>13</v>
      </c>
      <c r="J1774" s="3">
        <v>45013.94</v>
      </c>
      <c r="K1774" s="2">
        <v>7.83</v>
      </c>
      <c r="L1774" s="3">
        <v>539361.53</v>
      </c>
      <c r="M1774">
        <v>46369</v>
      </c>
      <c r="N1774" s="1" t="s">
        <v>113</v>
      </c>
      <c r="O1774" s="1" t="s">
        <v>35</v>
      </c>
      <c r="P1774" s="1" t="s">
        <v>26</v>
      </c>
    </row>
    <row r="1775" spans="1:16" x14ac:dyDescent="0.25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>
        <v>28</v>
      </c>
      <c r="J1775" s="3">
        <v>39357.03</v>
      </c>
      <c r="K1775" s="2">
        <v>19.739999999999998</v>
      </c>
      <c r="L1775" s="3">
        <v>884462.66</v>
      </c>
      <c r="M1775">
        <v>46302</v>
      </c>
      <c r="N1775" s="1" t="s">
        <v>58</v>
      </c>
      <c r="O1775" s="1" t="s">
        <v>35</v>
      </c>
      <c r="P1775" s="1" t="s">
        <v>26</v>
      </c>
    </row>
    <row r="1776" spans="1:16" x14ac:dyDescent="0.25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>
        <v>28</v>
      </c>
      <c r="J1776" s="3">
        <v>27504.85</v>
      </c>
      <c r="K1776" s="2">
        <v>12.44</v>
      </c>
      <c r="L1776" s="3">
        <v>674330.91</v>
      </c>
      <c r="M1776">
        <v>46066</v>
      </c>
      <c r="N1776" s="1" t="s">
        <v>45</v>
      </c>
      <c r="O1776" s="1" t="s">
        <v>59</v>
      </c>
      <c r="P1776" s="1" t="s">
        <v>26</v>
      </c>
    </row>
    <row r="1777" spans="1:16" x14ac:dyDescent="0.25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>
        <v>21</v>
      </c>
      <c r="J1777" s="3">
        <v>8391.17</v>
      </c>
      <c r="K1777" s="2">
        <v>10.72</v>
      </c>
      <c r="L1777" s="3">
        <v>157324.37</v>
      </c>
      <c r="M1777">
        <v>46237</v>
      </c>
      <c r="N1777" s="1" t="s">
        <v>58</v>
      </c>
      <c r="O1777" s="1" t="s">
        <v>35</v>
      </c>
      <c r="P1777" s="1" t="s">
        <v>53</v>
      </c>
    </row>
    <row r="1778" spans="1:16" x14ac:dyDescent="0.25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>
        <v>19</v>
      </c>
      <c r="J1778" s="3">
        <v>46846.26</v>
      </c>
      <c r="K1778" s="2">
        <v>14.22</v>
      </c>
      <c r="L1778" s="3">
        <v>763509.71</v>
      </c>
      <c r="M1778">
        <v>46095</v>
      </c>
      <c r="N1778" s="1" t="s">
        <v>113</v>
      </c>
      <c r="O1778" s="1" t="s">
        <v>35</v>
      </c>
      <c r="P1778" s="1" t="s">
        <v>36</v>
      </c>
    </row>
    <row r="1779" spans="1:16" x14ac:dyDescent="0.25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>
        <v>1</v>
      </c>
      <c r="J1779" s="3">
        <v>10188.959999999999</v>
      </c>
      <c r="K1779" s="2">
        <v>16.739999999999998</v>
      </c>
      <c r="L1779" s="3">
        <v>8483.33</v>
      </c>
      <c r="M1779">
        <v>46067</v>
      </c>
      <c r="N1779" s="1" t="s">
        <v>58</v>
      </c>
      <c r="O1779" s="1" t="s">
        <v>35</v>
      </c>
      <c r="P1779" s="1" t="s">
        <v>36</v>
      </c>
    </row>
    <row r="1780" spans="1:16" x14ac:dyDescent="0.25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>
        <v>16</v>
      </c>
      <c r="J1780" s="3">
        <v>40179.29</v>
      </c>
      <c r="K1780" s="2">
        <v>4.76</v>
      </c>
      <c r="L1780" s="3">
        <v>612268.09</v>
      </c>
      <c r="M1780">
        <v>46267</v>
      </c>
      <c r="N1780" s="1" t="s">
        <v>24</v>
      </c>
      <c r="O1780" s="1" t="s">
        <v>25</v>
      </c>
      <c r="P1780" s="1" t="s">
        <v>36</v>
      </c>
    </row>
    <row r="1781" spans="1:16" x14ac:dyDescent="0.25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>
        <v>25</v>
      </c>
      <c r="J1781" s="3">
        <v>32533.32</v>
      </c>
      <c r="K1781" s="2">
        <v>3.36</v>
      </c>
      <c r="L1781" s="3">
        <v>786005.01</v>
      </c>
      <c r="M1781">
        <v>46040</v>
      </c>
      <c r="N1781" s="1" t="s">
        <v>113</v>
      </c>
      <c r="O1781" s="1" t="s">
        <v>25</v>
      </c>
      <c r="P1781" s="1" t="s">
        <v>26</v>
      </c>
    </row>
    <row r="1782" spans="1:16" x14ac:dyDescent="0.25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>
        <v>12</v>
      </c>
      <c r="J1782" s="3">
        <v>41844.43</v>
      </c>
      <c r="K1782" s="2">
        <v>11.51</v>
      </c>
      <c r="L1782" s="3">
        <v>444337.63</v>
      </c>
      <c r="M1782">
        <v>46181</v>
      </c>
      <c r="N1782" s="1" t="s">
        <v>68</v>
      </c>
      <c r="O1782" s="1" t="s">
        <v>25</v>
      </c>
      <c r="P1782" s="1" t="s">
        <v>53</v>
      </c>
    </row>
    <row r="1783" spans="1:16" x14ac:dyDescent="0.25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>
        <v>17</v>
      </c>
      <c r="J1783" s="3">
        <v>39650.71</v>
      </c>
      <c r="K1783" s="2">
        <v>0.37</v>
      </c>
      <c r="L1783" s="3">
        <v>671568.04</v>
      </c>
      <c r="M1783">
        <v>46024</v>
      </c>
      <c r="N1783" s="1" t="s">
        <v>113</v>
      </c>
      <c r="O1783" s="1" t="s">
        <v>35</v>
      </c>
      <c r="P1783" s="1" t="s">
        <v>26</v>
      </c>
    </row>
    <row r="1784" spans="1:16" x14ac:dyDescent="0.25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>
        <v>23</v>
      </c>
      <c r="J1784" s="3">
        <v>16939.55</v>
      </c>
      <c r="K1784" s="2">
        <v>0.05</v>
      </c>
      <c r="L1784" s="3">
        <v>389414.85</v>
      </c>
      <c r="M1784">
        <v>46381</v>
      </c>
      <c r="N1784" s="1" t="s">
        <v>45</v>
      </c>
      <c r="O1784" s="1" t="s">
        <v>25</v>
      </c>
      <c r="P1784" s="1" t="s">
        <v>53</v>
      </c>
    </row>
    <row r="1785" spans="1:16" x14ac:dyDescent="0.25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>
        <v>7</v>
      </c>
      <c r="J1785" s="3">
        <v>14105.28</v>
      </c>
      <c r="K1785" s="2">
        <v>9.82</v>
      </c>
      <c r="L1785" s="3">
        <v>89040.99</v>
      </c>
      <c r="M1785">
        <v>46334</v>
      </c>
      <c r="N1785" s="1" t="s">
        <v>113</v>
      </c>
      <c r="O1785" s="1" t="s">
        <v>25</v>
      </c>
      <c r="P1785" s="1" t="s">
        <v>36</v>
      </c>
    </row>
    <row r="1786" spans="1:16" x14ac:dyDescent="0.25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>
        <v>48</v>
      </c>
      <c r="J1786" s="3">
        <v>11932.1</v>
      </c>
      <c r="K1786" s="2">
        <v>12.79</v>
      </c>
      <c r="L1786" s="3">
        <v>499487.25</v>
      </c>
      <c r="M1786">
        <v>46299</v>
      </c>
      <c r="N1786" s="1" t="s">
        <v>24</v>
      </c>
      <c r="O1786" s="1" t="s">
        <v>35</v>
      </c>
      <c r="P1786" s="1" t="s">
        <v>26</v>
      </c>
    </row>
    <row r="1787" spans="1:16" x14ac:dyDescent="0.25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>
        <v>5</v>
      </c>
      <c r="J1787" s="3">
        <v>28021.8</v>
      </c>
      <c r="K1787" s="2">
        <v>9.7100000000000009</v>
      </c>
      <c r="L1787" s="3">
        <v>126504.42</v>
      </c>
      <c r="M1787">
        <v>46198</v>
      </c>
      <c r="N1787" s="1" t="s">
        <v>45</v>
      </c>
      <c r="O1787" s="1" t="s">
        <v>35</v>
      </c>
      <c r="P1787" s="1" t="s">
        <v>53</v>
      </c>
    </row>
    <row r="1788" spans="1:16" x14ac:dyDescent="0.25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>
        <v>7</v>
      </c>
      <c r="J1788" s="3">
        <v>19774.78</v>
      </c>
      <c r="K1788" s="2">
        <v>9.81</v>
      </c>
      <c r="L1788" s="3">
        <v>124844.12</v>
      </c>
      <c r="M1788">
        <v>46277</v>
      </c>
      <c r="N1788" s="1" t="s">
        <v>24</v>
      </c>
      <c r="O1788" s="1" t="s">
        <v>35</v>
      </c>
      <c r="P1788" s="1" t="s">
        <v>26</v>
      </c>
    </row>
    <row r="1789" spans="1:16" x14ac:dyDescent="0.25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>
        <v>11</v>
      </c>
      <c r="J1789" s="3">
        <v>42792.09</v>
      </c>
      <c r="K1789" s="2">
        <v>10.9</v>
      </c>
      <c r="L1789" s="3">
        <v>419405.27</v>
      </c>
      <c r="M1789">
        <v>46286</v>
      </c>
      <c r="N1789" s="1" t="s">
        <v>24</v>
      </c>
      <c r="O1789" s="1" t="s">
        <v>35</v>
      </c>
      <c r="P1789" s="1" t="s">
        <v>26</v>
      </c>
    </row>
    <row r="1790" spans="1:16" x14ac:dyDescent="0.25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>
        <v>30</v>
      </c>
      <c r="J1790" s="3">
        <v>48524.67</v>
      </c>
      <c r="K1790" s="2">
        <v>14.25</v>
      </c>
      <c r="L1790" s="3">
        <v>1248297.1399999999</v>
      </c>
      <c r="M1790">
        <v>46367</v>
      </c>
      <c r="N1790" s="1" t="s">
        <v>24</v>
      </c>
      <c r="O1790" s="1" t="s">
        <v>35</v>
      </c>
      <c r="P1790" s="1" t="s">
        <v>26</v>
      </c>
    </row>
    <row r="1791" spans="1:16" x14ac:dyDescent="0.25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>
        <v>20</v>
      </c>
      <c r="J1791" s="3">
        <v>31014.2</v>
      </c>
      <c r="K1791" s="2">
        <v>16.690000000000001</v>
      </c>
      <c r="L1791" s="3">
        <v>516758.6</v>
      </c>
      <c r="M1791">
        <v>46168</v>
      </c>
      <c r="N1791" s="1" t="s">
        <v>45</v>
      </c>
      <c r="O1791" s="1" t="s">
        <v>35</v>
      </c>
      <c r="P1791" s="1" t="s">
        <v>26</v>
      </c>
    </row>
    <row r="1792" spans="1:16" x14ac:dyDescent="0.25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>
        <v>10</v>
      </c>
      <c r="J1792" s="3">
        <v>5364.98</v>
      </c>
      <c r="K1792" s="2">
        <v>0.91</v>
      </c>
      <c r="L1792" s="3">
        <v>53161.59</v>
      </c>
      <c r="M1792">
        <v>46037</v>
      </c>
      <c r="N1792" s="1" t="s">
        <v>45</v>
      </c>
      <c r="O1792" s="1" t="s">
        <v>35</v>
      </c>
      <c r="P1792" s="1" t="s">
        <v>36</v>
      </c>
    </row>
    <row r="1793" spans="1:16" x14ac:dyDescent="0.25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>
        <v>20</v>
      </c>
      <c r="J1793" s="3">
        <v>10854.36</v>
      </c>
      <c r="K1793" s="2">
        <v>4.8</v>
      </c>
      <c r="L1793" s="3">
        <v>206667.01</v>
      </c>
      <c r="M1793">
        <v>46037</v>
      </c>
      <c r="N1793" s="1" t="s">
        <v>24</v>
      </c>
      <c r="O1793" s="1" t="s">
        <v>35</v>
      </c>
      <c r="P1793" s="1" t="s">
        <v>26</v>
      </c>
    </row>
    <row r="1794" spans="1:16" x14ac:dyDescent="0.25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>
        <v>14</v>
      </c>
      <c r="J1794" s="3">
        <v>15689.47</v>
      </c>
      <c r="K1794" s="2">
        <v>4.2</v>
      </c>
      <c r="L1794" s="3">
        <v>210427.17</v>
      </c>
      <c r="M1794">
        <v>46113</v>
      </c>
      <c r="N1794" s="1" t="s">
        <v>24</v>
      </c>
      <c r="O1794" s="1" t="s">
        <v>25</v>
      </c>
      <c r="P1794" s="1" t="s">
        <v>53</v>
      </c>
    </row>
    <row r="1795" spans="1:16" x14ac:dyDescent="0.25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>
        <v>13</v>
      </c>
      <c r="J1795" s="3">
        <v>2839.94</v>
      </c>
      <c r="K1795" s="2">
        <v>9.6199999999999992</v>
      </c>
      <c r="L1795" s="3">
        <v>33367.589999999997</v>
      </c>
      <c r="M1795">
        <v>46315</v>
      </c>
      <c r="N1795" s="1" t="s">
        <v>113</v>
      </c>
      <c r="O1795" s="1" t="s">
        <v>35</v>
      </c>
      <c r="P1795" s="1" t="s">
        <v>36</v>
      </c>
    </row>
    <row r="1796" spans="1:16" x14ac:dyDescent="0.25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>
        <v>16</v>
      </c>
      <c r="J1796" s="3">
        <v>1673.3</v>
      </c>
      <c r="K1796" s="2">
        <v>8.51</v>
      </c>
      <c r="L1796" s="3">
        <v>24494.43</v>
      </c>
      <c r="M1796">
        <v>46190</v>
      </c>
      <c r="N1796" s="1" t="s">
        <v>24</v>
      </c>
      <c r="O1796" s="1" t="s">
        <v>35</v>
      </c>
      <c r="P1796" s="1" t="s">
        <v>53</v>
      </c>
    </row>
    <row r="1797" spans="1:16" x14ac:dyDescent="0.25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>
        <v>27</v>
      </c>
      <c r="J1797" s="3">
        <v>45008.6</v>
      </c>
      <c r="K1797" s="2">
        <v>8.14</v>
      </c>
      <c r="L1797" s="3">
        <v>1116312.3</v>
      </c>
      <c r="M1797">
        <v>46172</v>
      </c>
      <c r="N1797" s="1" t="s">
        <v>24</v>
      </c>
      <c r="O1797" s="1" t="s">
        <v>35</v>
      </c>
      <c r="P1797" s="1" t="s">
        <v>26</v>
      </c>
    </row>
    <row r="1798" spans="1:16" x14ac:dyDescent="0.25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>
        <v>16</v>
      </c>
      <c r="J1798" s="3">
        <v>15743.18</v>
      </c>
      <c r="K1798" s="2">
        <v>17.37</v>
      </c>
      <c r="L1798" s="3">
        <v>208137.43</v>
      </c>
      <c r="M1798">
        <v>46061</v>
      </c>
      <c r="N1798" s="1" t="s">
        <v>68</v>
      </c>
      <c r="O1798" s="1" t="s">
        <v>35</v>
      </c>
      <c r="P1798" s="1" t="s">
        <v>36</v>
      </c>
    </row>
    <row r="1799" spans="1:16" x14ac:dyDescent="0.25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>
        <v>26</v>
      </c>
      <c r="J1799" s="3">
        <v>14219.35</v>
      </c>
      <c r="K1799" s="2">
        <v>19.309999999999999</v>
      </c>
      <c r="L1799" s="3">
        <v>298313.43</v>
      </c>
      <c r="M1799">
        <v>46255</v>
      </c>
      <c r="N1799" s="1" t="s">
        <v>68</v>
      </c>
      <c r="O1799" s="1" t="s">
        <v>35</v>
      </c>
      <c r="P1799" s="1" t="s">
        <v>26</v>
      </c>
    </row>
    <row r="1800" spans="1:16" x14ac:dyDescent="0.25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>
        <v>23</v>
      </c>
      <c r="J1800" s="3">
        <v>45307.89</v>
      </c>
      <c r="K1800" s="2">
        <v>1.23</v>
      </c>
      <c r="L1800" s="3">
        <v>1029263.87</v>
      </c>
      <c r="M1800">
        <v>46121</v>
      </c>
      <c r="N1800" s="1" t="s">
        <v>58</v>
      </c>
      <c r="O1800" s="1" t="s">
        <v>35</v>
      </c>
      <c r="P1800" s="1" t="s">
        <v>26</v>
      </c>
    </row>
    <row r="1801" spans="1:16" x14ac:dyDescent="0.25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>
        <v>9</v>
      </c>
      <c r="J1801" s="3">
        <v>47254.39</v>
      </c>
      <c r="K1801" s="2">
        <v>3.69</v>
      </c>
      <c r="L1801" s="3">
        <v>409596.33</v>
      </c>
      <c r="M1801">
        <v>46207</v>
      </c>
      <c r="N1801" s="1" t="s">
        <v>45</v>
      </c>
      <c r="O1801" s="1" t="s">
        <v>35</v>
      </c>
      <c r="P1801" s="1" t="s">
        <v>26</v>
      </c>
    </row>
    <row r="1802" spans="1:16" x14ac:dyDescent="0.25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>
        <v>38</v>
      </c>
      <c r="J1802" s="3">
        <v>27757.4</v>
      </c>
      <c r="K1802" s="2">
        <v>9.86</v>
      </c>
      <c r="L1802" s="3">
        <v>950779.77</v>
      </c>
      <c r="M1802">
        <v>46046</v>
      </c>
      <c r="N1802" s="1" t="s">
        <v>24</v>
      </c>
      <c r="O1802" s="1" t="s">
        <v>35</v>
      </c>
      <c r="P1802" s="1" t="s">
        <v>26</v>
      </c>
    </row>
    <row r="1803" spans="1:16" x14ac:dyDescent="0.25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>
        <v>38</v>
      </c>
      <c r="J1803" s="3">
        <v>35241.03</v>
      </c>
      <c r="K1803" s="2">
        <v>6.03</v>
      </c>
      <c r="L1803" s="3">
        <v>1258407.8400000001</v>
      </c>
      <c r="M1803">
        <v>46350</v>
      </c>
      <c r="N1803" s="1" t="s">
        <v>113</v>
      </c>
      <c r="O1803" s="1" t="s">
        <v>35</v>
      </c>
      <c r="P1803" s="1" t="s">
        <v>53</v>
      </c>
    </row>
    <row r="1804" spans="1:16" x14ac:dyDescent="0.25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>
        <v>22</v>
      </c>
      <c r="J1804" s="3">
        <v>9160.24</v>
      </c>
      <c r="K1804" s="2">
        <v>12.94</v>
      </c>
      <c r="L1804" s="3">
        <v>175447.91</v>
      </c>
      <c r="M1804">
        <v>46337</v>
      </c>
      <c r="N1804" s="1" t="s">
        <v>45</v>
      </c>
      <c r="O1804" s="1" t="s">
        <v>35</v>
      </c>
      <c r="P1804" s="1" t="s">
        <v>53</v>
      </c>
    </row>
    <row r="1805" spans="1:16" x14ac:dyDescent="0.25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>
        <v>19</v>
      </c>
      <c r="J1805" s="3">
        <v>14066</v>
      </c>
      <c r="K1805" s="2">
        <v>7.42</v>
      </c>
      <c r="L1805" s="3">
        <v>247423.75</v>
      </c>
      <c r="M1805">
        <v>46030</v>
      </c>
      <c r="N1805" s="1" t="s">
        <v>24</v>
      </c>
      <c r="O1805" s="1" t="s">
        <v>35</v>
      </c>
      <c r="P1805" s="1" t="s">
        <v>36</v>
      </c>
    </row>
    <row r="1806" spans="1:16" x14ac:dyDescent="0.25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>
        <v>9</v>
      </c>
      <c r="J1806" s="3">
        <v>2893.41</v>
      </c>
      <c r="K1806" s="2">
        <v>7.33</v>
      </c>
      <c r="L1806" s="3">
        <v>24131.91</v>
      </c>
      <c r="M1806">
        <v>46065</v>
      </c>
      <c r="N1806" s="1" t="s">
        <v>68</v>
      </c>
      <c r="O1806" s="1" t="s">
        <v>35</v>
      </c>
      <c r="P1806" s="1" t="s">
        <v>36</v>
      </c>
    </row>
    <row r="1807" spans="1:16" x14ac:dyDescent="0.25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>
        <v>44</v>
      </c>
      <c r="J1807" s="3">
        <v>16888.07</v>
      </c>
      <c r="K1807" s="2">
        <v>19.309999999999999</v>
      </c>
      <c r="L1807" s="3">
        <v>599587.28</v>
      </c>
      <c r="M1807">
        <v>46127</v>
      </c>
      <c r="N1807" s="1" t="s">
        <v>24</v>
      </c>
      <c r="O1807" s="1" t="s">
        <v>35</v>
      </c>
      <c r="P1807" s="1" t="s">
        <v>36</v>
      </c>
    </row>
    <row r="1808" spans="1:16" x14ac:dyDescent="0.25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>
        <v>42</v>
      </c>
      <c r="J1808" s="3">
        <v>3699.91</v>
      </c>
      <c r="K1808" s="2">
        <v>18.55</v>
      </c>
      <c r="L1808" s="3">
        <v>126570.22</v>
      </c>
      <c r="M1808">
        <v>46134</v>
      </c>
      <c r="N1808" s="1" t="s">
        <v>24</v>
      </c>
      <c r="O1808" s="1" t="s">
        <v>35</v>
      </c>
      <c r="P1808" s="1" t="s">
        <v>26</v>
      </c>
    </row>
    <row r="1809" spans="1:16" x14ac:dyDescent="0.25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>
        <v>50</v>
      </c>
      <c r="J1809" s="3">
        <v>9736.25</v>
      </c>
      <c r="K1809" s="2">
        <v>9.7899999999999991</v>
      </c>
      <c r="L1809" s="3">
        <v>439153.56</v>
      </c>
      <c r="M1809">
        <v>46291</v>
      </c>
      <c r="N1809" s="1" t="s">
        <v>45</v>
      </c>
      <c r="O1809" s="1" t="s">
        <v>59</v>
      </c>
      <c r="P1809" s="1" t="s">
        <v>26</v>
      </c>
    </row>
    <row r="1810" spans="1:16" x14ac:dyDescent="0.25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>
        <v>32</v>
      </c>
      <c r="J1810" s="3">
        <v>48502.93</v>
      </c>
      <c r="K1810" s="2">
        <v>19.510000000000002</v>
      </c>
      <c r="L1810" s="3">
        <v>1249280.27</v>
      </c>
      <c r="M1810">
        <v>46132</v>
      </c>
      <c r="N1810" s="1" t="s">
        <v>24</v>
      </c>
      <c r="O1810" s="1" t="s">
        <v>35</v>
      </c>
      <c r="P1810" s="1" t="s">
        <v>53</v>
      </c>
    </row>
    <row r="1811" spans="1:16" x14ac:dyDescent="0.25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>
        <v>34</v>
      </c>
      <c r="J1811" s="3">
        <v>43507.32</v>
      </c>
      <c r="K1811" s="2">
        <v>10.95</v>
      </c>
      <c r="L1811" s="3">
        <v>1317271.1299999999</v>
      </c>
      <c r="M1811">
        <v>46027</v>
      </c>
      <c r="N1811" s="1" t="s">
        <v>24</v>
      </c>
      <c r="O1811" s="1" t="s">
        <v>35</v>
      </c>
      <c r="P1811" s="1" t="s">
        <v>26</v>
      </c>
    </row>
    <row r="1812" spans="1:16" x14ac:dyDescent="0.25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>
        <v>31</v>
      </c>
      <c r="J1812" s="3">
        <v>39207.269999999997</v>
      </c>
      <c r="K1812" s="2">
        <v>6.14</v>
      </c>
      <c r="L1812" s="3">
        <v>1140798.25</v>
      </c>
      <c r="M1812">
        <v>46295</v>
      </c>
      <c r="N1812" s="1" t="s">
        <v>24</v>
      </c>
      <c r="O1812" s="1" t="s">
        <v>35</v>
      </c>
      <c r="P1812" s="1" t="s">
        <v>36</v>
      </c>
    </row>
    <row r="1813" spans="1:16" x14ac:dyDescent="0.25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>
        <v>3</v>
      </c>
      <c r="J1813" s="3">
        <v>17128.43</v>
      </c>
      <c r="K1813" s="2">
        <v>15.86</v>
      </c>
      <c r="L1813" s="3">
        <v>43235.58</v>
      </c>
      <c r="M1813">
        <v>46095</v>
      </c>
      <c r="N1813" s="1" t="s">
        <v>68</v>
      </c>
      <c r="O1813" s="1" t="s">
        <v>25</v>
      </c>
      <c r="P1813" s="1" t="s">
        <v>36</v>
      </c>
    </row>
    <row r="1814" spans="1:16" x14ac:dyDescent="0.25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>
        <v>12</v>
      </c>
      <c r="J1814" s="3">
        <v>21100.91</v>
      </c>
      <c r="K1814" s="2">
        <v>6.93</v>
      </c>
      <c r="L1814" s="3">
        <v>235663.4</v>
      </c>
      <c r="M1814">
        <v>46204</v>
      </c>
      <c r="N1814" s="1" t="s">
        <v>45</v>
      </c>
      <c r="O1814" s="1" t="s">
        <v>35</v>
      </c>
      <c r="P1814" s="1" t="s">
        <v>53</v>
      </c>
    </row>
    <row r="1815" spans="1:16" x14ac:dyDescent="0.25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>
        <v>12</v>
      </c>
      <c r="J1815" s="3">
        <v>20189.28</v>
      </c>
      <c r="K1815" s="2">
        <v>7.73</v>
      </c>
      <c r="L1815" s="3">
        <v>223543.78</v>
      </c>
      <c r="M1815">
        <v>46336</v>
      </c>
      <c r="N1815" s="1" t="s">
        <v>58</v>
      </c>
      <c r="O1815" s="1" t="s">
        <v>35</v>
      </c>
      <c r="P1815" s="1" t="s">
        <v>26</v>
      </c>
    </row>
    <row r="1816" spans="1:16" x14ac:dyDescent="0.25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>
        <v>45</v>
      </c>
      <c r="J1816" s="3">
        <v>34631.230000000003</v>
      </c>
      <c r="K1816" s="2">
        <v>4.8499999999999996</v>
      </c>
      <c r="L1816" s="3">
        <v>1482822.69</v>
      </c>
      <c r="M1816">
        <v>46145</v>
      </c>
      <c r="N1816" s="1" t="s">
        <v>68</v>
      </c>
      <c r="O1816" s="1" t="s">
        <v>35</v>
      </c>
      <c r="P1816" s="1" t="s">
        <v>53</v>
      </c>
    </row>
    <row r="1817" spans="1:16" x14ac:dyDescent="0.25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>
        <v>25</v>
      </c>
      <c r="J1817" s="3">
        <v>36684.68</v>
      </c>
      <c r="K1817" s="2">
        <v>11.83</v>
      </c>
      <c r="L1817" s="3">
        <v>808622.06</v>
      </c>
      <c r="M1817">
        <v>46147</v>
      </c>
      <c r="N1817" s="1" t="s">
        <v>58</v>
      </c>
      <c r="O1817" s="1" t="s">
        <v>35</v>
      </c>
      <c r="P1817" s="1" t="s">
        <v>36</v>
      </c>
    </row>
    <row r="1818" spans="1:16" x14ac:dyDescent="0.25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>
        <v>5</v>
      </c>
      <c r="J1818" s="3">
        <v>7304.49</v>
      </c>
      <c r="K1818" s="2">
        <v>3.25</v>
      </c>
      <c r="L1818" s="3">
        <v>35335.47</v>
      </c>
      <c r="M1818">
        <v>46332</v>
      </c>
      <c r="N1818" s="1" t="s">
        <v>58</v>
      </c>
      <c r="O1818" s="1" t="s">
        <v>59</v>
      </c>
      <c r="P1818" s="1" t="s">
        <v>26</v>
      </c>
    </row>
    <row r="1819" spans="1:16" x14ac:dyDescent="0.25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>
        <v>47</v>
      </c>
      <c r="J1819" s="3">
        <v>21008.37</v>
      </c>
      <c r="K1819" s="2">
        <v>6.49</v>
      </c>
      <c r="L1819" s="3">
        <v>923311.56</v>
      </c>
      <c r="M1819">
        <v>46227</v>
      </c>
      <c r="N1819" s="1" t="s">
        <v>45</v>
      </c>
      <c r="O1819" s="1" t="s">
        <v>35</v>
      </c>
      <c r="P1819" s="1" t="s">
        <v>53</v>
      </c>
    </row>
    <row r="1820" spans="1:16" x14ac:dyDescent="0.25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>
        <v>15</v>
      </c>
      <c r="J1820" s="3">
        <v>3602.7</v>
      </c>
      <c r="K1820" s="2">
        <v>3.37</v>
      </c>
      <c r="L1820" s="3">
        <v>52219.34</v>
      </c>
      <c r="M1820">
        <v>46207</v>
      </c>
      <c r="N1820" s="1" t="s">
        <v>58</v>
      </c>
      <c r="O1820" s="1" t="s">
        <v>35</v>
      </c>
      <c r="P1820" s="1" t="s">
        <v>36</v>
      </c>
    </row>
    <row r="1821" spans="1:16" x14ac:dyDescent="0.25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>
        <v>19</v>
      </c>
      <c r="J1821" s="3">
        <v>43335.96</v>
      </c>
      <c r="K1821" s="2">
        <v>16.16</v>
      </c>
      <c r="L1821" s="3">
        <v>690324.51</v>
      </c>
      <c r="M1821">
        <v>46345</v>
      </c>
      <c r="N1821" s="1" t="s">
        <v>113</v>
      </c>
      <c r="O1821" s="1" t="s">
        <v>35</v>
      </c>
      <c r="P1821" s="1" t="s">
        <v>36</v>
      </c>
    </row>
    <row r="1822" spans="1:16" x14ac:dyDescent="0.25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>
        <v>4</v>
      </c>
      <c r="J1822" s="3">
        <v>37790.21</v>
      </c>
      <c r="K1822" s="2">
        <v>5.98</v>
      </c>
      <c r="L1822" s="3">
        <v>142121.42000000001</v>
      </c>
      <c r="M1822">
        <v>46037</v>
      </c>
      <c r="N1822" s="1" t="s">
        <v>68</v>
      </c>
      <c r="O1822" s="1" t="s">
        <v>35</v>
      </c>
      <c r="P1822" s="1" t="s">
        <v>26</v>
      </c>
    </row>
    <row r="1823" spans="1:16" x14ac:dyDescent="0.25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>
        <v>34</v>
      </c>
      <c r="J1823" s="3">
        <v>7632.18</v>
      </c>
      <c r="K1823" s="2">
        <v>8.7899999999999991</v>
      </c>
      <c r="L1823" s="3">
        <v>236684.59</v>
      </c>
      <c r="M1823">
        <v>46192</v>
      </c>
      <c r="N1823" s="1" t="s">
        <v>68</v>
      </c>
      <c r="O1823" s="1" t="s">
        <v>59</v>
      </c>
      <c r="P1823" s="1" t="s">
        <v>53</v>
      </c>
    </row>
    <row r="1824" spans="1:16" x14ac:dyDescent="0.25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>
        <v>25</v>
      </c>
      <c r="J1824" s="3">
        <v>17025.84</v>
      </c>
      <c r="K1824" s="2">
        <v>13.4</v>
      </c>
      <c r="L1824" s="3">
        <v>368609.44</v>
      </c>
      <c r="M1824">
        <v>46349</v>
      </c>
      <c r="N1824" s="1" t="s">
        <v>58</v>
      </c>
      <c r="O1824" s="1" t="s">
        <v>35</v>
      </c>
      <c r="P1824" s="1" t="s">
        <v>26</v>
      </c>
    </row>
    <row r="1825" spans="1:16" x14ac:dyDescent="0.25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>
        <v>29</v>
      </c>
      <c r="J1825" s="3">
        <v>13466.61</v>
      </c>
      <c r="K1825" s="2">
        <v>13.54</v>
      </c>
      <c r="L1825" s="3">
        <v>337653.7</v>
      </c>
      <c r="M1825">
        <v>46129</v>
      </c>
      <c r="N1825" s="1" t="s">
        <v>58</v>
      </c>
      <c r="O1825" s="1" t="s">
        <v>35</v>
      </c>
      <c r="P1825" s="1" t="s">
        <v>36</v>
      </c>
    </row>
    <row r="1826" spans="1:16" x14ac:dyDescent="0.25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>
        <v>2</v>
      </c>
      <c r="J1826" s="3">
        <v>20976.92</v>
      </c>
      <c r="K1826" s="2">
        <v>1.3</v>
      </c>
      <c r="L1826" s="3">
        <v>41408.44</v>
      </c>
      <c r="M1826">
        <v>46246</v>
      </c>
      <c r="N1826" s="1" t="s">
        <v>58</v>
      </c>
      <c r="O1826" s="1" t="s">
        <v>35</v>
      </c>
      <c r="P1826" s="1" t="s">
        <v>26</v>
      </c>
    </row>
    <row r="1827" spans="1:16" x14ac:dyDescent="0.25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>
        <v>27</v>
      </c>
      <c r="J1827" s="3">
        <v>39008.68</v>
      </c>
      <c r="K1827" s="2">
        <v>10.64</v>
      </c>
      <c r="L1827" s="3">
        <v>941170.22</v>
      </c>
      <c r="M1827">
        <v>46065</v>
      </c>
      <c r="N1827" s="1" t="s">
        <v>45</v>
      </c>
      <c r="O1827" s="1" t="s">
        <v>35</v>
      </c>
      <c r="P1827" s="1" t="s">
        <v>26</v>
      </c>
    </row>
    <row r="1828" spans="1:16" x14ac:dyDescent="0.25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>
        <v>38</v>
      </c>
      <c r="J1828" s="3">
        <v>35869.53</v>
      </c>
      <c r="K1828" s="2">
        <v>4.79</v>
      </c>
      <c r="L1828" s="3">
        <v>1297752.42</v>
      </c>
      <c r="M1828">
        <v>46238</v>
      </c>
      <c r="N1828" s="1" t="s">
        <v>24</v>
      </c>
      <c r="O1828" s="1" t="s">
        <v>35</v>
      </c>
      <c r="P1828" s="1" t="s">
        <v>36</v>
      </c>
    </row>
    <row r="1829" spans="1:16" x14ac:dyDescent="0.25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>
        <v>44</v>
      </c>
      <c r="J1829" s="3">
        <v>15315.02</v>
      </c>
      <c r="K1829" s="2">
        <v>4.04</v>
      </c>
      <c r="L1829" s="3">
        <v>646636.9</v>
      </c>
      <c r="M1829">
        <v>46304</v>
      </c>
      <c r="N1829" s="1" t="s">
        <v>68</v>
      </c>
      <c r="O1829" s="1" t="s">
        <v>35</v>
      </c>
      <c r="P1829" s="1" t="s">
        <v>26</v>
      </c>
    </row>
    <row r="1830" spans="1:16" x14ac:dyDescent="0.25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>
        <v>17</v>
      </c>
      <c r="J1830" s="3">
        <v>32513.1</v>
      </c>
      <c r="K1830" s="2">
        <v>2.97</v>
      </c>
      <c r="L1830" s="3">
        <v>536306.84</v>
      </c>
      <c r="M1830">
        <v>46039</v>
      </c>
      <c r="N1830" s="1" t="s">
        <v>45</v>
      </c>
      <c r="O1830" s="1" t="s">
        <v>35</v>
      </c>
      <c r="P1830" s="1" t="s">
        <v>26</v>
      </c>
    </row>
    <row r="1831" spans="1:16" x14ac:dyDescent="0.25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>
        <v>45</v>
      </c>
      <c r="J1831" s="3">
        <v>18178.18</v>
      </c>
      <c r="K1831" s="2">
        <v>4.0199999999999996</v>
      </c>
      <c r="L1831" s="3">
        <v>785133.77</v>
      </c>
      <c r="M1831">
        <v>46278</v>
      </c>
      <c r="N1831" s="1" t="s">
        <v>68</v>
      </c>
      <c r="O1831" s="1" t="s">
        <v>59</v>
      </c>
      <c r="P1831" s="1" t="s">
        <v>53</v>
      </c>
    </row>
    <row r="1832" spans="1:16" x14ac:dyDescent="0.25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>
        <v>4</v>
      </c>
      <c r="J1832" s="3">
        <v>16970.84</v>
      </c>
      <c r="K1832" s="2">
        <v>5.67</v>
      </c>
      <c r="L1832" s="3">
        <v>64034.37</v>
      </c>
      <c r="M1832">
        <v>46309</v>
      </c>
      <c r="N1832" s="1" t="s">
        <v>58</v>
      </c>
      <c r="O1832" s="1" t="s">
        <v>35</v>
      </c>
      <c r="P1832" s="1" t="s">
        <v>53</v>
      </c>
    </row>
    <row r="1833" spans="1:16" x14ac:dyDescent="0.25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>
        <v>9</v>
      </c>
      <c r="J1833" s="3">
        <v>750.9</v>
      </c>
      <c r="K1833" s="2">
        <v>13.53</v>
      </c>
      <c r="L1833" s="3">
        <v>5843.73</v>
      </c>
      <c r="M1833">
        <v>46359</v>
      </c>
      <c r="N1833" s="1" t="s">
        <v>113</v>
      </c>
      <c r="O1833" s="1" t="s">
        <v>35</v>
      </c>
      <c r="P1833" s="1" t="s">
        <v>26</v>
      </c>
    </row>
    <row r="1834" spans="1:16" x14ac:dyDescent="0.25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>
        <v>31</v>
      </c>
      <c r="J1834" s="3">
        <v>7407.16</v>
      </c>
      <c r="K1834" s="2">
        <v>9.7200000000000006</v>
      </c>
      <c r="L1834" s="3">
        <v>207302.71</v>
      </c>
      <c r="M1834">
        <v>46369</v>
      </c>
      <c r="N1834" s="1" t="s">
        <v>24</v>
      </c>
      <c r="O1834" s="1" t="s">
        <v>35</v>
      </c>
      <c r="P1834" s="1" t="s">
        <v>26</v>
      </c>
    </row>
    <row r="1835" spans="1:16" x14ac:dyDescent="0.25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>
        <v>24</v>
      </c>
      <c r="J1835" s="3">
        <v>19796.3</v>
      </c>
      <c r="K1835" s="2">
        <v>15.67</v>
      </c>
      <c r="L1835" s="3">
        <v>400661.27</v>
      </c>
      <c r="M1835">
        <v>46359</v>
      </c>
      <c r="N1835" s="1" t="s">
        <v>58</v>
      </c>
      <c r="O1835" s="1" t="s">
        <v>35</v>
      </c>
      <c r="P1835" s="1" t="s">
        <v>36</v>
      </c>
    </row>
    <row r="1836" spans="1:16" x14ac:dyDescent="0.25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>
        <v>16</v>
      </c>
      <c r="J1836" s="3">
        <v>21092.49</v>
      </c>
      <c r="K1836" s="2">
        <v>1.01</v>
      </c>
      <c r="L1836" s="3">
        <v>334071.28999999998</v>
      </c>
      <c r="M1836">
        <v>46188</v>
      </c>
      <c r="N1836" s="1" t="s">
        <v>24</v>
      </c>
      <c r="O1836" s="1" t="s">
        <v>35</v>
      </c>
      <c r="P1836" s="1" t="s">
        <v>26</v>
      </c>
    </row>
    <row r="1837" spans="1:16" x14ac:dyDescent="0.25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>
        <v>22</v>
      </c>
      <c r="J1837" s="3">
        <v>11294.11</v>
      </c>
      <c r="K1837" s="2">
        <v>3.78</v>
      </c>
      <c r="L1837" s="3">
        <v>239078.24</v>
      </c>
      <c r="M1837">
        <v>46312</v>
      </c>
      <c r="N1837" s="1" t="s">
        <v>58</v>
      </c>
      <c r="O1837" s="1" t="s">
        <v>35</v>
      </c>
      <c r="P1837" s="1" t="s">
        <v>36</v>
      </c>
    </row>
    <row r="1838" spans="1:16" x14ac:dyDescent="0.25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>
        <v>17</v>
      </c>
      <c r="J1838" s="3">
        <v>41387.06</v>
      </c>
      <c r="K1838" s="2">
        <v>14.31</v>
      </c>
      <c r="L1838" s="3">
        <v>602897.72</v>
      </c>
      <c r="M1838">
        <v>46370</v>
      </c>
      <c r="N1838" s="1" t="s">
        <v>68</v>
      </c>
      <c r="O1838" s="1" t="s">
        <v>35</v>
      </c>
      <c r="P1838" s="1" t="s">
        <v>53</v>
      </c>
    </row>
    <row r="1839" spans="1:16" x14ac:dyDescent="0.25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>
        <v>44</v>
      </c>
      <c r="J1839" s="3">
        <v>14103.5</v>
      </c>
      <c r="K1839" s="2">
        <v>15.64</v>
      </c>
      <c r="L1839" s="3">
        <v>523499.35</v>
      </c>
      <c r="M1839">
        <v>46142</v>
      </c>
      <c r="N1839" s="1" t="s">
        <v>24</v>
      </c>
      <c r="O1839" s="1" t="s">
        <v>35</v>
      </c>
      <c r="P1839" s="1" t="s">
        <v>26</v>
      </c>
    </row>
    <row r="1840" spans="1:16" x14ac:dyDescent="0.25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>
        <v>25</v>
      </c>
      <c r="J1840" s="3">
        <v>10955.01</v>
      </c>
      <c r="K1840" s="2">
        <v>19.510000000000002</v>
      </c>
      <c r="L1840" s="3">
        <v>220442.19</v>
      </c>
      <c r="M1840">
        <v>46358</v>
      </c>
      <c r="N1840" s="1" t="s">
        <v>113</v>
      </c>
      <c r="O1840" s="1" t="s">
        <v>35</v>
      </c>
      <c r="P1840" s="1" t="s">
        <v>53</v>
      </c>
    </row>
    <row r="1841" spans="1:16" x14ac:dyDescent="0.25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>
        <v>37</v>
      </c>
      <c r="J1841" s="3">
        <v>28006.36</v>
      </c>
      <c r="K1841" s="2">
        <v>8.9600000000000009</v>
      </c>
      <c r="L1841" s="3">
        <v>943388.64</v>
      </c>
      <c r="M1841">
        <v>46034</v>
      </c>
      <c r="N1841" s="1" t="s">
        <v>58</v>
      </c>
      <c r="O1841" s="1" t="s">
        <v>35</v>
      </c>
      <c r="P1841" s="1" t="s">
        <v>36</v>
      </c>
    </row>
    <row r="1842" spans="1:16" x14ac:dyDescent="0.25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>
        <v>18</v>
      </c>
      <c r="J1842" s="3">
        <v>26155.119999999999</v>
      </c>
      <c r="K1842" s="2">
        <v>5.69</v>
      </c>
      <c r="L1842" s="3">
        <v>444004.09</v>
      </c>
      <c r="M1842">
        <v>46376</v>
      </c>
      <c r="N1842" s="1" t="s">
        <v>58</v>
      </c>
      <c r="O1842" s="1" t="s">
        <v>35</v>
      </c>
      <c r="P1842" s="1" t="s">
        <v>36</v>
      </c>
    </row>
    <row r="1843" spans="1:16" x14ac:dyDescent="0.25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>
        <v>11</v>
      </c>
      <c r="J1843" s="3">
        <v>7959.47</v>
      </c>
      <c r="K1843" s="2">
        <v>15.46</v>
      </c>
      <c r="L1843" s="3">
        <v>74018.3</v>
      </c>
      <c r="M1843">
        <v>46044</v>
      </c>
      <c r="N1843" s="1" t="s">
        <v>68</v>
      </c>
      <c r="O1843" s="1" t="s">
        <v>35</v>
      </c>
      <c r="P1843" s="1" t="s">
        <v>26</v>
      </c>
    </row>
    <row r="1844" spans="1:16" x14ac:dyDescent="0.25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>
        <v>19</v>
      </c>
      <c r="J1844" s="3">
        <v>7292.21</v>
      </c>
      <c r="K1844" s="2">
        <v>0.32</v>
      </c>
      <c r="L1844" s="3">
        <v>138108.62</v>
      </c>
      <c r="M1844">
        <v>46090</v>
      </c>
      <c r="N1844" s="1" t="s">
        <v>24</v>
      </c>
      <c r="O1844" s="1" t="s">
        <v>59</v>
      </c>
      <c r="P1844" s="1" t="s">
        <v>53</v>
      </c>
    </row>
    <row r="1845" spans="1:16" x14ac:dyDescent="0.25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>
        <v>7</v>
      </c>
      <c r="J1845" s="3">
        <v>9119.91</v>
      </c>
      <c r="K1845" s="2">
        <v>6.4</v>
      </c>
      <c r="L1845" s="3">
        <v>59753.65</v>
      </c>
      <c r="M1845">
        <v>46326</v>
      </c>
      <c r="N1845" s="1" t="s">
        <v>45</v>
      </c>
      <c r="O1845" s="1" t="s">
        <v>35</v>
      </c>
      <c r="P1845" s="1" t="s">
        <v>53</v>
      </c>
    </row>
    <row r="1846" spans="1:16" x14ac:dyDescent="0.25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>
        <v>18</v>
      </c>
      <c r="J1846" s="3">
        <v>26868.54</v>
      </c>
      <c r="K1846" s="2">
        <v>11.56</v>
      </c>
      <c r="L1846" s="3">
        <v>427725.66</v>
      </c>
      <c r="M1846">
        <v>46226</v>
      </c>
      <c r="N1846" s="1" t="s">
        <v>58</v>
      </c>
      <c r="O1846" s="1" t="s">
        <v>35</v>
      </c>
      <c r="P1846" s="1" t="s">
        <v>53</v>
      </c>
    </row>
    <row r="1847" spans="1:16" x14ac:dyDescent="0.25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>
        <v>37</v>
      </c>
      <c r="J1847" s="3">
        <v>40790.22</v>
      </c>
      <c r="K1847" s="2">
        <v>16.07</v>
      </c>
      <c r="L1847" s="3">
        <v>1266703.57</v>
      </c>
      <c r="M1847">
        <v>46344</v>
      </c>
      <c r="N1847" s="1" t="s">
        <v>113</v>
      </c>
      <c r="O1847" s="1" t="s">
        <v>35</v>
      </c>
      <c r="P1847" s="1" t="s">
        <v>53</v>
      </c>
    </row>
    <row r="1848" spans="1:16" x14ac:dyDescent="0.25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>
        <v>42</v>
      </c>
      <c r="J1848" s="3">
        <v>11430.93</v>
      </c>
      <c r="K1848" s="2">
        <v>10.57</v>
      </c>
      <c r="L1848" s="3">
        <v>429352.59</v>
      </c>
      <c r="M1848">
        <v>46171</v>
      </c>
      <c r="N1848" s="1" t="s">
        <v>68</v>
      </c>
      <c r="O1848" s="1" t="s">
        <v>35</v>
      </c>
      <c r="P1848" s="1" t="s">
        <v>36</v>
      </c>
    </row>
    <row r="1849" spans="1:16" x14ac:dyDescent="0.25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>
        <v>6</v>
      </c>
      <c r="J1849" s="3">
        <v>3243.62</v>
      </c>
      <c r="K1849" s="2">
        <v>15.89</v>
      </c>
      <c r="L1849" s="3">
        <v>16369.25</v>
      </c>
      <c r="M1849">
        <v>46147</v>
      </c>
      <c r="N1849" s="1" t="s">
        <v>58</v>
      </c>
      <c r="O1849" s="1" t="s">
        <v>35</v>
      </c>
      <c r="P1849" s="1" t="s">
        <v>36</v>
      </c>
    </row>
    <row r="1850" spans="1:16" x14ac:dyDescent="0.25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>
        <v>25</v>
      </c>
      <c r="J1850" s="3">
        <v>23199.47</v>
      </c>
      <c r="K1850" s="2">
        <v>0.75</v>
      </c>
      <c r="L1850" s="3">
        <v>575636.85</v>
      </c>
      <c r="M1850">
        <v>46344</v>
      </c>
      <c r="N1850" s="1" t="s">
        <v>68</v>
      </c>
      <c r="O1850" s="1" t="s">
        <v>35</v>
      </c>
      <c r="P1850" s="1" t="s">
        <v>36</v>
      </c>
    </row>
    <row r="1851" spans="1:16" x14ac:dyDescent="0.25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>
        <v>46</v>
      </c>
      <c r="J1851" s="3">
        <v>15421.65</v>
      </c>
      <c r="K1851" s="2">
        <v>5.93</v>
      </c>
      <c r="L1851" s="3">
        <v>667328.72</v>
      </c>
      <c r="M1851">
        <v>46157</v>
      </c>
      <c r="N1851" s="1" t="s">
        <v>24</v>
      </c>
      <c r="O1851" s="1" t="s">
        <v>35</v>
      </c>
      <c r="P1851" s="1" t="s">
        <v>36</v>
      </c>
    </row>
    <row r="1852" spans="1:16" x14ac:dyDescent="0.25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>
        <v>47</v>
      </c>
      <c r="J1852" s="3">
        <v>38878.36</v>
      </c>
      <c r="K1852" s="2">
        <v>11.45</v>
      </c>
      <c r="L1852" s="3">
        <v>1618059.03</v>
      </c>
      <c r="M1852">
        <v>46281</v>
      </c>
      <c r="N1852" s="1" t="s">
        <v>45</v>
      </c>
      <c r="O1852" s="1" t="s">
        <v>35</v>
      </c>
      <c r="P1852" s="1" t="s">
        <v>36</v>
      </c>
    </row>
    <row r="1853" spans="1:16" x14ac:dyDescent="0.25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>
        <v>18</v>
      </c>
      <c r="J1853" s="3">
        <v>30484.82</v>
      </c>
      <c r="K1853" s="2">
        <v>1.34</v>
      </c>
      <c r="L1853" s="3">
        <v>541373.81999999995</v>
      </c>
      <c r="M1853">
        <v>46291</v>
      </c>
      <c r="N1853" s="1" t="s">
        <v>58</v>
      </c>
      <c r="O1853" s="1" t="s">
        <v>35</v>
      </c>
      <c r="P1853" s="1" t="s">
        <v>53</v>
      </c>
    </row>
    <row r="1854" spans="1:16" x14ac:dyDescent="0.25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>
        <v>42</v>
      </c>
      <c r="J1854" s="3">
        <v>5962.15</v>
      </c>
      <c r="K1854" s="2">
        <v>12.57</v>
      </c>
      <c r="L1854" s="3">
        <v>218933.73</v>
      </c>
      <c r="M1854">
        <v>46299</v>
      </c>
      <c r="N1854" s="1" t="s">
        <v>58</v>
      </c>
      <c r="O1854" s="1" t="s">
        <v>35</v>
      </c>
      <c r="P1854" s="1" t="s">
        <v>36</v>
      </c>
    </row>
    <row r="1855" spans="1:16" x14ac:dyDescent="0.25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>
        <v>31</v>
      </c>
      <c r="J1855" s="3">
        <v>13279.19</v>
      </c>
      <c r="K1855" s="2">
        <v>18.440000000000001</v>
      </c>
      <c r="L1855" s="3">
        <v>335745.73</v>
      </c>
      <c r="M1855">
        <v>46163</v>
      </c>
      <c r="N1855" s="1" t="s">
        <v>45</v>
      </c>
      <c r="O1855" s="1" t="s">
        <v>35</v>
      </c>
      <c r="P1855" s="1" t="s">
        <v>36</v>
      </c>
    </row>
    <row r="1856" spans="1:16" x14ac:dyDescent="0.25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>
        <v>43</v>
      </c>
      <c r="J1856" s="3">
        <v>37904.769999999997</v>
      </c>
      <c r="K1856" s="2">
        <v>19.39</v>
      </c>
      <c r="L1856" s="3">
        <v>1313866.51</v>
      </c>
      <c r="M1856">
        <v>46181</v>
      </c>
      <c r="N1856" s="1" t="s">
        <v>45</v>
      </c>
      <c r="O1856" s="1" t="s">
        <v>59</v>
      </c>
      <c r="P1856" s="1" t="s">
        <v>36</v>
      </c>
    </row>
    <row r="1857" spans="1:16" x14ac:dyDescent="0.25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>
        <v>15</v>
      </c>
      <c r="J1857" s="3">
        <v>22118.76</v>
      </c>
      <c r="K1857" s="2">
        <v>4.12</v>
      </c>
      <c r="L1857" s="3">
        <v>318112.01</v>
      </c>
      <c r="M1857">
        <v>46349</v>
      </c>
      <c r="N1857" s="1" t="s">
        <v>113</v>
      </c>
      <c r="O1857" s="1" t="s">
        <v>35</v>
      </c>
      <c r="P1857" s="1" t="s">
        <v>26</v>
      </c>
    </row>
    <row r="1858" spans="1:16" x14ac:dyDescent="0.25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>
        <v>8</v>
      </c>
      <c r="J1858" s="3">
        <v>25192.28</v>
      </c>
      <c r="K1858" s="2">
        <v>9.85</v>
      </c>
      <c r="L1858" s="3">
        <v>181686.72</v>
      </c>
      <c r="M1858">
        <v>46023</v>
      </c>
      <c r="N1858" s="1" t="s">
        <v>113</v>
      </c>
      <c r="O1858" s="1" t="s">
        <v>35</v>
      </c>
      <c r="P1858" s="1" t="s">
        <v>53</v>
      </c>
    </row>
    <row r="1859" spans="1:16" x14ac:dyDescent="0.25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>
        <v>6</v>
      </c>
      <c r="J1859" s="3">
        <v>15003.71</v>
      </c>
      <c r="K1859" s="2">
        <v>5.99</v>
      </c>
      <c r="L1859" s="3">
        <v>84629.93</v>
      </c>
      <c r="M1859">
        <v>46211</v>
      </c>
      <c r="N1859" s="1" t="s">
        <v>68</v>
      </c>
      <c r="O1859" s="1" t="s">
        <v>35</v>
      </c>
      <c r="P1859" s="1" t="s">
        <v>36</v>
      </c>
    </row>
    <row r="1860" spans="1:16" x14ac:dyDescent="0.25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>
        <v>3</v>
      </c>
      <c r="J1860" s="3">
        <v>6045.32</v>
      </c>
      <c r="K1860" s="2">
        <v>20</v>
      </c>
      <c r="L1860" s="3">
        <v>14508.77</v>
      </c>
      <c r="M1860">
        <v>46307</v>
      </c>
      <c r="N1860" s="1" t="s">
        <v>45</v>
      </c>
      <c r="O1860" s="1" t="s">
        <v>35</v>
      </c>
      <c r="P1860" s="1" t="s">
        <v>26</v>
      </c>
    </row>
    <row r="1861" spans="1:16" x14ac:dyDescent="0.25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>
        <v>37</v>
      </c>
      <c r="J1861" s="3">
        <v>14399.8</v>
      </c>
      <c r="K1861" s="2">
        <v>2.4</v>
      </c>
      <c r="L1861" s="3">
        <v>520005.58</v>
      </c>
      <c r="M1861">
        <v>46061</v>
      </c>
      <c r="N1861" s="1" t="s">
        <v>68</v>
      </c>
      <c r="O1861" s="1" t="s">
        <v>25</v>
      </c>
      <c r="P1861" s="1" t="s">
        <v>36</v>
      </c>
    </row>
    <row r="1862" spans="1:16" x14ac:dyDescent="0.25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>
        <v>26</v>
      </c>
      <c r="J1862" s="3">
        <v>12324.12</v>
      </c>
      <c r="K1862" s="2">
        <v>19.63</v>
      </c>
      <c r="L1862" s="3">
        <v>257527.28</v>
      </c>
      <c r="M1862">
        <v>46080</v>
      </c>
      <c r="N1862" s="1" t="s">
        <v>24</v>
      </c>
      <c r="O1862" s="1" t="s">
        <v>35</v>
      </c>
      <c r="P1862" s="1" t="s">
        <v>36</v>
      </c>
    </row>
    <row r="1863" spans="1:16" x14ac:dyDescent="0.25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>
        <v>32</v>
      </c>
      <c r="J1863" s="3">
        <v>34476.370000000003</v>
      </c>
      <c r="K1863" s="2">
        <v>9.1199999999999992</v>
      </c>
      <c r="L1863" s="3">
        <v>1002628</v>
      </c>
      <c r="M1863">
        <v>46179</v>
      </c>
      <c r="N1863" s="1" t="s">
        <v>68</v>
      </c>
      <c r="O1863" s="1" t="s">
        <v>35</v>
      </c>
      <c r="P1863" s="1" t="s">
        <v>26</v>
      </c>
    </row>
    <row r="1864" spans="1:16" x14ac:dyDescent="0.25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>
        <v>17</v>
      </c>
      <c r="J1864" s="3">
        <v>6988.91</v>
      </c>
      <c r="K1864" s="2">
        <v>8.19</v>
      </c>
      <c r="L1864" s="3">
        <v>109080.81</v>
      </c>
      <c r="M1864">
        <v>46104</v>
      </c>
      <c r="N1864" s="1" t="s">
        <v>68</v>
      </c>
      <c r="O1864" s="1" t="s">
        <v>35</v>
      </c>
      <c r="P1864" s="1" t="s">
        <v>26</v>
      </c>
    </row>
    <row r="1865" spans="1:16" x14ac:dyDescent="0.25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>
        <v>2</v>
      </c>
      <c r="J1865" s="3">
        <v>30497.74</v>
      </c>
      <c r="K1865" s="2">
        <v>8.81</v>
      </c>
      <c r="L1865" s="3">
        <v>55621.78</v>
      </c>
      <c r="M1865">
        <v>46224</v>
      </c>
      <c r="N1865" s="1" t="s">
        <v>113</v>
      </c>
      <c r="O1865" s="1" t="s">
        <v>59</v>
      </c>
      <c r="P1865" s="1" t="s">
        <v>36</v>
      </c>
    </row>
    <row r="1866" spans="1:16" x14ac:dyDescent="0.25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>
        <v>46</v>
      </c>
      <c r="J1866" s="3">
        <v>26424.02</v>
      </c>
      <c r="K1866" s="2">
        <v>8.09</v>
      </c>
      <c r="L1866" s="3">
        <v>1117170.57</v>
      </c>
      <c r="M1866">
        <v>46162</v>
      </c>
      <c r="N1866" s="1" t="s">
        <v>24</v>
      </c>
      <c r="O1866" s="1" t="s">
        <v>35</v>
      </c>
      <c r="P1866" s="1" t="s">
        <v>53</v>
      </c>
    </row>
    <row r="1867" spans="1:16" x14ac:dyDescent="0.25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>
        <v>6</v>
      </c>
      <c r="J1867" s="3">
        <v>48283.82</v>
      </c>
      <c r="K1867" s="2">
        <v>13.73</v>
      </c>
      <c r="L1867" s="3">
        <v>249926.71</v>
      </c>
      <c r="M1867">
        <v>46280</v>
      </c>
      <c r="N1867" s="1" t="s">
        <v>58</v>
      </c>
      <c r="O1867" s="1" t="s">
        <v>35</v>
      </c>
      <c r="P1867" s="1" t="s">
        <v>53</v>
      </c>
    </row>
    <row r="1868" spans="1:16" x14ac:dyDescent="0.25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>
        <v>38</v>
      </c>
      <c r="J1868" s="3">
        <v>16668.93</v>
      </c>
      <c r="K1868" s="2">
        <v>16.93</v>
      </c>
      <c r="L1868" s="3">
        <v>526181.44999999995</v>
      </c>
      <c r="M1868">
        <v>46090</v>
      </c>
      <c r="N1868" s="1" t="s">
        <v>68</v>
      </c>
      <c r="O1868" s="1" t="s">
        <v>35</v>
      </c>
      <c r="P1868" s="1" t="s">
        <v>53</v>
      </c>
    </row>
    <row r="1869" spans="1:16" x14ac:dyDescent="0.25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>
        <v>13</v>
      </c>
      <c r="J1869" s="3">
        <v>3806.45</v>
      </c>
      <c r="K1869" s="2">
        <v>1.1100000000000001</v>
      </c>
      <c r="L1869" s="3">
        <v>48934.58</v>
      </c>
      <c r="M1869">
        <v>46255</v>
      </c>
      <c r="N1869" s="1" t="s">
        <v>58</v>
      </c>
      <c r="O1869" s="1" t="s">
        <v>59</v>
      </c>
      <c r="P1869" s="1" t="s">
        <v>36</v>
      </c>
    </row>
    <row r="1870" spans="1:16" x14ac:dyDescent="0.25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>
        <v>42</v>
      </c>
      <c r="J1870" s="3">
        <v>24463.919999999998</v>
      </c>
      <c r="K1870" s="2">
        <v>14.07</v>
      </c>
      <c r="L1870" s="3">
        <v>882917.55</v>
      </c>
      <c r="M1870">
        <v>46261</v>
      </c>
      <c r="N1870" s="1" t="s">
        <v>24</v>
      </c>
      <c r="O1870" s="1" t="s">
        <v>35</v>
      </c>
      <c r="P1870" s="1" t="s">
        <v>36</v>
      </c>
    </row>
    <row r="1871" spans="1:16" x14ac:dyDescent="0.25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>
        <v>7</v>
      </c>
      <c r="J1871" s="3">
        <v>21352.27</v>
      </c>
      <c r="K1871" s="2">
        <v>8.1300000000000008</v>
      </c>
      <c r="L1871" s="3">
        <v>137314.31</v>
      </c>
      <c r="M1871">
        <v>46129</v>
      </c>
      <c r="N1871" s="1" t="s">
        <v>45</v>
      </c>
      <c r="O1871" s="1" t="s">
        <v>25</v>
      </c>
      <c r="P1871" s="1" t="s">
        <v>36</v>
      </c>
    </row>
    <row r="1872" spans="1:16" x14ac:dyDescent="0.25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>
        <v>8</v>
      </c>
      <c r="J1872" s="3">
        <v>38198.26</v>
      </c>
      <c r="K1872" s="2">
        <v>16.91</v>
      </c>
      <c r="L1872" s="3">
        <v>253911.47</v>
      </c>
      <c r="M1872">
        <v>46338</v>
      </c>
      <c r="N1872" s="1" t="s">
        <v>68</v>
      </c>
      <c r="O1872" s="1" t="s">
        <v>35</v>
      </c>
      <c r="P1872" s="1" t="s">
        <v>53</v>
      </c>
    </row>
    <row r="1873" spans="1:16" x14ac:dyDescent="0.25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>
        <v>28</v>
      </c>
      <c r="J1873" s="3">
        <v>45349.47</v>
      </c>
      <c r="K1873" s="2">
        <v>1.56</v>
      </c>
      <c r="L1873" s="3">
        <v>1249976.51</v>
      </c>
      <c r="M1873">
        <v>46374</v>
      </c>
      <c r="N1873" s="1" t="s">
        <v>68</v>
      </c>
      <c r="O1873" s="1" t="s">
        <v>35</v>
      </c>
      <c r="P1873" s="1" t="s">
        <v>26</v>
      </c>
    </row>
    <row r="1874" spans="1:16" x14ac:dyDescent="0.25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>
        <v>1</v>
      </c>
      <c r="J1874" s="3">
        <v>49943.46</v>
      </c>
      <c r="K1874" s="2">
        <v>4.03</v>
      </c>
      <c r="L1874" s="3">
        <v>47930.74</v>
      </c>
      <c r="M1874">
        <v>46332</v>
      </c>
      <c r="N1874" s="1" t="s">
        <v>68</v>
      </c>
      <c r="O1874" s="1" t="s">
        <v>35</v>
      </c>
      <c r="P1874" s="1" t="s">
        <v>53</v>
      </c>
    </row>
    <row r="1875" spans="1:16" x14ac:dyDescent="0.25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>
        <v>47</v>
      </c>
      <c r="J1875" s="3">
        <v>42228.57</v>
      </c>
      <c r="K1875" s="2">
        <v>6.71</v>
      </c>
      <c r="L1875" s="3">
        <v>1851566.55</v>
      </c>
      <c r="M1875">
        <v>46259</v>
      </c>
      <c r="N1875" s="1" t="s">
        <v>45</v>
      </c>
      <c r="O1875" s="1" t="s">
        <v>35</v>
      </c>
      <c r="P1875" s="1" t="s">
        <v>53</v>
      </c>
    </row>
    <row r="1876" spans="1:16" x14ac:dyDescent="0.25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>
        <v>41</v>
      </c>
      <c r="J1876" s="3">
        <v>24587.99</v>
      </c>
      <c r="K1876" s="2">
        <v>4.47</v>
      </c>
      <c r="L1876" s="3">
        <v>963045.18</v>
      </c>
      <c r="M1876">
        <v>46261</v>
      </c>
      <c r="N1876" s="1" t="s">
        <v>113</v>
      </c>
      <c r="O1876" s="1" t="s">
        <v>35</v>
      </c>
      <c r="P1876" s="1" t="s">
        <v>36</v>
      </c>
    </row>
    <row r="1877" spans="1:16" x14ac:dyDescent="0.25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>
        <v>44</v>
      </c>
      <c r="J1877" s="3">
        <v>14265.61</v>
      </c>
      <c r="K1877" s="2">
        <v>2.5099999999999998</v>
      </c>
      <c r="L1877" s="3">
        <v>611931.9</v>
      </c>
      <c r="M1877">
        <v>46294</v>
      </c>
      <c r="N1877" s="1" t="s">
        <v>24</v>
      </c>
      <c r="O1877" s="1" t="s">
        <v>35</v>
      </c>
      <c r="P1877" s="1" t="s">
        <v>53</v>
      </c>
    </row>
    <row r="1878" spans="1:16" x14ac:dyDescent="0.25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>
        <v>43</v>
      </c>
      <c r="J1878" s="3">
        <v>49726.38</v>
      </c>
      <c r="K1878" s="2">
        <v>19.21</v>
      </c>
      <c r="L1878" s="3">
        <v>1727479.52</v>
      </c>
      <c r="M1878">
        <v>46329</v>
      </c>
      <c r="N1878" s="1" t="s">
        <v>113</v>
      </c>
      <c r="O1878" s="1" t="s">
        <v>35</v>
      </c>
      <c r="P1878" s="1" t="s">
        <v>26</v>
      </c>
    </row>
    <row r="1879" spans="1:16" x14ac:dyDescent="0.25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>
        <v>32</v>
      </c>
      <c r="J1879" s="3">
        <v>28963.88</v>
      </c>
      <c r="K1879" s="2">
        <v>4.1900000000000004</v>
      </c>
      <c r="L1879" s="3">
        <v>888009.39</v>
      </c>
      <c r="M1879">
        <v>46088</v>
      </c>
      <c r="N1879" s="1" t="s">
        <v>45</v>
      </c>
      <c r="O1879" s="1" t="s">
        <v>25</v>
      </c>
      <c r="P1879" s="1" t="s">
        <v>26</v>
      </c>
    </row>
    <row r="1880" spans="1:16" x14ac:dyDescent="0.25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>
        <v>6</v>
      </c>
      <c r="J1880" s="3">
        <v>49835.17</v>
      </c>
      <c r="K1880" s="2">
        <v>13.71</v>
      </c>
      <c r="L1880" s="3">
        <v>258016.61</v>
      </c>
      <c r="M1880">
        <v>46348</v>
      </c>
      <c r="N1880" s="1" t="s">
        <v>45</v>
      </c>
      <c r="O1880" s="1" t="s">
        <v>25</v>
      </c>
      <c r="P1880" s="1" t="s">
        <v>53</v>
      </c>
    </row>
    <row r="1881" spans="1:16" x14ac:dyDescent="0.25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>
        <v>26</v>
      </c>
      <c r="J1881" s="3">
        <v>3204.99</v>
      </c>
      <c r="K1881" s="2">
        <v>15.2</v>
      </c>
      <c r="L1881" s="3">
        <v>70663.62</v>
      </c>
      <c r="M1881">
        <v>46108</v>
      </c>
      <c r="N1881" s="1" t="s">
        <v>68</v>
      </c>
      <c r="O1881" s="1" t="s">
        <v>35</v>
      </c>
      <c r="P1881" s="1" t="s">
        <v>36</v>
      </c>
    </row>
    <row r="1882" spans="1:16" x14ac:dyDescent="0.25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>
        <v>7</v>
      </c>
      <c r="J1882" s="3">
        <v>28963.85</v>
      </c>
      <c r="K1882" s="2">
        <v>8.11</v>
      </c>
      <c r="L1882" s="3">
        <v>186304.17</v>
      </c>
      <c r="M1882">
        <v>46218</v>
      </c>
      <c r="N1882" s="1" t="s">
        <v>68</v>
      </c>
      <c r="O1882" s="1" t="s">
        <v>35</v>
      </c>
      <c r="P1882" s="1" t="s">
        <v>36</v>
      </c>
    </row>
    <row r="1883" spans="1:16" x14ac:dyDescent="0.25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>
        <v>15</v>
      </c>
      <c r="J1883" s="3">
        <v>43992.95</v>
      </c>
      <c r="K1883" s="2">
        <v>2.57</v>
      </c>
      <c r="L1883" s="3">
        <v>642934.97</v>
      </c>
      <c r="M1883">
        <v>46280</v>
      </c>
      <c r="N1883" s="1" t="s">
        <v>58</v>
      </c>
      <c r="O1883" s="1" t="s">
        <v>59</v>
      </c>
      <c r="P1883" s="1" t="s">
        <v>36</v>
      </c>
    </row>
    <row r="1884" spans="1:16" x14ac:dyDescent="0.25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>
        <v>41</v>
      </c>
      <c r="J1884" s="3">
        <v>10703.91</v>
      </c>
      <c r="K1884" s="2">
        <v>4.08</v>
      </c>
      <c r="L1884" s="3">
        <v>420954.81</v>
      </c>
      <c r="M1884">
        <v>46213</v>
      </c>
      <c r="N1884" s="1" t="s">
        <v>113</v>
      </c>
      <c r="O1884" s="1" t="s">
        <v>35</v>
      </c>
      <c r="P1884" s="1" t="s">
        <v>53</v>
      </c>
    </row>
    <row r="1885" spans="1:16" x14ac:dyDescent="0.25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>
        <v>27</v>
      </c>
      <c r="J1885" s="3">
        <v>33001.660000000003</v>
      </c>
      <c r="K1885" s="2">
        <v>13.75</v>
      </c>
      <c r="L1885" s="3">
        <v>768526.16</v>
      </c>
      <c r="M1885">
        <v>46071</v>
      </c>
      <c r="N1885" s="1" t="s">
        <v>58</v>
      </c>
      <c r="O1885" s="1" t="s">
        <v>35</v>
      </c>
      <c r="P1885" s="1" t="s">
        <v>26</v>
      </c>
    </row>
    <row r="1886" spans="1:16" x14ac:dyDescent="0.25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>
        <v>19</v>
      </c>
      <c r="J1886" s="3">
        <v>30659.79</v>
      </c>
      <c r="K1886" s="2">
        <v>19.09</v>
      </c>
      <c r="L1886" s="3">
        <v>471329.89</v>
      </c>
      <c r="M1886">
        <v>46322</v>
      </c>
      <c r="N1886" s="1" t="s">
        <v>68</v>
      </c>
      <c r="O1886" s="1" t="s">
        <v>35</v>
      </c>
      <c r="P1886" s="1" t="s">
        <v>36</v>
      </c>
    </row>
    <row r="1887" spans="1:16" x14ac:dyDescent="0.25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>
        <v>48</v>
      </c>
      <c r="J1887" s="3">
        <v>16455.919999999998</v>
      </c>
      <c r="K1887" s="2">
        <v>5.82</v>
      </c>
      <c r="L1887" s="3">
        <v>743912.9</v>
      </c>
      <c r="M1887">
        <v>46376</v>
      </c>
      <c r="N1887" s="1" t="s">
        <v>113</v>
      </c>
      <c r="O1887" s="1" t="s">
        <v>35</v>
      </c>
      <c r="P1887" s="1" t="s">
        <v>26</v>
      </c>
    </row>
    <row r="1888" spans="1:16" x14ac:dyDescent="0.25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>
        <v>47</v>
      </c>
      <c r="J1888" s="3">
        <v>26744.560000000001</v>
      </c>
      <c r="K1888" s="2">
        <v>1.06</v>
      </c>
      <c r="L1888" s="3">
        <v>1243670.18</v>
      </c>
      <c r="M1888">
        <v>46215</v>
      </c>
      <c r="N1888" s="1" t="s">
        <v>58</v>
      </c>
      <c r="O1888" s="1" t="s">
        <v>35</v>
      </c>
      <c r="P1888" s="1" t="s">
        <v>26</v>
      </c>
    </row>
    <row r="1889" spans="1:16" x14ac:dyDescent="0.25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>
        <v>35</v>
      </c>
      <c r="J1889" s="3">
        <v>22233.68</v>
      </c>
      <c r="K1889" s="2">
        <v>4.21</v>
      </c>
      <c r="L1889" s="3">
        <v>745417.47</v>
      </c>
      <c r="M1889">
        <v>46277</v>
      </c>
      <c r="N1889" s="1" t="s">
        <v>45</v>
      </c>
      <c r="O1889" s="1" t="s">
        <v>35</v>
      </c>
      <c r="P1889" s="1" t="s">
        <v>36</v>
      </c>
    </row>
    <row r="1890" spans="1:16" x14ac:dyDescent="0.25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>
        <v>39</v>
      </c>
      <c r="J1890" s="3">
        <v>1745.31</v>
      </c>
      <c r="K1890" s="2">
        <v>17.22</v>
      </c>
      <c r="L1890" s="3">
        <v>56345.94</v>
      </c>
      <c r="M1890">
        <v>46349</v>
      </c>
      <c r="N1890" s="1" t="s">
        <v>24</v>
      </c>
      <c r="O1890" s="1" t="s">
        <v>35</v>
      </c>
      <c r="P1890" s="1" t="s">
        <v>26</v>
      </c>
    </row>
    <row r="1891" spans="1:16" x14ac:dyDescent="0.25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>
        <v>1</v>
      </c>
      <c r="J1891" s="3">
        <v>40948</v>
      </c>
      <c r="K1891" s="2">
        <v>13.24</v>
      </c>
      <c r="L1891" s="3">
        <v>35526.480000000003</v>
      </c>
      <c r="M1891">
        <v>46095</v>
      </c>
      <c r="N1891" s="1" t="s">
        <v>113</v>
      </c>
      <c r="O1891" s="1" t="s">
        <v>35</v>
      </c>
      <c r="P1891" s="1" t="s">
        <v>53</v>
      </c>
    </row>
    <row r="1892" spans="1:16" x14ac:dyDescent="0.25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>
        <v>8</v>
      </c>
      <c r="J1892" s="3">
        <v>17265.509999999998</v>
      </c>
      <c r="K1892" s="2">
        <v>0.88</v>
      </c>
      <c r="L1892" s="3">
        <v>136908.59</v>
      </c>
      <c r="M1892">
        <v>46237</v>
      </c>
      <c r="N1892" s="1" t="s">
        <v>68</v>
      </c>
      <c r="O1892" s="1" t="s">
        <v>35</v>
      </c>
      <c r="P1892" s="1" t="s">
        <v>26</v>
      </c>
    </row>
    <row r="1893" spans="1:16" x14ac:dyDescent="0.25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>
        <v>31</v>
      </c>
      <c r="J1893" s="3">
        <v>29127.45</v>
      </c>
      <c r="K1893" s="2">
        <v>17.57</v>
      </c>
      <c r="L1893" s="3">
        <v>744302.47</v>
      </c>
      <c r="M1893">
        <v>46027</v>
      </c>
      <c r="N1893" s="1" t="s">
        <v>58</v>
      </c>
      <c r="O1893" s="1" t="s">
        <v>35</v>
      </c>
      <c r="P1893" s="1" t="s">
        <v>26</v>
      </c>
    </row>
    <row r="1894" spans="1:16" x14ac:dyDescent="0.25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>
        <v>34</v>
      </c>
      <c r="J1894" s="3">
        <v>10804.64</v>
      </c>
      <c r="K1894" s="2">
        <v>1.1299999999999999</v>
      </c>
      <c r="L1894" s="3">
        <v>363206.62</v>
      </c>
      <c r="M1894">
        <v>46146</v>
      </c>
      <c r="N1894" s="1" t="s">
        <v>58</v>
      </c>
      <c r="O1894" s="1" t="s">
        <v>35</v>
      </c>
      <c r="P1894" s="1" t="s">
        <v>26</v>
      </c>
    </row>
    <row r="1895" spans="1:16" x14ac:dyDescent="0.25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>
        <v>13</v>
      </c>
      <c r="J1895" s="3">
        <v>2939.66</v>
      </c>
      <c r="K1895" s="2">
        <v>17.559999999999999</v>
      </c>
      <c r="L1895" s="3">
        <v>31504.92</v>
      </c>
      <c r="M1895">
        <v>46275</v>
      </c>
      <c r="N1895" s="1" t="s">
        <v>58</v>
      </c>
      <c r="O1895" s="1" t="s">
        <v>35</v>
      </c>
      <c r="P1895" s="1" t="s">
        <v>36</v>
      </c>
    </row>
    <row r="1896" spans="1:16" x14ac:dyDescent="0.25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>
        <v>14</v>
      </c>
      <c r="J1896" s="3">
        <v>48711.12</v>
      </c>
      <c r="K1896" s="2">
        <v>4.38</v>
      </c>
      <c r="L1896" s="3">
        <v>652086.02</v>
      </c>
      <c r="M1896">
        <v>46103</v>
      </c>
      <c r="N1896" s="1" t="s">
        <v>113</v>
      </c>
      <c r="O1896" s="1" t="s">
        <v>35</v>
      </c>
      <c r="P1896" s="1" t="s">
        <v>26</v>
      </c>
    </row>
    <row r="1897" spans="1:16" x14ac:dyDescent="0.25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>
        <v>41</v>
      </c>
      <c r="J1897" s="3">
        <v>7658.88</v>
      </c>
      <c r="K1897" s="2">
        <v>19.45</v>
      </c>
      <c r="L1897" s="3">
        <v>252938.34</v>
      </c>
      <c r="M1897">
        <v>46385</v>
      </c>
      <c r="N1897" s="1" t="s">
        <v>68</v>
      </c>
      <c r="O1897" s="1" t="s">
        <v>35</v>
      </c>
      <c r="P1897" s="1" t="s">
        <v>36</v>
      </c>
    </row>
    <row r="1898" spans="1:16" x14ac:dyDescent="0.25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>
        <v>9</v>
      </c>
      <c r="J1898" s="3">
        <v>35900.949999999997</v>
      </c>
      <c r="K1898" s="2">
        <v>17.38</v>
      </c>
      <c r="L1898" s="3">
        <v>266952.28000000003</v>
      </c>
      <c r="M1898">
        <v>46277</v>
      </c>
      <c r="N1898" s="1" t="s">
        <v>68</v>
      </c>
      <c r="O1898" s="1" t="s">
        <v>35</v>
      </c>
      <c r="P1898" s="1" t="s">
        <v>53</v>
      </c>
    </row>
    <row r="1899" spans="1:16" x14ac:dyDescent="0.25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>
        <v>49</v>
      </c>
      <c r="J1899" s="3">
        <v>10857.06</v>
      </c>
      <c r="K1899" s="2">
        <v>14.16</v>
      </c>
      <c r="L1899" s="3">
        <v>456665.31</v>
      </c>
      <c r="M1899">
        <v>46225</v>
      </c>
      <c r="N1899" s="1" t="s">
        <v>24</v>
      </c>
      <c r="O1899" s="1" t="s">
        <v>35</v>
      </c>
      <c r="P1899" s="1" t="s">
        <v>36</v>
      </c>
    </row>
    <row r="1900" spans="1:16" x14ac:dyDescent="0.25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>
        <v>11</v>
      </c>
      <c r="J1900" s="3">
        <v>43144.88</v>
      </c>
      <c r="K1900" s="2">
        <v>9.3000000000000007</v>
      </c>
      <c r="L1900" s="3">
        <v>430456.47</v>
      </c>
      <c r="M1900">
        <v>46073</v>
      </c>
      <c r="N1900" s="1" t="s">
        <v>45</v>
      </c>
      <c r="O1900" s="1" t="s">
        <v>59</v>
      </c>
      <c r="P1900" s="1" t="s">
        <v>36</v>
      </c>
    </row>
    <row r="1901" spans="1:16" x14ac:dyDescent="0.25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>
        <v>45</v>
      </c>
      <c r="J1901" s="3">
        <v>21683.05</v>
      </c>
      <c r="K1901" s="2">
        <v>10.82</v>
      </c>
      <c r="L1901" s="3">
        <v>870162.48</v>
      </c>
      <c r="M1901">
        <v>46133</v>
      </c>
      <c r="N1901" s="1" t="s">
        <v>24</v>
      </c>
      <c r="O1901" s="1" t="s">
        <v>25</v>
      </c>
      <c r="P1901" s="1" t="s">
        <v>26</v>
      </c>
    </row>
    <row r="1902" spans="1:16" x14ac:dyDescent="0.25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>
        <v>47</v>
      </c>
      <c r="J1902" s="3">
        <v>34661.08</v>
      </c>
      <c r="K1902" s="2">
        <v>5.0199999999999996</v>
      </c>
      <c r="L1902" s="3">
        <v>1547291.41</v>
      </c>
      <c r="M1902">
        <v>46352</v>
      </c>
      <c r="N1902" s="1" t="s">
        <v>68</v>
      </c>
      <c r="O1902" s="1" t="s">
        <v>35</v>
      </c>
      <c r="P1902" s="1" t="s">
        <v>26</v>
      </c>
    </row>
    <row r="1903" spans="1:16" x14ac:dyDescent="0.25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>
        <v>35</v>
      </c>
      <c r="J1903" s="3">
        <v>45339.1</v>
      </c>
      <c r="K1903" s="2">
        <v>6.1</v>
      </c>
      <c r="L1903" s="3">
        <v>1490069.52</v>
      </c>
      <c r="M1903">
        <v>46228</v>
      </c>
      <c r="N1903" s="1" t="s">
        <v>113</v>
      </c>
      <c r="O1903" s="1" t="s">
        <v>35</v>
      </c>
      <c r="P1903" s="1" t="s">
        <v>26</v>
      </c>
    </row>
    <row r="1904" spans="1:16" x14ac:dyDescent="0.25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>
        <v>19</v>
      </c>
      <c r="J1904" s="3">
        <v>33190.480000000003</v>
      </c>
      <c r="K1904" s="2">
        <v>10.55</v>
      </c>
      <c r="L1904" s="3">
        <v>564088.80000000005</v>
      </c>
      <c r="M1904">
        <v>46050</v>
      </c>
      <c r="N1904" s="1" t="s">
        <v>58</v>
      </c>
      <c r="O1904" s="1" t="s">
        <v>35</v>
      </c>
      <c r="P1904" s="1" t="s">
        <v>53</v>
      </c>
    </row>
    <row r="1905" spans="1:16" x14ac:dyDescent="0.25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>
        <v>43</v>
      </c>
      <c r="J1905" s="3">
        <v>20143.62</v>
      </c>
      <c r="K1905" s="2">
        <v>19.73</v>
      </c>
      <c r="L1905" s="3">
        <v>695279.2</v>
      </c>
      <c r="M1905">
        <v>46341</v>
      </c>
      <c r="N1905" s="1" t="s">
        <v>24</v>
      </c>
      <c r="O1905" s="1" t="s">
        <v>35</v>
      </c>
      <c r="P1905" s="1" t="s">
        <v>36</v>
      </c>
    </row>
    <row r="1906" spans="1:16" x14ac:dyDescent="0.25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>
        <v>2</v>
      </c>
      <c r="J1906" s="3">
        <v>33393.760000000002</v>
      </c>
      <c r="K1906" s="2">
        <v>7.23</v>
      </c>
      <c r="L1906" s="3">
        <v>61958.78</v>
      </c>
      <c r="M1906">
        <v>46277</v>
      </c>
      <c r="N1906" s="1" t="s">
        <v>45</v>
      </c>
      <c r="O1906" s="1" t="s">
        <v>59</v>
      </c>
      <c r="P1906" s="1" t="s">
        <v>53</v>
      </c>
    </row>
    <row r="1907" spans="1:16" x14ac:dyDescent="0.25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>
        <v>48</v>
      </c>
      <c r="J1907" s="3">
        <v>25671.279999999999</v>
      </c>
      <c r="K1907" s="2">
        <v>8.82</v>
      </c>
      <c r="L1907" s="3">
        <v>1123539.51</v>
      </c>
      <c r="M1907">
        <v>46308</v>
      </c>
      <c r="N1907" s="1" t="s">
        <v>68</v>
      </c>
      <c r="O1907" s="1" t="s">
        <v>35</v>
      </c>
      <c r="P1907" s="1" t="s">
        <v>36</v>
      </c>
    </row>
    <row r="1908" spans="1:16" x14ac:dyDescent="0.25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>
        <v>41</v>
      </c>
      <c r="J1908" s="3">
        <v>49049.5</v>
      </c>
      <c r="K1908" s="2">
        <v>5.95</v>
      </c>
      <c r="L1908" s="3">
        <v>1891373.24</v>
      </c>
      <c r="M1908">
        <v>46182</v>
      </c>
      <c r="N1908" s="1" t="s">
        <v>24</v>
      </c>
      <c r="O1908" s="1" t="s">
        <v>35</v>
      </c>
      <c r="P1908" s="1" t="s">
        <v>36</v>
      </c>
    </row>
    <row r="1909" spans="1:16" x14ac:dyDescent="0.25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>
        <v>36</v>
      </c>
      <c r="J1909" s="3">
        <v>20558.91</v>
      </c>
      <c r="K1909" s="2">
        <v>16.170000000000002</v>
      </c>
      <c r="L1909" s="3">
        <v>620443.23</v>
      </c>
      <c r="M1909">
        <v>46233</v>
      </c>
      <c r="N1909" s="1" t="s">
        <v>113</v>
      </c>
      <c r="O1909" s="1" t="s">
        <v>35</v>
      </c>
      <c r="P1909" s="1" t="s">
        <v>26</v>
      </c>
    </row>
    <row r="1910" spans="1:16" x14ac:dyDescent="0.25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>
        <v>50</v>
      </c>
      <c r="J1910" s="3">
        <v>47493.81</v>
      </c>
      <c r="K1910" s="2">
        <v>8.39</v>
      </c>
      <c r="L1910" s="3">
        <v>2175453.9700000002</v>
      </c>
      <c r="M1910">
        <v>46261</v>
      </c>
      <c r="N1910" s="1" t="s">
        <v>24</v>
      </c>
      <c r="O1910" s="1" t="s">
        <v>59</v>
      </c>
      <c r="P1910" s="1" t="s">
        <v>26</v>
      </c>
    </row>
    <row r="1911" spans="1:16" x14ac:dyDescent="0.25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>
        <v>38</v>
      </c>
      <c r="J1911" s="3">
        <v>42394.46</v>
      </c>
      <c r="K1911" s="2">
        <v>16.100000000000001</v>
      </c>
      <c r="L1911" s="3">
        <v>1351620.17</v>
      </c>
      <c r="M1911">
        <v>46382</v>
      </c>
      <c r="N1911" s="1" t="s">
        <v>45</v>
      </c>
      <c r="O1911" s="1" t="s">
        <v>25</v>
      </c>
      <c r="P1911" s="1" t="s">
        <v>26</v>
      </c>
    </row>
    <row r="1912" spans="1:16" x14ac:dyDescent="0.25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>
        <v>6</v>
      </c>
      <c r="J1912" s="3">
        <v>29148</v>
      </c>
      <c r="K1912" s="2">
        <v>6.98</v>
      </c>
      <c r="L1912" s="3">
        <v>162680.82</v>
      </c>
      <c r="M1912">
        <v>46148</v>
      </c>
      <c r="N1912" s="1" t="s">
        <v>58</v>
      </c>
      <c r="O1912" s="1" t="s">
        <v>35</v>
      </c>
      <c r="P1912" s="1" t="s">
        <v>53</v>
      </c>
    </row>
    <row r="1913" spans="1:16" x14ac:dyDescent="0.25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>
        <v>8</v>
      </c>
      <c r="J1913" s="3">
        <v>46004.57</v>
      </c>
      <c r="K1913" s="2">
        <v>19.05</v>
      </c>
      <c r="L1913" s="3">
        <v>297925.59999999998</v>
      </c>
      <c r="M1913">
        <v>46075</v>
      </c>
      <c r="N1913" s="1" t="s">
        <v>45</v>
      </c>
      <c r="O1913" s="1" t="s">
        <v>35</v>
      </c>
      <c r="P1913" s="1" t="s">
        <v>36</v>
      </c>
    </row>
    <row r="1914" spans="1:16" x14ac:dyDescent="0.25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>
        <v>26</v>
      </c>
      <c r="J1914" s="3">
        <v>4783.57</v>
      </c>
      <c r="K1914" s="2">
        <v>17.48</v>
      </c>
      <c r="L1914" s="3">
        <v>102632.45</v>
      </c>
      <c r="M1914">
        <v>46259</v>
      </c>
      <c r="N1914" s="1" t="s">
        <v>68</v>
      </c>
      <c r="O1914" s="1" t="s">
        <v>35</v>
      </c>
      <c r="P1914" s="1" t="s">
        <v>26</v>
      </c>
    </row>
    <row r="1915" spans="1:16" x14ac:dyDescent="0.25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>
        <v>50</v>
      </c>
      <c r="J1915" s="3">
        <v>31298.42</v>
      </c>
      <c r="K1915" s="2">
        <v>14.76</v>
      </c>
      <c r="L1915" s="3">
        <v>1333938.6599999999</v>
      </c>
      <c r="M1915">
        <v>46073</v>
      </c>
      <c r="N1915" s="1" t="s">
        <v>113</v>
      </c>
      <c r="O1915" s="1" t="s">
        <v>35</v>
      </c>
      <c r="P1915" s="1" t="s">
        <v>36</v>
      </c>
    </row>
    <row r="1916" spans="1:16" x14ac:dyDescent="0.25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>
        <v>28</v>
      </c>
      <c r="J1916" s="3">
        <v>35690.29</v>
      </c>
      <c r="K1916" s="2">
        <v>18.100000000000001</v>
      </c>
      <c r="L1916" s="3">
        <v>818449.73</v>
      </c>
      <c r="M1916">
        <v>46333</v>
      </c>
      <c r="N1916" s="1" t="s">
        <v>68</v>
      </c>
      <c r="O1916" s="1" t="s">
        <v>35</v>
      </c>
      <c r="P1916" s="1" t="s">
        <v>36</v>
      </c>
    </row>
    <row r="1917" spans="1:16" x14ac:dyDescent="0.25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>
        <v>16</v>
      </c>
      <c r="J1917" s="3">
        <v>15135.44</v>
      </c>
      <c r="K1917" s="2">
        <v>6.64</v>
      </c>
      <c r="L1917" s="3">
        <v>226087.15</v>
      </c>
      <c r="M1917">
        <v>46377</v>
      </c>
      <c r="N1917" s="1" t="s">
        <v>24</v>
      </c>
      <c r="O1917" s="1" t="s">
        <v>35</v>
      </c>
      <c r="P1917" s="1" t="s">
        <v>36</v>
      </c>
    </row>
    <row r="1918" spans="1:16" x14ac:dyDescent="0.25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>
        <v>16</v>
      </c>
      <c r="J1918" s="3">
        <v>6407.3</v>
      </c>
      <c r="K1918" s="2">
        <v>11.2</v>
      </c>
      <c r="L1918" s="3">
        <v>91034.92</v>
      </c>
      <c r="M1918">
        <v>46275</v>
      </c>
      <c r="N1918" s="1" t="s">
        <v>24</v>
      </c>
      <c r="O1918" s="1" t="s">
        <v>35</v>
      </c>
      <c r="P1918" s="1" t="s">
        <v>53</v>
      </c>
    </row>
    <row r="1919" spans="1:16" x14ac:dyDescent="0.25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>
        <v>48</v>
      </c>
      <c r="J1919" s="3">
        <v>48514.71</v>
      </c>
      <c r="K1919" s="2">
        <v>5.93</v>
      </c>
      <c r="L1919" s="3">
        <v>2190613.81</v>
      </c>
      <c r="M1919">
        <v>46311</v>
      </c>
      <c r="N1919" s="1" t="s">
        <v>113</v>
      </c>
      <c r="O1919" s="1" t="s">
        <v>35</v>
      </c>
      <c r="P1919" s="1" t="s">
        <v>26</v>
      </c>
    </row>
    <row r="1920" spans="1:16" x14ac:dyDescent="0.25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>
        <v>20</v>
      </c>
      <c r="J1920" s="3">
        <v>11757.43</v>
      </c>
      <c r="K1920" s="2">
        <v>6.42</v>
      </c>
      <c r="L1920" s="3">
        <v>220052.06</v>
      </c>
      <c r="M1920">
        <v>46097</v>
      </c>
      <c r="N1920" s="1" t="s">
        <v>58</v>
      </c>
      <c r="O1920" s="1" t="s">
        <v>35</v>
      </c>
      <c r="P1920" s="1" t="s">
        <v>53</v>
      </c>
    </row>
    <row r="1921" spans="1:16" x14ac:dyDescent="0.25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>
        <v>12</v>
      </c>
      <c r="J1921" s="3">
        <v>20826.349999999999</v>
      </c>
      <c r="K1921" s="2">
        <v>7.54</v>
      </c>
      <c r="L1921" s="3">
        <v>231072.52</v>
      </c>
      <c r="M1921">
        <v>46285</v>
      </c>
      <c r="N1921" s="1" t="s">
        <v>24</v>
      </c>
      <c r="O1921" s="1" t="s">
        <v>35</v>
      </c>
      <c r="P1921" s="1" t="s">
        <v>36</v>
      </c>
    </row>
    <row r="1922" spans="1:16" x14ac:dyDescent="0.25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>
        <v>48</v>
      </c>
      <c r="J1922" s="3">
        <v>5415.17</v>
      </c>
      <c r="K1922" s="2">
        <v>14.92</v>
      </c>
      <c r="L1922" s="3">
        <v>221146.88</v>
      </c>
      <c r="M1922">
        <v>46134</v>
      </c>
      <c r="N1922" s="1" t="s">
        <v>45</v>
      </c>
      <c r="O1922" s="1" t="s">
        <v>35</v>
      </c>
      <c r="P1922" s="1" t="s">
        <v>53</v>
      </c>
    </row>
    <row r="1923" spans="1:16" x14ac:dyDescent="0.25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>
        <v>33</v>
      </c>
      <c r="J1923" s="3">
        <v>4190.7299999999996</v>
      </c>
      <c r="K1923" s="2">
        <v>19.57</v>
      </c>
      <c r="L1923" s="3">
        <v>111229.94</v>
      </c>
      <c r="M1923">
        <v>46062</v>
      </c>
      <c r="N1923" s="1" t="s">
        <v>113</v>
      </c>
      <c r="O1923" s="1" t="s">
        <v>35</v>
      </c>
      <c r="P1923" s="1" t="s">
        <v>36</v>
      </c>
    </row>
    <row r="1924" spans="1:16" x14ac:dyDescent="0.25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>
        <v>11</v>
      </c>
      <c r="J1924" s="3">
        <v>47362.59</v>
      </c>
      <c r="K1924" s="2">
        <v>3.31</v>
      </c>
      <c r="L1924" s="3">
        <v>503743.77</v>
      </c>
      <c r="M1924">
        <v>46237</v>
      </c>
      <c r="N1924" s="1" t="s">
        <v>24</v>
      </c>
      <c r="O1924" s="1" t="s">
        <v>35</v>
      </c>
      <c r="P1924" s="1" t="s">
        <v>53</v>
      </c>
    </row>
    <row r="1925" spans="1:16" x14ac:dyDescent="0.25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>
        <v>49</v>
      </c>
      <c r="J1925" s="3">
        <v>27818.01</v>
      </c>
      <c r="K1925" s="2">
        <v>10.44</v>
      </c>
      <c r="L1925" s="3">
        <v>1220776.68</v>
      </c>
      <c r="M1925">
        <v>46376</v>
      </c>
      <c r="N1925" s="1" t="s">
        <v>58</v>
      </c>
      <c r="O1925" s="1" t="s">
        <v>35</v>
      </c>
      <c r="P1925" s="1" t="s">
        <v>36</v>
      </c>
    </row>
    <row r="1926" spans="1:16" x14ac:dyDescent="0.25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>
        <v>25</v>
      </c>
      <c r="J1926" s="3">
        <v>25421.43</v>
      </c>
      <c r="K1926" s="2">
        <v>13.32</v>
      </c>
      <c r="L1926" s="3">
        <v>550882.39</v>
      </c>
      <c r="M1926">
        <v>46199</v>
      </c>
      <c r="N1926" s="1" t="s">
        <v>58</v>
      </c>
      <c r="O1926" s="1" t="s">
        <v>35</v>
      </c>
      <c r="P1926" s="1" t="s">
        <v>36</v>
      </c>
    </row>
    <row r="1927" spans="1:16" x14ac:dyDescent="0.25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>
        <v>11</v>
      </c>
      <c r="J1927" s="3">
        <v>19069.91</v>
      </c>
      <c r="K1927" s="2">
        <v>17.079999999999998</v>
      </c>
      <c r="L1927" s="3">
        <v>173940.46</v>
      </c>
      <c r="M1927">
        <v>46215</v>
      </c>
      <c r="N1927" s="1" t="s">
        <v>24</v>
      </c>
      <c r="O1927" s="1" t="s">
        <v>35</v>
      </c>
      <c r="P1927" s="1" t="s">
        <v>53</v>
      </c>
    </row>
    <row r="1928" spans="1:16" x14ac:dyDescent="0.25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>
        <v>8</v>
      </c>
      <c r="J1928" s="3">
        <v>8930.07</v>
      </c>
      <c r="K1928" s="2">
        <v>15.81</v>
      </c>
      <c r="L1928" s="3">
        <v>60145.81</v>
      </c>
      <c r="M1928">
        <v>46336</v>
      </c>
      <c r="N1928" s="1" t="s">
        <v>45</v>
      </c>
      <c r="O1928" s="1" t="s">
        <v>35</v>
      </c>
      <c r="P1928" s="1" t="s">
        <v>26</v>
      </c>
    </row>
    <row r="1929" spans="1:16" x14ac:dyDescent="0.25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>
        <v>36</v>
      </c>
      <c r="J1929" s="3">
        <v>32035.66</v>
      </c>
      <c r="K1929" s="2">
        <v>14.91</v>
      </c>
      <c r="L1929" s="3">
        <v>981329.15</v>
      </c>
      <c r="M1929">
        <v>46285</v>
      </c>
      <c r="N1929" s="1" t="s">
        <v>68</v>
      </c>
      <c r="O1929" s="1" t="s">
        <v>35</v>
      </c>
      <c r="P1929" s="1" t="s">
        <v>36</v>
      </c>
    </row>
    <row r="1930" spans="1:16" x14ac:dyDescent="0.25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>
        <v>37</v>
      </c>
      <c r="J1930" s="3">
        <v>9632.9500000000007</v>
      </c>
      <c r="K1930" s="2">
        <v>3.65</v>
      </c>
      <c r="L1930" s="3">
        <v>343409.85</v>
      </c>
      <c r="M1930">
        <v>46169</v>
      </c>
      <c r="N1930" s="1" t="s">
        <v>58</v>
      </c>
      <c r="O1930" s="1" t="s">
        <v>35</v>
      </c>
      <c r="P1930" s="1" t="s">
        <v>53</v>
      </c>
    </row>
    <row r="1931" spans="1:16" x14ac:dyDescent="0.25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>
        <v>38</v>
      </c>
      <c r="J1931" s="3">
        <v>21455.31</v>
      </c>
      <c r="K1931" s="2">
        <v>12.84</v>
      </c>
      <c r="L1931" s="3">
        <v>710617.03</v>
      </c>
      <c r="M1931">
        <v>46133</v>
      </c>
      <c r="N1931" s="1" t="s">
        <v>113</v>
      </c>
      <c r="O1931" s="1" t="s">
        <v>35</v>
      </c>
      <c r="P1931" s="1" t="s">
        <v>36</v>
      </c>
    </row>
    <row r="1932" spans="1:16" x14ac:dyDescent="0.25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>
        <v>23</v>
      </c>
      <c r="J1932" s="3">
        <v>47057.05</v>
      </c>
      <c r="K1932" s="2">
        <v>9.5500000000000007</v>
      </c>
      <c r="L1932" s="3">
        <v>978951.34</v>
      </c>
      <c r="M1932">
        <v>46267</v>
      </c>
      <c r="N1932" s="1" t="s">
        <v>113</v>
      </c>
      <c r="O1932" s="1" t="s">
        <v>35</v>
      </c>
      <c r="P1932" s="1" t="s">
        <v>36</v>
      </c>
    </row>
    <row r="1933" spans="1:16" x14ac:dyDescent="0.25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>
        <v>36</v>
      </c>
      <c r="J1933" s="3">
        <v>16595.89</v>
      </c>
      <c r="K1933" s="2">
        <v>2.68</v>
      </c>
      <c r="L1933" s="3">
        <v>581440.32999999996</v>
      </c>
      <c r="M1933">
        <v>46367</v>
      </c>
      <c r="N1933" s="1" t="s">
        <v>24</v>
      </c>
      <c r="O1933" s="1" t="s">
        <v>35</v>
      </c>
      <c r="P1933" s="1" t="s">
        <v>26</v>
      </c>
    </row>
    <row r="1934" spans="1:16" x14ac:dyDescent="0.25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>
        <v>46</v>
      </c>
      <c r="J1934" s="3">
        <v>41679.25</v>
      </c>
      <c r="K1934" s="2">
        <v>2.02</v>
      </c>
      <c r="L1934" s="3">
        <v>1878517.14</v>
      </c>
      <c r="M1934">
        <v>46336</v>
      </c>
      <c r="N1934" s="1" t="s">
        <v>113</v>
      </c>
      <c r="O1934" s="1" t="s">
        <v>35</v>
      </c>
      <c r="P1934" s="1" t="s">
        <v>26</v>
      </c>
    </row>
    <row r="1935" spans="1:16" x14ac:dyDescent="0.25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>
        <v>47</v>
      </c>
      <c r="J1935" s="3">
        <v>25216.75</v>
      </c>
      <c r="K1935" s="2">
        <v>10.17</v>
      </c>
      <c r="L1935" s="3">
        <v>1064653.71</v>
      </c>
      <c r="M1935">
        <v>46317</v>
      </c>
      <c r="N1935" s="1" t="s">
        <v>113</v>
      </c>
      <c r="O1935" s="1" t="s">
        <v>35</v>
      </c>
      <c r="P1935" s="1" t="s">
        <v>53</v>
      </c>
    </row>
    <row r="1936" spans="1:16" x14ac:dyDescent="0.25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>
        <v>17</v>
      </c>
      <c r="J1936" s="3">
        <v>28892.02</v>
      </c>
      <c r="K1936" s="2">
        <v>16.04</v>
      </c>
      <c r="L1936" s="3">
        <v>412381.58</v>
      </c>
      <c r="M1936">
        <v>46056</v>
      </c>
      <c r="N1936" s="1" t="s">
        <v>68</v>
      </c>
      <c r="O1936" s="1" t="s">
        <v>35</v>
      </c>
      <c r="P1936" s="1" t="s">
        <v>26</v>
      </c>
    </row>
    <row r="1937" spans="1:16" x14ac:dyDescent="0.25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>
        <v>27</v>
      </c>
      <c r="J1937" s="3">
        <v>17378.64</v>
      </c>
      <c r="K1937" s="2">
        <v>7.11</v>
      </c>
      <c r="L1937" s="3">
        <v>435861.5</v>
      </c>
      <c r="M1937">
        <v>46097</v>
      </c>
      <c r="N1937" s="1" t="s">
        <v>68</v>
      </c>
      <c r="O1937" s="1" t="s">
        <v>35</v>
      </c>
      <c r="P1937" s="1" t="s">
        <v>36</v>
      </c>
    </row>
    <row r="1938" spans="1:16" x14ac:dyDescent="0.25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>
        <v>18</v>
      </c>
      <c r="J1938" s="3">
        <v>4307.57</v>
      </c>
      <c r="K1938" s="2">
        <v>16.93</v>
      </c>
      <c r="L1938" s="3">
        <v>64409.37</v>
      </c>
      <c r="M1938">
        <v>46228</v>
      </c>
      <c r="N1938" s="1" t="s">
        <v>45</v>
      </c>
      <c r="O1938" s="1" t="s">
        <v>35</v>
      </c>
      <c r="P1938" s="1" t="s">
        <v>53</v>
      </c>
    </row>
    <row r="1939" spans="1:16" x14ac:dyDescent="0.25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>
        <v>19</v>
      </c>
      <c r="J1939" s="3">
        <v>16880.29</v>
      </c>
      <c r="K1939" s="2">
        <v>15.46</v>
      </c>
      <c r="L1939" s="3">
        <v>271141.34999999998</v>
      </c>
      <c r="M1939">
        <v>46296</v>
      </c>
      <c r="N1939" s="1" t="s">
        <v>113</v>
      </c>
      <c r="O1939" s="1" t="s">
        <v>35</v>
      </c>
      <c r="P1939" s="1" t="s">
        <v>53</v>
      </c>
    </row>
    <row r="1940" spans="1:16" x14ac:dyDescent="0.25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>
        <v>19</v>
      </c>
      <c r="J1940" s="3">
        <v>10350.19</v>
      </c>
      <c r="K1940" s="2">
        <v>15.71</v>
      </c>
      <c r="L1940" s="3">
        <v>165759.32999999999</v>
      </c>
      <c r="M1940">
        <v>46190</v>
      </c>
      <c r="N1940" s="1" t="s">
        <v>113</v>
      </c>
      <c r="O1940" s="1" t="s">
        <v>35</v>
      </c>
      <c r="P1940" s="1" t="s">
        <v>53</v>
      </c>
    </row>
    <row r="1941" spans="1:16" x14ac:dyDescent="0.25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>
        <v>5</v>
      </c>
      <c r="J1941" s="3">
        <v>17526.46</v>
      </c>
      <c r="K1941" s="2">
        <v>18.57</v>
      </c>
      <c r="L1941" s="3">
        <v>71358.98</v>
      </c>
      <c r="M1941">
        <v>46219</v>
      </c>
      <c r="N1941" s="1" t="s">
        <v>68</v>
      </c>
      <c r="O1941" s="1" t="s">
        <v>25</v>
      </c>
      <c r="P1941" s="1" t="s">
        <v>26</v>
      </c>
    </row>
    <row r="1942" spans="1:16" x14ac:dyDescent="0.25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>
        <v>36</v>
      </c>
      <c r="J1942" s="3">
        <v>7409.89</v>
      </c>
      <c r="K1942" s="2">
        <v>5.92</v>
      </c>
      <c r="L1942" s="3">
        <v>250964.08</v>
      </c>
      <c r="M1942">
        <v>46229</v>
      </c>
      <c r="N1942" s="1" t="s">
        <v>58</v>
      </c>
      <c r="O1942" s="1" t="s">
        <v>35</v>
      </c>
      <c r="P1942" s="1" t="s">
        <v>53</v>
      </c>
    </row>
    <row r="1943" spans="1:16" x14ac:dyDescent="0.25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>
        <v>47</v>
      </c>
      <c r="J1943" s="3">
        <v>37351.39</v>
      </c>
      <c r="K1943" s="2">
        <v>7.51</v>
      </c>
      <c r="L1943" s="3">
        <v>1623676.13</v>
      </c>
      <c r="M1943">
        <v>46216</v>
      </c>
      <c r="N1943" s="1" t="s">
        <v>45</v>
      </c>
      <c r="O1943" s="1" t="s">
        <v>35</v>
      </c>
      <c r="P1943" s="1" t="s">
        <v>36</v>
      </c>
    </row>
    <row r="1944" spans="1:16" x14ac:dyDescent="0.25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>
        <v>8</v>
      </c>
      <c r="J1944" s="3">
        <v>45806.44</v>
      </c>
      <c r="K1944" s="2">
        <v>17.489999999999998</v>
      </c>
      <c r="L1944" s="3">
        <v>302359.15000000002</v>
      </c>
      <c r="M1944">
        <v>46376</v>
      </c>
      <c r="N1944" s="1" t="s">
        <v>24</v>
      </c>
      <c r="O1944" s="1" t="s">
        <v>35</v>
      </c>
      <c r="P1944" s="1" t="s">
        <v>53</v>
      </c>
    </row>
    <row r="1945" spans="1:16" x14ac:dyDescent="0.25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>
        <v>11</v>
      </c>
      <c r="J1945" s="3">
        <v>36478.86</v>
      </c>
      <c r="K1945" s="2">
        <v>7.41</v>
      </c>
      <c r="L1945" s="3">
        <v>371533.54</v>
      </c>
      <c r="M1945">
        <v>46338</v>
      </c>
      <c r="N1945" s="1" t="s">
        <v>45</v>
      </c>
      <c r="O1945" s="1" t="s">
        <v>25</v>
      </c>
      <c r="P1945" s="1" t="s">
        <v>36</v>
      </c>
    </row>
    <row r="1946" spans="1:16" x14ac:dyDescent="0.25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>
        <v>28</v>
      </c>
      <c r="J1946" s="3">
        <v>12662.74</v>
      </c>
      <c r="K1946" s="2">
        <v>17.149999999999999</v>
      </c>
      <c r="L1946" s="3">
        <v>293750.24</v>
      </c>
      <c r="M1946">
        <v>46167</v>
      </c>
      <c r="N1946" s="1" t="s">
        <v>24</v>
      </c>
      <c r="O1946" s="1" t="s">
        <v>35</v>
      </c>
      <c r="P1946" s="1" t="s">
        <v>26</v>
      </c>
    </row>
    <row r="1947" spans="1:16" x14ac:dyDescent="0.25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>
        <v>20</v>
      </c>
      <c r="J1947" s="3">
        <v>44360.39</v>
      </c>
      <c r="K1947" s="2">
        <v>15.81</v>
      </c>
      <c r="L1947" s="3">
        <v>746940.25</v>
      </c>
      <c r="M1947">
        <v>46309</v>
      </c>
      <c r="N1947" s="1" t="s">
        <v>58</v>
      </c>
      <c r="O1947" s="1" t="s">
        <v>25</v>
      </c>
      <c r="P1947" s="1" t="s">
        <v>26</v>
      </c>
    </row>
    <row r="1948" spans="1:16" x14ac:dyDescent="0.25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>
        <v>21</v>
      </c>
      <c r="J1948" s="3">
        <v>48406.05</v>
      </c>
      <c r="K1948" s="2">
        <v>12.52</v>
      </c>
      <c r="L1948" s="3">
        <v>889257.86</v>
      </c>
      <c r="M1948">
        <v>46387</v>
      </c>
      <c r="N1948" s="1" t="s">
        <v>68</v>
      </c>
      <c r="O1948" s="1" t="s">
        <v>35</v>
      </c>
      <c r="P1948" s="1" t="s">
        <v>53</v>
      </c>
    </row>
    <row r="1949" spans="1:16" x14ac:dyDescent="0.25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>
        <v>47</v>
      </c>
      <c r="J1949" s="3">
        <v>12477.67</v>
      </c>
      <c r="K1949" s="2">
        <v>17.54</v>
      </c>
      <c r="L1949" s="3">
        <v>483587.07</v>
      </c>
      <c r="M1949">
        <v>46235</v>
      </c>
      <c r="N1949" s="1" t="s">
        <v>58</v>
      </c>
      <c r="O1949" s="1" t="s">
        <v>35</v>
      </c>
      <c r="P1949" s="1" t="s">
        <v>36</v>
      </c>
    </row>
    <row r="1950" spans="1:16" x14ac:dyDescent="0.25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>
        <v>10</v>
      </c>
      <c r="J1950" s="3">
        <v>46645.02</v>
      </c>
      <c r="K1950" s="2">
        <v>13.24</v>
      </c>
      <c r="L1950" s="3">
        <v>404692.19</v>
      </c>
      <c r="M1950">
        <v>46253</v>
      </c>
      <c r="N1950" s="1" t="s">
        <v>113</v>
      </c>
      <c r="O1950" s="1" t="s">
        <v>35</v>
      </c>
      <c r="P1950" s="1" t="s">
        <v>36</v>
      </c>
    </row>
    <row r="1951" spans="1:16" x14ac:dyDescent="0.25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>
        <v>38</v>
      </c>
      <c r="J1951" s="3">
        <v>1487.14</v>
      </c>
      <c r="K1951" s="2">
        <v>3.88</v>
      </c>
      <c r="L1951" s="3">
        <v>54318.68</v>
      </c>
      <c r="M1951">
        <v>46268</v>
      </c>
      <c r="N1951" s="1" t="s">
        <v>45</v>
      </c>
      <c r="O1951" s="1" t="s">
        <v>35</v>
      </c>
      <c r="P1951" s="1" t="s">
        <v>53</v>
      </c>
    </row>
    <row r="1952" spans="1:16" x14ac:dyDescent="0.25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>
        <v>49</v>
      </c>
      <c r="J1952" s="3">
        <v>21567.01</v>
      </c>
      <c r="K1952" s="2">
        <v>13.8</v>
      </c>
      <c r="L1952" s="3">
        <v>910947.37</v>
      </c>
      <c r="M1952">
        <v>46059</v>
      </c>
      <c r="N1952" s="1" t="s">
        <v>45</v>
      </c>
      <c r="O1952" s="1" t="s">
        <v>35</v>
      </c>
      <c r="P1952" s="1" t="s">
        <v>36</v>
      </c>
    </row>
    <row r="1953" spans="1:16" x14ac:dyDescent="0.25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>
        <v>40</v>
      </c>
      <c r="J1953" s="3">
        <v>31280.74</v>
      </c>
      <c r="K1953" s="2">
        <v>1.1399999999999999</v>
      </c>
      <c r="L1953" s="3">
        <v>1236965.58</v>
      </c>
      <c r="M1953">
        <v>46229</v>
      </c>
      <c r="N1953" s="1" t="s">
        <v>24</v>
      </c>
      <c r="O1953" s="1" t="s">
        <v>35</v>
      </c>
      <c r="P1953" s="1" t="s">
        <v>53</v>
      </c>
    </row>
    <row r="1954" spans="1:16" x14ac:dyDescent="0.25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>
        <v>42</v>
      </c>
      <c r="J1954" s="3">
        <v>25482.79</v>
      </c>
      <c r="K1954" s="2">
        <v>3.15</v>
      </c>
      <c r="L1954" s="3">
        <v>1036563.45</v>
      </c>
      <c r="M1954">
        <v>46311</v>
      </c>
      <c r="N1954" s="1" t="s">
        <v>68</v>
      </c>
      <c r="O1954" s="1" t="s">
        <v>35</v>
      </c>
      <c r="P1954" s="1" t="s">
        <v>53</v>
      </c>
    </row>
    <row r="1955" spans="1:16" x14ac:dyDescent="0.25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>
        <v>30</v>
      </c>
      <c r="J1955" s="3">
        <v>6785.25</v>
      </c>
      <c r="K1955" s="2">
        <v>2.36</v>
      </c>
      <c r="L1955" s="3">
        <v>198753.54</v>
      </c>
      <c r="M1955">
        <v>46273</v>
      </c>
      <c r="N1955" s="1" t="s">
        <v>58</v>
      </c>
      <c r="O1955" s="1" t="s">
        <v>25</v>
      </c>
      <c r="P1955" s="1" t="s">
        <v>53</v>
      </c>
    </row>
    <row r="1956" spans="1:16" x14ac:dyDescent="0.25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>
        <v>44</v>
      </c>
      <c r="J1956" s="3">
        <v>25903.73</v>
      </c>
      <c r="K1956" s="2">
        <v>17.47</v>
      </c>
      <c r="L1956" s="3">
        <v>940647.33</v>
      </c>
      <c r="M1956">
        <v>46374</v>
      </c>
      <c r="N1956" s="1" t="s">
        <v>45</v>
      </c>
      <c r="O1956" s="1" t="s">
        <v>35</v>
      </c>
      <c r="P1956" s="1" t="s">
        <v>26</v>
      </c>
    </row>
    <row r="1957" spans="1:16" x14ac:dyDescent="0.25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>
        <v>20</v>
      </c>
      <c r="J1957" s="3">
        <v>24268.86</v>
      </c>
      <c r="K1957" s="2">
        <v>18.670000000000002</v>
      </c>
      <c r="L1957" s="3">
        <v>394757.28</v>
      </c>
      <c r="M1957">
        <v>46091</v>
      </c>
      <c r="N1957" s="1" t="s">
        <v>45</v>
      </c>
      <c r="O1957" s="1" t="s">
        <v>35</v>
      </c>
      <c r="P1957" s="1" t="s">
        <v>53</v>
      </c>
    </row>
    <row r="1958" spans="1:16" x14ac:dyDescent="0.25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>
        <v>41</v>
      </c>
      <c r="J1958" s="3">
        <v>14383</v>
      </c>
      <c r="K1958" s="2">
        <v>13.16</v>
      </c>
      <c r="L1958" s="3">
        <v>512098.09</v>
      </c>
      <c r="M1958">
        <v>46206</v>
      </c>
      <c r="N1958" s="1" t="s">
        <v>58</v>
      </c>
      <c r="O1958" s="1" t="s">
        <v>35</v>
      </c>
      <c r="P1958" s="1" t="s">
        <v>36</v>
      </c>
    </row>
    <row r="1959" spans="1:16" x14ac:dyDescent="0.25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>
        <v>27</v>
      </c>
      <c r="J1959" s="3">
        <v>38866.410000000003</v>
      </c>
      <c r="K1959" s="2">
        <v>14.02</v>
      </c>
      <c r="L1959" s="3">
        <v>902268.16</v>
      </c>
      <c r="M1959">
        <v>46030</v>
      </c>
      <c r="N1959" s="1" t="s">
        <v>45</v>
      </c>
      <c r="O1959" s="1" t="s">
        <v>59</v>
      </c>
      <c r="P1959" s="1" t="s">
        <v>36</v>
      </c>
    </row>
    <row r="1960" spans="1:16" x14ac:dyDescent="0.25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>
        <v>45</v>
      </c>
      <c r="J1960" s="3">
        <v>35165.82</v>
      </c>
      <c r="K1960" s="2">
        <v>14.43</v>
      </c>
      <c r="L1960" s="3">
        <v>1354112.65</v>
      </c>
      <c r="M1960">
        <v>46297</v>
      </c>
      <c r="N1960" s="1" t="s">
        <v>58</v>
      </c>
      <c r="O1960" s="1" t="s">
        <v>35</v>
      </c>
      <c r="P1960" s="1" t="s">
        <v>36</v>
      </c>
    </row>
    <row r="1961" spans="1:16" x14ac:dyDescent="0.25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>
        <v>36</v>
      </c>
      <c r="J1961" s="3">
        <v>47860.17</v>
      </c>
      <c r="K1961" s="2">
        <v>9.07</v>
      </c>
      <c r="L1961" s="3">
        <v>1566693.09</v>
      </c>
      <c r="M1961">
        <v>46034</v>
      </c>
      <c r="N1961" s="1" t="s">
        <v>58</v>
      </c>
      <c r="O1961" s="1" t="s">
        <v>35</v>
      </c>
      <c r="P1961" s="1" t="s">
        <v>36</v>
      </c>
    </row>
    <row r="1962" spans="1:16" x14ac:dyDescent="0.25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>
        <v>38</v>
      </c>
      <c r="J1962" s="3">
        <v>32753.8</v>
      </c>
      <c r="K1962" s="2">
        <v>2.35</v>
      </c>
      <c r="L1962" s="3">
        <v>1215395.26</v>
      </c>
      <c r="M1962">
        <v>46276</v>
      </c>
      <c r="N1962" s="1" t="s">
        <v>58</v>
      </c>
      <c r="O1962" s="1" t="s">
        <v>35</v>
      </c>
      <c r="P1962" s="1" t="s">
        <v>53</v>
      </c>
    </row>
    <row r="1963" spans="1:16" x14ac:dyDescent="0.25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>
        <v>13</v>
      </c>
      <c r="J1963" s="3">
        <v>28072.3</v>
      </c>
      <c r="K1963" s="2">
        <v>5.14</v>
      </c>
      <c r="L1963" s="3">
        <v>346181.99</v>
      </c>
      <c r="M1963">
        <v>46191</v>
      </c>
      <c r="N1963" s="1" t="s">
        <v>45</v>
      </c>
      <c r="O1963" s="1" t="s">
        <v>35</v>
      </c>
      <c r="P1963" s="1" t="s">
        <v>26</v>
      </c>
    </row>
    <row r="1964" spans="1:16" x14ac:dyDescent="0.25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>
        <v>48</v>
      </c>
      <c r="J1964" s="3">
        <v>17727.3</v>
      </c>
      <c r="K1964" s="2">
        <v>12.67</v>
      </c>
      <c r="L1964" s="3">
        <v>743100.05</v>
      </c>
      <c r="M1964">
        <v>46385</v>
      </c>
      <c r="N1964" s="1" t="s">
        <v>45</v>
      </c>
      <c r="O1964" s="1" t="s">
        <v>35</v>
      </c>
      <c r="P1964" s="1" t="s">
        <v>26</v>
      </c>
    </row>
    <row r="1965" spans="1:16" x14ac:dyDescent="0.25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>
        <v>29</v>
      </c>
      <c r="J1965" s="3">
        <v>3308.54</v>
      </c>
      <c r="K1965" s="2">
        <v>4.1100000000000003</v>
      </c>
      <c r="L1965" s="3">
        <v>92004.21</v>
      </c>
      <c r="M1965">
        <v>46081</v>
      </c>
      <c r="N1965" s="1" t="s">
        <v>58</v>
      </c>
      <c r="O1965" s="1" t="s">
        <v>35</v>
      </c>
      <c r="P1965" s="1" t="s">
        <v>53</v>
      </c>
    </row>
    <row r="1966" spans="1:16" x14ac:dyDescent="0.25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>
        <v>37</v>
      </c>
      <c r="J1966" s="3">
        <v>28709.99</v>
      </c>
      <c r="K1966" s="2">
        <v>1.74</v>
      </c>
      <c r="L1966" s="3">
        <v>1043786.14</v>
      </c>
      <c r="M1966">
        <v>46243</v>
      </c>
      <c r="N1966" s="1" t="s">
        <v>58</v>
      </c>
      <c r="O1966" s="1" t="s">
        <v>35</v>
      </c>
      <c r="P1966" s="1" t="s">
        <v>36</v>
      </c>
    </row>
    <row r="1967" spans="1:16" x14ac:dyDescent="0.25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>
        <v>1</v>
      </c>
      <c r="J1967" s="3">
        <v>49253.120000000003</v>
      </c>
      <c r="K1967" s="2">
        <v>13.92</v>
      </c>
      <c r="L1967" s="3">
        <v>42397.09</v>
      </c>
      <c r="M1967">
        <v>46352</v>
      </c>
      <c r="N1967" s="1" t="s">
        <v>113</v>
      </c>
      <c r="O1967" s="1" t="s">
        <v>35</v>
      </c>
      <c r="P1967" s="1" t="s">
        <v>36</v>
      </c>
    </row>
    <row r="1968" spans="1:16" x14ac:dyDescent="0.25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>
        <v>5</v>
      </c>
      <c r="J1968" s="3">
        <v>4557.41</v>
      </c>
      <c r="K1968" s="2">
        <v>5.63</v>
      </c>
      <c r="L1968" s="3">
        <v>21504.14</v>
      </c>
      <c r="M1968">
        <v>46290</v>
      </c>
      <c r="N1968" s="1" t="s">
        <v>58</v>
      </c>
      <c r="O1968" s="1" t="s">
        <v>25</v>
      </c>
      <c r="P1968" s="1" t="s">
        <v>26</v>
      </c>
    </row>
    <row r="1969" spans="1:16" x14ac:dyDescent="0.25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>
        <v>46</v>
      </c>
      <c r="J1969" s="3">
        <v>2518.25</v>
      </c>
      <c r="K1969" s="2">
        <v>17.16</v>
      </c>
      <c r="L1969" s="3">
        <v>95961.44</v>
      </c>
      <c r="M1969">
        <v>46240</v>
      </c>
      <c r="N1969" s="1" t="s">
        <v>58</v>
      </c>
      <c r="O1969" s="1" t="s">
        <v>35</v>
      </c>
      <c r="P1969" s="1" t="s">
        <v>36</v>
      </c>
    </row>
    <row r="1970" spans="1:16" x14ac:dyDescent="0.25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>
        <v>21</v>
      </c>
      <c r="J1970" s="3">
        <v>35865.69</v>
      </c>
      <c r="K1970" s="2">
        <v>1.26</v>
      </c>
      <c r="L1970" s="3">
        <v>743689.43</v>
      </c>
      <c r="M1970">
        <v>46193</v>
      </c>
      <c r="N1970" s="1" t="s">
        <v>58</v>
      </c>
      <c r="O1970" s="1" t="s">
        <v>35</v>
      </c>
      <c r="P1970" s="1" t="s">
        <v>53</v>
      </c>
    </row>
    <row r="1971" spans="1:16" x14ac:dyDescent="0.25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>
        <v>47</v>
      </c>
      <c r="J1971" s="3">
        <v>25020.720000000001</v>
      </c>
      <c r="K1971" s="2">
        <v>0.86</v>
      </c>
      <c r="L1971" s="3">
        <v>1165860.46</v>
      </c>
      <c r="M1971">
        <v>46061</v>
      </c>
      <c r="N1971" s="1" t="s">
        <v>113</v>
      </c>
      <c r="O1971" s="1" t="s">
        <v>35</v>
      </c>
      <c r="P1971" s="1" t="s">
        <v>36</v>
      </c>
    </row>
    <row r="1972" spans="1:16" x14ac:dyDescent="0.25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>
        <v>10</v>
      </c>
      <c r="J1972" s="3">
        <v>5746.06</v>
      </c>
      <c r="K1972" s="2">
        <v>3.85</v>
      </c>
      <c r="L1972" s="3">
        <v>55248.37</v>
      </c>
      <c r="M1972">
        <v>46173</v>
      </c>
      <c r="N1972" s="1" t="s">
        <v>45</v>
      </c>
      <c r="O1972" s="1" t="s">
        <v>35</v>
      </c>
      <c r="P1972" s="1" t="s">
        <v>36</v>
      </c>
    </row>
    <row r="1973" spans="1:16" x14ac:dyDescent="0.25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>
        <v>13</v>
      </c>
      <c r="J1973" s="3">
        <v>21555.919999999998</v>
      </c>
      <c r="K1973" s="2">
        <v>4.09</v>
      </c>
      <c r="L1973" s="3">
        <v>268765.68</v>
      </c>
      <c r="M1973">
        <v>46117</v>
      </c>
      <c r="N1973" s="1" t="s">
        <v>45</v>
      </c>
      <c r="O1973" s="1" t="s">
        <v>35</v>
      </c>
      <c r="P1973" s="1" t="s">
        <v>53</v>
      </c>
    </row>
    <row r="1974" spans="1:16" x14ac:dyDescent="0.25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>
        <v>45</v>
      </c>
      <c r="J1974" s="3">
        <v>34508.639999999999</v>
      </c>
      <c r="K1974" s="2">
        <v>3.7</v>
      </c>
      <c r="L1974" s="3">
        <v>1495431.91</v>
      </c>
      <c r="M1974">
        <v>46341</v>
      </c>
      <c r="N1974" s="1" t="s">
        <v>113</v>
      </c>
      <c r="O1974" s="1" t="s">
        <v>35</v>
      </c>
      <c r="P1974" s="1" t="s">
        <v>53</v>
      </c>
    </row>
    <row r="1975" spans="1:16" x14ac:dyDescent="0.25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>
        <v>44</v>
      </c>
      <c r="J1975" s="3">
        <v>28107.31</v>
      </c>
      <c r="K1975" s="2">
        <v>12.99</v>
      </c>
      <c r="L1975" s="3">
        <v>1076071.5</v>
      </c>
      <c r="M1975">
        <v>46260</v>
      </c>
      <c r="N1975" s="1" t="s">
        <v>24</v>
      </c>
      <c r="O1975" s="1" t="s">
        <v>25</v>
      </c>
      <c r="P1975" s="1" t="s">
        <v>36</v>
      </c>
    </row>
    <row r="1976" spans="1:16" x14ac:dyDescent="0.25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>
        <v>36</v>
      </c>
      <c r="J1976" s="3">
        <v>30747.95</v>
      </c>
      <c r="K1976" s="2">
        <v>16.62</v>
      </c>
      <c r="L1976" s="3">
        <v>922955.07</v>
      </c>
      <c r="M1976">
        <v>46132</v>
      </c>
      <c r="N1976" s="1" t="s">
        <v>45</v>
      </c>
      <c r="O1976" s="1" t="s">
        <v>35</v>
      </c>
      <c r="P1976" s="1" t="s">
        <v>36</v>
      </c>
    </row>
    <row r="1977" spans="1:16" x14ac:dyDescent="0.25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>
        <v>29</v>
      </c>
      <c r="J1977" s="3">
        <v>4389.8900000000003</v>
      </c>
      <c r="K1977" s="2">
        <v>10.19</v>
      </c>
      <c r="L1977" s="3">
        <v>114334.25</v>
      </c>
      <c r="M1977">
        <v>46043</v>
      </c>
      <c r="N1977" s="1" t="s">
        <v>45</v>
      </c>
      <c r="O1977" s="1" t="s">
        <v>35</v>
      </c>
      <c r="P1977" s="1" t="s">
        <v>36</v>
      </c>
    </row>
    <row r="1978" spans="1:16" x14ac:dyDescent="0.25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>
        <v>31</v>
      </c>
      <c r="J1978" s="3">
        <v>39938.07</v>
      </c>
      <c r="K1978" s="2">
        <v>14.19</v>
      </c>
      <c r="L1978" s="3">
        <v>1062396.5900000001</v>
      </c>
      <c r="M1978">
        <v>46237</v>
      </c>
      <c r="N1978" s="1" t="s">
        <v>24</v>
      </c>
      <c r="O1978" s="1" t="s">
        <v>35</v>
      </c>
      <c r="P1978" s="1" t="s">
        <v>53</v>
      </c>
    </row>
    <row r="1979" spans="1:16" x14ac:dyDescent="0.25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>
        <v>18</v>
      </c>
      <c r="J1979" s="3">
        <v>25800.53</v>
      </c>
      <c r="K1979" s="2">
        <v>17.04</v>
      </c>
      <c r="L1979" s="3">
        <v>385274.15</v>
      </c>
      <c r="M1979">
        <v>46274</v>
      </c>
      <c r="N1979" s="1" t="s">
        <v>113</v>
      </c>
      <c r="O1979" s="1" t="s">
        <v>59</v>
      </c>
      <c r="P1979" s="1" t="s">
        <v>53</v>
      </c>
    </row>
    <row r="1980" spans="1:16" x14ac:dyDescent="0.25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>
        <v>29</v>
      </c>
      <c r="J1980" s="3">
        <v>9498.4599999999991</v>
      </c>
      <c r="K1980" s="2">
        <v>3.54</v>
      </c>
      <c r="L1980" s="3">
        <v>265704.21999999997</v>
      </c>
      <c r="M1980">
        <v>46306</v>
      </c>
      <c r="N1980" s="1" t="s">
        <v>24</v>
      </c>
      <c r="O1980" s="1" t="s">
        <v>35</v>
      </c>
      <c r="P1980" s="1" t="s">
        <v>36</v>
      </c>
    </row>
    <row r="1981" spans="1:16" x14ac:dyDescent="0.25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>
        <v>44</v>
      </c>
      <c r="J1981" s="3">
        <v>16626.25</v>
      </c>
      <c r="K1981" s="2">
        <v>17.48</v>
      </c>
      <c r="L1981" s="3">
        <v>603679.18999999994</v>
      </c>
      <c r="M1981">
        <v>46096</v>
      </c>
      <c r="N1981" s="1" t="s">
        <v>24</v>
      </c>
      <c r="O1981" s="1" t="s">
        <v>35</v>
      </c>
      <c r="P1981" s="1" t="s">
        <v>36</v>
      </c>
    </row>
    <row r="1982" spans="1:16" x14ac:dyDescent="0.25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>
        <v>14</v>
      </c>
      <c r="J1982" s="3">
        <v>14518.66</v>
      </c>
      <c r="K1982" s="2">
        <v>14.52</v>
      </c>
      <c r="L1982" s="3">
        <v>173747.71</v>
      </c>
      <c r="M1982">
        <v>46353</v>
      </c>
      <c r="N1982" s="1" t="s">
        <v>113</v>
      </c>
      <c r="O1982" s="1" t="s">
        <v>35</v>
      </c>
      <c r="P1982" s="1" t="s">
        <v>53</v>
      </c>
    </row>
    <row r="1983" spans="1:16" x14ac:dyDescent="0.25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>
        <v>47</v>
      </c>
      <c r="J1983" s="3">
        <v>10411.290000000001</v>
      </c>
      <c r="K1983" s="2">
        <v>9.6199999999999992</v>
      </c>
      <c r="L1983" s="3">
        <v>442257.02</v>
      </c>
      <c r="M1983">
        <v>46086</v>
      </c>
      <c r="N1983" s="1" t="s">
        <v>24</v>
      </c>
      <c r="O1983" s="1" t="s">
        <v>35</v>
      </c>
      <c r="P1983" s="1" t="s">
        <v>36</v>
      </c>
    </row>
    <row r="1984" spans="1:16" x14ac:dyDescent="0.25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>
        <v>6</v>
      </c>
      <c r="J1984" s="3">
        <v>9987.16</v>
      </c>
      <c r="K1984" s="2">
        <v>10.93</v>
      </c>
      <c r="L1984" s="3">
        <v>53373.38</v>
      </c>
      <c r="M1984">
        <v>46368</v>
      </c>
      <c r="N1984" s="1" t="s">
        <v>45</v>
      </c>
      <c r="O1984" s="1" t="s">
        <v>35</v>
      </c>
      <c r="P1984" s="1" t="s">
        <v>26</v>
      </c>
    </row>
    <row r="1985" spans="1:16" x14ac:dyDescent="0.25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>
        <v>1</v>
      </c>
      <c r="J1985" s="3">
        <v>14848.22</v>
      </c>
      <c r="K1985" s="2">
        <v>15.62</v>
      </c>
      <c r="L1985" s="3">
        <v>12528.93</v>
      </c>
      <c r="M1985">
        <v>46071</v>
      </c>
      <c r="N1985" s="1" t="s">
        <v>58</v>
      </c>
      <c r="O1985" s="1" t="s">
        <v>35</v>
      </c>
      <c r="P1985" s="1" t="s">
        <v>36</v>
      </c>
    </row>
    <row r="1986" spans="1:16" x14ac:dyDescent="0.25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>
        <v>42</v>
      </c>
      <c r="J1986" s="3">
        <v>22380.799999999999</v>
      </c>
      <c r="K1986" s="2">
        <v>4.92</v>
      </c>
      <c r="L1986" s="3">
        <v>893745.91</v>
      </c>
      <c r="M1986">
        <v>46247</v>
      </c>
      <c r="N1986" s="1" t="s">
        <v>45</v>
      </c>
      <c r="O1986" s="1" t="s">
        <v>35</v>
      </c>
      <c r="P1986" s="1" t="s">
        <v>36</v>
      </c>
    </row>
    <row r="1987" spans="1:16" x14ac:dyDescent="0.25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>
        <v>38</v>
      </c>
      <c r="J1987" s="3">
        <v>48592.67</v>
      </c>
      <c r="K1987" s="2">
        <v>10.93</v>
      </c>
      <c r="L1987" s="3">
        <v>1644696.66</v>
      </c>
      <c r="M1987">
        <v>46088</v>
      </c>
      <c r="N1987" s="1" t="s">
        <v>113</v>
      </c>
      <c r="O1987" s="1" t="s">
        <v>35</v>
      </c>
      <c r="P1987" s="1" t="s">
        <v>53</v>
      </c>
    </row>
    <row r="1988" spans="1:16" x14ac:dyDescent="0.25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>
        <v>41</v>
      </c>
      <c r="J1988" s="3">
        <v>27558.880000000001</v>
      </c>
      <c r="K1988" s="2">
        <v>10.15</v>
      </c>
      <c r="L1988" s="3">
        <v>1015227.8</v>
      </c>
      <c r="M1988">
        <v>46057</v>
      </c>
      <c r="N1988" s="1" t="s">
        <v>24</v>
      </c>
      <c r="O1988" s="1" t="s">
        <v>35</v>
      </c>
      <c r="P1988" s="1" t="s">
        <v>36</v>
      </c>
    </row>
    <row r="1989" spans="1:16" x14ac:dyDescent="0.25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>
        <v>41</v>
      </c>
      <c r="J1989" s="3">
        <v>29285.03</v>
      </c>
      <c r="K1989" s="2">
        <v>5.53</v>
      </c>
      <c r="L1989" s="3">
        <v>1134288.28</v>
      </c>
      <c r="M1989">
        <v>46324</v>
      </c>
      <c r="N1989" s="1" t="s">
        <v>113</v>
      </c>
      <c r="O1989" s="1" t="s">
        <v>35</v>
      </c>
      <c r="P1989" s="1" t="s">
        <v>53</v>
      </c>
    </row>
    <row r="1990" spans="1:16" x14ac:dyDescent="0.25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>
        <v>35</v>
      </c>
      <c r="J1990" s="3">
        <v>41126.480000000003</v>
      </c>
      <c r="K1990" s="2">
        <v>6.53</v>
      </c>
      <c r="L1990" s="3">
        <v>1345432.23</v>
      </c>
      <c r="M1990">
        <v>46327</v>
      </c>
      <c r="N1990" s="1" t="s">
        <v>113</v>
      </c>
      <c r="O1990" s="1" t="s">
        <v>35</v>
      </c>
      <c r="P1990" s="1" t="s">
        <v>26</v>
      </c>
    </row>
    <row r="1991" spans="1:16" x14ac:dyDescent="0.25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>
        <v>14</v>
      </c>
      <c r="J1991" s="3">
        <v>47593.77</v>
      </c>
      <c r="K1991" s="2">
        <v>3.01</v>
      </c>
      <c r="L1991" s="3">
        <v>646256.77</v>
      </c>
      <c r="M1991">
        <v>46256</v>
      </c>
      <c r="N1991" s="1" t="s">
        <v>58</v>
      </c>
      <c r="O1991" s="1" t="s">
        <v>35</v>
      </c>
      <c r="P1991" s="1" t="s">
        <v>26</v>
      </c>
    </row>
    <row r="1992" spans="1:16" x14ac:dyDescent="0.25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>
        <v>11</v>
      </c>
      <c r="J1992" s="3">
        <v>29766.44</v>
      </c>
      <c r="K1992" s="2">
        <v>18.79</v>
      </c>
      <c r="L1992" s="3">
        <v>265906.59000000003</v>
      </c>
      <c r="M1992">
        <v>46154</v>
      </c>
      <c r="N1992" s="1" t="s">
        <v>58</v>
      </c>
      <c r="O1992" s="1" t="s">
        <v>25</v>
      </c>
      <c r="P1992" s="1" t="s">
        <v>26</v>
      </c>
    </row>
    <row r="1993" spans="1:16" x14ac:dyDescent="0.25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>
        <v>22</v>
      </c>
      <c r="J1993" s="3">
        <v>34942.25</v>
      </c>
      <c r="K1993" s="2">
        <v>10.87</v>
      </c>
      <c r="L1993" s="3">
        <v>685168.6</v>
      </c>
      <c r="M1993">
        <v>46348</v>
      </c>
      <c r="N1993" s="1" t="s">
        <v>113</v>
      </c>
      <c r="O1993" s="1" t="s">
        <v>35</v>
      </c>
      <c r="P1993" s="1" t="s">
        <v>53</v>
      </c>
    </row>
    <row r="1994" spans="1:16" x14ac:dyDescent="0.25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>
        <v>3</v>
      </c>
      <c r="J1994" s="3">
        <v>42854.74</v>
      </c>
      <c r="K1994" s="2">
        <v>15.06</v>
      </c>
      <c r="L1994" s="3">
        <v>109202.45</v>
      </c>
      <c r="M1994">
        <v>46311</v>
      </c>
      <c r="N1994" s="1" t="s">
        <v>24</v>
      </c>
      <c r="O1994" s="1" t="s">
        <v>35</v>
      </c>
      <c r="P1994" s="1" t="s">
        <v>36</v>
      </c>
    </row>
    <row r="1995" spans="1:16" x14ac:dyDescent="0.25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>
        <v>35</v>
      </c>
      <c r="J1995" s="3">
        <v>8000.68</v>
      </c>
      <c r="K1995" s="2">
        <v>6.14</v>
      </c>
      <c r="L1995" s="3">
        <v>262830.34000000003</v>
      </c>
      <c r="M1995">
        <v>46290</v>
      </c>
      <c r="N1995" s="1" t="s">
        <v>45</v>
      </c>
      <c r="O1995" s="1" t="s">
        <v>35</v>
      </c>
      <c r="P1995" s="1" t="s">
        <v>53</v>
      </c>
    </row>
    <row r="1996" spans="1:16" x14ac:dyDescent="0.25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>
        <v>23</v>
      </c>
      <c r="J1996" s="3">
        <v>14352.83</v>
      </c>
      <c r="K1996" s="2">
        <v>10.39</v>
      </c>
      <c r="L1996" s="3">
        <v>295816.13</v>
      </c>
      <c r="M1996">
        <v>46313</v>
      </c>
      <c r="N1996" s="1" t="s">
        <v>45</v>
      </c>
      <c r="O1996" s="1" t="s">
        <v>59</v>
      </c>
      <c r="P1996" s="1" t="s">
        <v>26</v>
      </c>
    </row>
    <row r="1997" spans="1:16" x14ac:dyDescent="0.25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>
        <v>8</v>
      </c>
      <c r="J1997" s="3">
        <v>4660.47</v>
      </c>
      <c r="K1997" s="2">
        <v>5.51</v>
      </c>
      <c r="L1997" s="3">
        <v>35229.42</v>
      </c>
      <c r="M1997">
        <v>46291</v>
      </c>
      <c r="N1997" s="1" t="s">
        <v>45</v>
      </c>
      <c r="O1997" s="1" t="s">
        <v>35</v>
      </c>
      <c r="P1997" s="1" t="s">
        <v>36</v>
      </c>
    </row>
    <row r="1998" spans="1:16" x14ac:dyDescent="0.25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>
        <v>20</v>
      </c>
      <c r="J1998" s="3">
        <v>28772.35</v>
      </c>
      <c r="K1998" s="2">
        <v>7.65</v>
      </c>
      <c r="L1998" s="3">
        <v>531425.30000000005</v>
      </c>
      <c r="M1998">
        <v>46380</v>
      </c>
      <c r="N1998" s="1" t="s">
        <v>113</v>
      </c>
      <c r="O1998" s="1" t="s">
        <v>35</v>
      </c>
      <c r="P1998" s="1" t="s">
        <v>36</v>
      </c>
    </row>
    <row r="1999" spans="1:16" x14ac:dyDescent="0.25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>
        <v>10</v>
      </c>
      <c r="J1999" s="3">
        <v>46935.95</v>
      </c>
      <c r="K1999" s="2">
        <v>11.06</v>
      </c>
      <c r="L1999" s="3">
        <v>417448.34</v>
      </c>
      <c r="M1999">
        <v>46250</v>
      </c>
      <c r="N1999" s="1" t="s">
        <v>68</v>
      </c>
      <c r="O1999" s="1" t="s">
        <v>35</v>
      </c>
      <c r="P1999" s="1" t="s">
        <v>26</v>
      </c>
    </row>
    <row r="2000" spans="1:16" x14ac:dyDescent="0.25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>
        <v>38</v>
      </c>
      <c r="J2000" s="3">
        <v>19072.13</v>
      </c>
      <c r="K2000" s="2">
        <v>10.44</v>
      </c>
      <c r="L2000" s="3">
        <v>649077.99</v>
      </c>
      <c r="M2000">
        <v>46110</v>
      </c>
      <c r="N2000" s="1" t="s">
        <v>113</v>
      </c>
      <c r="O2000" s="1" t="s">
        <v>35</v>
      </c>
      <c r="P2000" s="1" t="s">
        <v>53</v>
      </c>
    </row>
    <row r="2001" spans="1:16" x14ac:dyDescent="0.25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>
        <v>47</v>
      </c>
      <c r="J2001" s="3">
        <v>6728.51</v>
      </c>
      <c r="K2001" s="2">
        <v>5.14</v>
      </c>
      <c r="L2001" s="3">
        <v>299985.24</v>
      </c>
      <c r="M2001">
        <v>46032</v>
      </c>
      <c r="N2001" s="1" t="s">
        <v>58</v>
      </c>
      <c r="O2001" s="1" t="s">
        <v>35</v>
      </c>
      <c r="P200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BDC2-7505-4F3A-8899-9456F5CF04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ADF93F-9C2F-4E05-A308-C2519F0AD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Excel_Advanced_Sales_Datase (2)</vt:lpstr>
      <vt:lpstr>Excel_Advanced_Sales_Dataset_20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</dc:creator>
  <cp:lastModifiedBy>ASDC12</cp:lastModifiedBy>
  <dcterms:created xsi:type="dcterms:W3CDTF">2026-02-22T05:12:49Z</dcterms:created>
  <dcterms:modified xsi:type="dcterms:W3CDTF">2026-02-22T06:38:54Z</dcterms:modified>
</cp:coreProperties>
</file>