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iraj\OneDrive\Desktop\GITHUB\Data analytics\data-analytics\"/>
    </mc:Choice>
  </mc:AlternateContent>
  <xr:revisionPtr revIDLastSave="0" documentId="8_{66A175B9-CF67-453F-8A85-B40934C8587B}" xr6:coauthVersionLast="47" xr6:coauthVersionMax="47" xr10:uidLastSave="{00000000-0000-0000-0000-000000000000}"/>
  <bookViews>
    <workbookView xWindow="-108" yWindow="-108" windowWidth="23256" windowHeight="12456" activeTab="4" xr2:uid="{9E319662-0A05-4F31-93C0-A54C3B81900A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B3" i="3"/>
  <c r="B4" i="3"/>
  <c r="B5" i="3"/>
  <c r="B6" i="3"/>
  <c r="B7" i="3"/>
  <c r="D3" i="5"/>
  <c r="D4" i="5"/>
  <c r="D5" i="5"/>
  <c r="D6" i="5"/>
  <c r="D7" i="5"/>
  <c r="C3" i="5"/>
  <c r="C4" i="5"/>
  <c r="C5" i="5"/>
  <c r="C6" i="5"/>
  <c r="C7" i="5"/>
  <c r="B4" i="5"/>
  <c r="B5" i="5"/>
  <c r="B6" i="5"/>
  <c r="B7" i="5"/>
  <c r="B3" i="5"/>
  <c r="D4" i="4"/>
  <c r="D5" i="4"/>
  <c r="D6" i="4"/>
  <c r="D7" i="4"/>
  <c r="D3" i="4"/>
  <c r="C4" i="4"/>
  <c r="C5" i="4"/>
  <c r="C6" i="4"/>
  <c r="C7" i="4"/>
  <c r="C3" i="4"/>
  <c r="B4" i="4"/>
  <c r="B5" i="4"/>
  <c r="B6" i="4"/>
  <c r="B7" i="4"/>
  <c r="B3" i="4"/>
  <c r="D4" i="2"/>
  <c r="D5" i="2"/>
  <c r="D6" i="2"/>
  <c r="D7" i="2"/>
  <c r="D3" i="2"/>
  <c r="C4" i="2"/>
  <c r="C5" i="2"/>
  <c r="C6" i="2"/>
  <c r="C7" i="2"/>
  <c r="C3" i="2"/>
  <c r="B4" i="2"/>
  <c r="B5" i="2"/>
  <c r="B6" i="2"/>
  <c r="B7" i="2"/>
  <c r="B3" i="2"/>
  <c r="D4" i="1"/>
  <c r="D5" i="1"/>
  <c r="D6" i="1"/>
  <c r="D7" i="1"/>
  <c r="D3" i="1"/>
  <c r="C4" i="1"/>
  <c r="C5" i="1"/>
  <c r="C6" i="1"/>
  <c r="C7" i="1"/>
  <c r="C3" i="1"/>
  <c r="B4" i="1"/>
  <c r="B5" i="1"/>
  <c r="B6" i="1"/>
  <c r="B7" i="1"/>
  <c r="B3" i="1"/>
</calcChain>
</file>

<file path=xl/sharedStrings.xml><?xml version="1.0" encoding="utf-8"?>
<sst xmlns="http://schemas.openxmlformats.org/spreadsheetml/2006/main" count="54" uniqueCount="53">
  <si>
    <t>Task 1: Product Codes Split</t>
  </si>
  <si>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</si>
  <si>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</si>
  <si>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</si>
  <si>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</si>
  <si>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</si>
  <si>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</si>
  <si>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</si>
  <si>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</si>
  <si>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</si>
  <si>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Task
Category: Extract first part before "-" using LEFT + FIND
Product Number: Extract middle digits using MID + FIND
Country Code: Extract last two letters using RIGHT</t>
  </si>
  <si>
    <t>Task 2: Customer Names Formatting</t>
  </si>
  <si>
    <t>Customer Name</t>
  </si>
  <si>
    <t>Clean Name</t>
  </si>
  <si>
    <t>Upper Case</t>
  </si>
  <si>
    <t>Proper Case</t>
  </si>
  <si>
    <t>john DOE</t>
  </si>
  <si>
    <t>mary jane</t>
  </si>
  <si>
    <t>robert smith</t>
  </si>
  <si>
    <t>lisa Ann</t>
  </si>
  <si>
    <t>david BROWN</t>
  </si>
  <si>
    <t>Task
Remove extra spaces using TRIM
Convert names to UPPER
Convert names to PROPER</t>
  </si>
  <si>
    <t>Task 3: Website URL Split</t>
  </si>
  <si>
    <t>URL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</si>
  <si>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</si>
  <si>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</si>
  <si>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</si>
  <si>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</si>
  <si>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</si>
  <si>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</si>
  <si>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t>Task
Extract domain name (between www. and last .) using MID + FIND + SUBSTITUTE
Extract extension (after last .) using RIGHT + FIND</t>
  </si>
  <si>
    <t>Task 4: Invoice IDs</t>
  </si>
  <si>
    <t>Invoice ID</t>
  </si>
  <si>
    <t>Prefix</t>
  </si>
  <si>
    <t>Number</t>
  </si>
  <si>
    <t>Suffix</t>
  </si>
  <si>
    <t>INV-202301-US</t>
  </si>
  <si>
    <t>INV-202302-UK</t>
  </si>
  <si>
    <t>INV-202303-IN</t>
  </si>
  <si>
    <t>INV-202304-AU</t>
  </si>
  <si>
    <t>INV-202305-US</t>
  </si>
  <si>
    <t>Task
Prefix: Extract “INV” using LEFT
Number: Extract 6-digit number in middle using MID
Suffix: Extract last two letters using RIGHT</t>
  </si>
  <si>
    <t>Task 5: Phone Numbers Clean-up</t>
  </si>
  <si>
    <t>Raw Phone</t>
  </si>
  <si>
    <t>Clean Phone</t>
  </si>
  <si>
    <t>+1 987-654-3210</t>
  </si>
  <si>
    <t>+44 123-456-7890</t>
  </si>
  <si>
    <t>+91 98765-43210</t>
  </si>
  <si>
    <t>+61 412-345-678</t>
  </si>
  <si>
    <t>+49 151-234-5678</t>
  </si>
  <si>
    <t>Task
Remove spaces and dashes using SUBSTITUTE and TRIM
Extract country code using LEFT + FIND
Extract phone number using MID + LEN</t>
  </si>
  <si>
    <t>Country code</t>
  </si>
  <si>
    <t>Domain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</si>
</sst>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.5"/>
      <color rgb="FF1F2328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.5"/>
      <color theme="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 indent="1"/>
    </xf>
    <xf numFmtId="0" fontId="4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1" applyFill="1" applyBorder="1" applyAlignment="1">
      <alignment horizontal="left" vertical="center" wrapText="1" indent="1"/>
    </xf>
    <xf numFmtId="0" fontId="1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 indent="1"/>
    </xf>
    <xf numFmtId="0" fontId="1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left" vertical="center" wrapText="1" indent="1"/>
    </xf>
    <xf numFmtId="0" fontId="4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ample.org/" TargetMode="External"/><Relationship Id="rId2" Type="http://schemas.openxmlformats.org/officeDocument/2006/relationships/hyperlink" Target="https://www.amazon.in/" TargetMode="External"/><Relationship Id="rId1" Type="http://schemas.openxmlformats.org/officeDocument/2006/relationships/hyperlink" Target="https://www.google.com/" TargetMode="External"/><Relationship Id="rId5" Type="http://schemas.openxmlformats.org/officeDocument/2006/relationships/hyperlink" Target="http://www.company.co.uk/" TargetMode="External"/><Relationship Id="rId4" Type="http://schemas.openxmlformats.org/officeDocument/2006/relationships/hyperlink" Target="https://www.wikipe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98D1-4F85-4197-8C08-9ABF7299CA9E}">
  <dimension ref="A1:K7"/>
  <sheetViews>
    <sheetView workbookViewId="0">
      <selection activeCell="A2" sqref="A2:D7"/>
    </sheetView>
  </sheetViews>
  <sheetFormatPr defaultRowHeight="14.4" x14ac:dyDescent="0.3"/>
  <cols>
    <col min="1" max="1" width="14.88671875" customWidth="1"/>
    <col min="2" max="2" width="11.6640625" customWidth="1"/>
    <col min="11" max="11" width="12.44140625" customWidth="1"/>
  </cols>
  <sheetData>
    <row r="1" spans="1:11" ht="25.2" x14ac:dyDescent="0.3">
      <c r="A1" s="5" t="s">
        <v>0</v>
      </c>
      <c r="B1" s="5"/>
      <c r="C1" s="5"/>
      <c r="D1" s="5"/>
    </row>
    <row r="2" spans="1:11" ht="28.8" x14ac:dyDescent="0.3">
      <c r="A2" s="6" t="s">
        <v>1</v>
      </c>
      <c r="B2" s="6" t="s">
        <v>2</v>
      </c>
      <c r="C2" s="6" t="s">
        <v>3</v>
      </c>
      <c r="D2" s="6" t="s">
        <v>4</v>
      </c>
      <c r="G2" s="3" t="s">
        <v>10</v>
      </c>
      <c r="H2" s="4"/>
      <c r="I2" s="4"/>
      <c r="J2" s="4"/>
      <c r="K2" s="4"/>
    </row>
    <row r="3" spans="1:11" x14ac:dyDescent="0.3">
      <c r="A3" s="7" t="s">
        <v>5</v>
      </c>
      <c r="B3" s="7" t="str">
        <f>LEFT(A3,4)</f>
        <v>ELEC</v>
      </c>
      <c r="C3" s="7" t="str">
        <f>MID(A3,6,4)</f>
        <v>1023</v>
      </c>
      <c r="D3" s="7" t="str">
        <f>RIGHT(A3,2)</f>
        <v>US</v>
      </c>
      <c r="G3" s="4"/>
      <c r="H3" s="4"/>
      <c r="I3" s="4"/>
      <c r="J3" s="4"/>
      <c r="K3" s="4"/>
    </row>
    <row r="4" spans="1:11" x14ac:dyDescent="0.3">
      <c r="A4" s="7" t="s">
        <v>6</v>
      </c>
      <c r="B4" s="7" t="str">
        <f t="shared" ref="B4:B7" si="0">LEFT(A4,4)</f>
        <v>FASH</v>
      </c>
      <c r="C4" s="7" t="str">
        <f t="shared" ref="C4:C7" si="1">MID(A4,6,4)</f>
        <v>2045</v>
      </c>
      <c r="D4" s="7" t="str">
        <f t="shared" ref="D4:D7" si="2">RIGHT(A4,2)</f>
        <v>UK</v>
      </c>
      <c r="G4" s="4"/>
      <c r="H4" s="4"/>
      <c r="I4" s="4"/>
      <c r="J4" s="4"/>
      <c r="K4" s="4"/>
    </row>
    <row r="5" spans="1:11" x14ac:dyDescent="0.3">
      <c r="A5" s="7" t="s">
        <v>7</v>
      </c>
      <c r="B5" s="7" t="str">
        <f t="shared" si="0"/>
        <v>TOYS</v>
      </c>
      <c r="C5" s="7" t="str">
        <f t="shared" si="1"/>
        <v>3098</v>
      </c>
      <c r="D5" s="7" t="str">
        <f t="shared" si="2"/>
        <v>IN</v>
      </c>
      <c r="G5" s="4"/>
      <c r="H5" s="4"/>
      <c r="I5" s="4"/>
      <c r="J5" s="4"/>
      <c r="K5" s="4"/>
    </row>
    <row r="6" spans="1:11" ht="14.4" customHeight="1" x14ac:dyDescent="0.3">
      <c r="A6" s="7" t="s">
        <v>8</v>
      </c>
      <c r="B6" s="7" t="str">
        <f t="shared" si="0"/>
        <v>FOOD</v>
      </c>
      <c r="C6" s="7" t="str">
        <f t="shared" si="1"/>
        <v>4512</v>
      </c>
      <c r="D6" s="7" t="str">
        <f t="shared" si="2"/>
        <v>AU</v>
      </c>
      <c r="G6" s="4"/>
      <c r="H6" s="4"/>
      <c r="I6" s="4"/>
      <c r="J6" s="4"/>
      <c r="K6" s="4"/>
    </row>
    <row r="7" spans="1:11" ht="16.8" customHeight="1" x14ac:dyDescent="0.3">
      <c r="A7" s="7" t="s">
        <v>9</v>
      </c>
      <c r="B7" s="7" t="str">
        <f t="shared" si="0"/>
        <v>HOME</v>
      </c>
      <c r="C7" s="7" t="str">
        <f t="shared" si="1"/>
        <v>5679</v>
      </c>
      <c r="D7" s="7" t="str">
        <f t="shared" si="2"/>
        <v>US</v>
      </c>
      <c r="G7" s="4"/>
      <c r="H7" s="4"/>
      <c r="I7" s="4"/>
      <c r="J7" s="4"/>
      <c r="K7" s="4"/>
    </row>
  </sheetData>
  <mergeCells count="2">
    <mergeCell ref="A1:D1"/>
    <mergeCell ref="G2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DE20-CAD5-44F7-BF42-2DF64013F3BE}">
  <dimension ref="A1:K7"/>
  <sheetViews>
    <sheetView workbookViewId="0">
      <selection activeCell="A2" sqref="A2:D7"/>
    </sheetView>
  </sheetViews>
  <sheetFormatPr defaultRowHeight="14.4" x14ac:dyDescent="0.3"/>
  <cols>
    <col min="1" max="1" width="17.88671875" customWidth="1"/>
    <col min="2" max="2" width="12.33203125" customWidth="1"/>
    <col min="3" max="3" width="15" customWidth="1"/>
    <col min="4" max="4" width="13.21875" customWidth="1"/>
  </cols>
  <sheetData>
    <row r="1" spans="1:11" ht="25.2" x14ac:dyDescent="0.3">
      <c r="A1" s="11" t="s">
        <v>11</v>
      </c>
      <c r="B1" s="11"/>
      <c r="C1" s="11"/>
      <c r="D1" s="11"/>
    </row>
    <row r="2" spans="1:11" x14ac:dyDescent="0.3">
      <c r="A2" s="12" t="s">
        <v>12</v>
      </c>
      <c r="B2" s="12" t="s">
        <v>13</v>
      </c>
      <c r="C2" s="12" t="s">
        <v>14</v>
      </c>
      <c r="D2" s="12" t="s">
        <v>15</v>
      </c>
    </row>
    <row r="3" spans="1:11" ht="18.600000000000001" customHeight="1" x14ac:dyDescent="0.3">
      <c r="A3" s="13" t="s">
        <v>16</v>
      </c>
      <c r="B3" s="13" t="str">
        <f>TRIM(A3)</f>
        <v>john DOE</v>
      </c>
      <c r="C3" s="13" t="str">
        <f>UPPER(A3)</f>
        <v>JOHN DOE</v>
      </c>
      <c r="D3" s="13" t="str">
        <f>PROPER(A3)</f>
        <v>John Doe</v>
      </c>
      <c r="H3" s="3" t="s">
        <v>21</v>
      </c>
      <c r="I3" s="4"/>
      <c r="J3" s="4"/>
      <c r="K3" s="4"/>
    </row>
    <row r="4" spans="1:11" x14ac:dyDescent="0.3">
      <c r="A4" s="13" t="s">
        <v>17</v>
      </c>
      <c r="B4" s="13" t="str">
        <f t="shared" ref="B4:B7" si="0">TRIM(A4)</f>
        <v>mary jane</v>
      </c>
      <c r="C4" s="13" t="str">
        <f t="shared" ref="C4:C7" si="1">UPPER(A4)</f>
        <v>MARY JANE</v>
      </c>
      <c r="D4" s="13" t="str">
        <f t="shared" ref="D4:D7" si="2">PROPER(A4)</f>
        <v>Mary Jane</v>
      </c>
      <c r="H4" s="4"/>
      <c r="I4" s="4"/>
      <c r="J4" s="4"/>
      <c r="K4" s="4"/>
    </row>
    <row r="5" spans="1:11" x14ac:dyDescent="0.3">
      <c r="A5" s="13" t="s">
        <v>18</v>
      </c>
      <c r="B5" s="13" t="str">
        <f t="shared" si="0"/>
        <v>robert smith</v>
      </c>
      <c r="C5" s="13" t="str">
        <f t="shared" si="1"/>
        <v>ROBERT SMITH</v>
      </c>
      <c r="D5" s="13" t="str">
        <f t="shared" si="2"/>
        <v>Robert Smith</v>
      </c>
      <c r="H5" s="4"/>
      <c r="I5" s="4"/>
      <c r="J5" s="4"/>
      <c r="K5" s="4"/>
    </row>
    <row r="6" spans="1:11" x14ac:dyDescent="0.3">
      <c r="A6" s="13" t="s">
        <v>19</v>
      </c>
      <c r="B6" s="13" t="str">
        <f t="shared" si="0"/>
        <v>lisa Ann</v>
      </c>
      <c r="C6" s="13" t="str">
        <f t="shared" si="1"/>
        <v>LISA ANN</v>
      </c>
      <c r="D6" s="13" t="str">
        <f t="shared" si="2"/>
        <v>Lisa Ann</v>
      </c>
      <c r="H6" s="4"/>
      <c r="I6" s="4"/>
      <c r="J6" s="4"/>
      <c r="K6" s="4"/>
    </row>
    <row r="7" spans="1:11" ht="19.2" customHeight="1" x14ac:dyDescent="0.3">
      <c r="A7" s="13" t="s">
        <v>20</v>
      </c>
      <c r="B7" s="13" t="str">
        <f t="shared" si="0"/>
        <v>david BROWN</v>
      </c>
      <c r="C7" s="13" t="str">
        <f t="shared" si="1"/>
        <v>DAVID BROWN</v>
      </c>
      <c r="D7" s="13" t="str">
        <f t="shared" si="2"/>
        <v>David Brown</v>
      </c>
      <c r="H7" s="4"/>
      <c r="I7" s="4"/>
      <c r="J7" s="4"/>
      <c r="K7" s="4"/>
    </row>
  </sheetData>
  <mergeCells count="2">
    <mergeCell ref="A1:D1"/>
    <mergeCell ref="H3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450D-782A-4F48-9BF2-70C35676230C}">
  <dimension ref="A1:J7"/>
  <sheetViews>
    <sheetView zoomScale="131" workbookViewId="0">
      <selection activeCell="A2" sqref="A2:C7"/>
    </sheetView>
  </sheetViews>
  <sheetFormatPr defaultRowHeight="14.4" x14ac:dyDescent="0.3"/>
  <cols>
    <col min="1" max="1" width="26.5546875" customWidth="1"/>
    <col min="2" max="2" width="14.88671875" customWidth="1"/>
    <col min="3" max="3" width="10.5546875" customWidth="1"/>
  </cols>
  <sheetData>
    <row r="1" spans="1:10" ht="25.8" thickBot="1" x14ac:dyDescent="0.35">
      <c r="A1" s="8" t="s">
        <v>22</v>
      </c>
      <c r="B1" s="8"/>
      <c r="C1" s="8"/>
    </row>
    <row r="2" spans="1:10" ht="15" thickBot="1" x14ac:dyDescent="0.35">
      <c r="A2" s="9" t="s">
        <v>23</v>
      </c>
      <c r="B2" s="9" t="s">
        <v>52</v>
      </c>
      <c r="C2" s="9" t="s">
        <v>24</v>
      </c>
    </row>
    <row r="3" spans="1:10" ht="15" customHeight="1" thickBot="1" x14ac:dyDescent="0.35">
      <c r="A3" s="10" t="s">
        <v>25</v>
      </c>
      <c r="B3" s="9" t="str">
        <f t="shared" ref="B3:B7" si="0">MID(
 A3,
 FIND("www.",A3)+4,
 FIND(".",A3,FIND("www.",A3)+4) - FIND("www.",A3) - 4
)</f>
        <v>google</v>
      </c>
      <c r="C3" s="9" t="str">
        <f t="shared" ref="C3:C7" si="1">RIGHT(A3, LEN(A3) - FIND("@", SUBSTITUTE(A3,".","@",LEN(A3)-LEN(SUBSTITUTE(A3,".","")))))</f>
        <v>com</v>
      </c>
      <c r="F3" s="2" t="s">
        <v>30</v>
      </c>
      <c r="G3" s="2"/>
      <c r="H3" s="2"/>
      <c r="I3" s="2"/>
      <c r="J3" s="2"/>
    </row>
    <row r="4" spans="1:10" ht="15" thickBot="1" x14ac:dyDescent="0.35">
      <c r="A4" s="10" t="s">
        <v>26</v>
      </c>
      <c r="B4" s="9" t="str">
        <f t="shared" si="0"/>
        <v>amazon</v>
      </c>
      <c r="C4" s="9" t="str">
        <f t="shared" si="1"/>
        <v>in</v>
      </c>
      <c r="F4" s="2"/>
      <c r="G4" s="2"/>
      <c r="H4" s="2"/>
      <c r="I4" s="2"/>
      <c r="J4" s="2"/>
    </row>
    <row r="5" spans="1:10" ht="15" thickBot="1" x14ac:dyDescent="0.35">
      <c r="A5" s="10" t="s">
        <v>27</v>
      </c>
      <c r="B5" s="9" t="str">
        <f t="shared" si="0"/>
        <v>example</v>
      </c>
      <c r="C5" s="9" t="str">
        <f t="shared" si="1"/>
        <v>org</v>
      </c>
      <c r="F5" s="2"/>
      <c r="G5" s="2"/>
      <c r="H5" s="2"/>
      <c r="I5" s="2"/>
      <c r="J5" s="2"/>
    </row>
    <row r="6" spans="1:10" ht="15" thickBot="1" x14ac:dyDescent="0.35">
      <c r="A6" s="10" t="s">
        <v>28</v>
      </c>
      <c r="B6" s="9" t="str">
        <f t="shared" si="0"/>
        <v>wikipedia</v>
      </c>
      <c r="C6" s="9" t="str">
        <f t="shared" si="1"/>
        <v>org</v>
      </c>
      <c r="F6" s="2"/>
      <c r="G6" s="2"/>
      <c r="H6" s="2"/>
      <c r="I6" s="2"/>
      <c r="J6" s="2"/>
    </row>
    <row r="7" spans="1:10" ht="15" thickBot="1" x14ac:dyDescent="0.35">
      <c r="A7" s="10" t="s">
        <v>29</v>
      </c>
      <c r="B7" s="9" t="str">
        <f t="shared" si="0"/>
        <v>company</v>
      </c>
      <c r="C7" s="9" t="str">
        <f t="shared" si="1"/>
        <v>uk</v>
      </c>
    </row>
  </sheetData>
  <mergeCells count="2">
    <mergeCell ref="A1:C1"/>
    <mergeCell ref="F3:J6"/>
  </mergeCells>
  <hyperlinks>
    <hyperlink ref="A3" r:id="rId1" display="https://www.google.com/" xr:uid="{8E0F20C8-FBA1-4D3E-885A-F7F6C97DF968}"/>
    <hyperlink ref="A4" r:id="rId2" display="https://www.amazon.in/" xr:uid="{FE8045EC-9CA5-4C12-A2A8-C62FB43841D8}"/>
    <hyperlink ref="A5" r:id="rId3" display="http://www.example.org/" xr:uid="{EF186A11-C346-4D55-A131-6FCCDF49F20B}"/>
    <hyperlink ref="A6" r:id="rId4" display="https://www.wikipedia.org/" xr:uid="{474A65A9-FB48-49EC-BA0A-CEF2BDBE6F9C}"/>
    <hyperlink ref="A7" r:id="rId5" display="http://www.company.co.uk/" xr:uid="{858EA924-5A39-455C-BF01-72D196E5E8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043B-369A-4B89-9791-981A6BCF00F4}">
  <dimension ref="A1:J7"/>
  <sheetViews>
    <sheetView workbookViewId="0">
      <selection activeCell="A2" sqref="A2:D7"/>
    </sheetView>
  </sheetViews>
  <sheetFormatPr defaultRowHeight="14.4" x14ac:dyDescent="0.3"/>
  <cols>
    <col min="1" max="1" width="18" customWidth="1"/>
    <col min="2" max="2" width="13.88671875" customWidth="1"/>
    <col min="3" max="4" width="10.88671875" customWidth="1"/>
  </cols>
  <sheetData>
    <row r="1" spans="1:10" ht="25.2" x14ac:dyDescent="0.3">
      <c r="A1" s="14" t="s">
        <v>31</v>
      </c>
      <c r="B1" s="14"/>
      <c r="C1" s="14"/>
      <c r="D1" s="14"/>
    </row>
    <row r="2" spans="1:10" x14ac:dyDescent="0.3">
      <c r="A2" s="15" t="s">
        <v>32</v>
      </c>
      <c r="B2" s="15" t="s">
        <v>33</v>
      </c>
      <c r="C2" s="15" t="s">
        <v>34</v>
      </c>
      <c r="D2" s="15" t="s">
        <v>35</v>
      </c>
      <c r="G2" s="2" t="s">
        <v>41</v>
      </c>
      <c r="H2" s="1"/>
      <c r="I2" s="1"/>
      <c r="J2" s="1"/>
    </row>
    <row r="3" spans="1:10" x14ac:dyDescent="0.3">
      <c r="A3" s="16" t="s">
        <v>36</v>
      </c>
      <c r="B3" s="16" t="str">
        <f>LEFT(A3,3)</f>
        <v>INV</v>
      </c>
      <c r="C3" s="16" t="str">
        <f>MID(A3,5,6)</f>
        <v>202301</v>
      </c>
      <c r="D3" s="16" t="str">
        <f>RIGHT(A3,2)</f>
        <v>US</v>
      </c>
      <c r="G3" s="1"/>
      <c r="H3" s="1"/>
      <c r="I3" s="1"/>
      <c r="J3" s="1"/>
    </row>
    <row r="4" spans="1:10" x14ac:dyDescent="0.3">
      <c r="A4" s="16" t="s">
        <v>37</v>
      </c>
      <c r="B4" s="16" t="str">
        <f t="shared" ref="B4:B7" si="0">LEFT(A4,3)</f>
        <v>INV</v>
      </c>
      <c r="C4" s="16" t="str">
        <f t="shared" ref="C4:C7" si="1">MID(A4,5,6)</f>
        <v>202302</v>
      </c>
      <c r="D4" s="16" t="str">
        <f t="shared" ref="D4:D7" si="2">RIGHT(A4,2)</f>
        <v>UK</v>
      </c>
      <c r="G4" s="1"/>
      <c r="H4" s="1"/>
      <c r="I4" s="1"/>
      <c r="J4" s="1"/>
    </row>
    <row r="5" spans="1:10" x14ac:dyDescent="0.3">
      <c r="A5" s="16" t="s">
        <v>38</v>
      </c>
      <c r="B5" s="16" t="str">
        <f t="shared" si="0"/>
        <v>INV</v>
      </c>
      <c r="C5" s="16" t="str">
        <f t="shared" si="1"/>
        <v>202303</v>
      </c>
      <c r="D5" s="16" t="str">
        <f t="shared" si="2"/>
        <v>IN</v>
      </c>
      <c r="G5" s="1"/>
      <c r="H5" s="1"/>
      <c r="I5" s="1"/>
      <c r="J5" s="1"/>
    </row>
    <row r="6" spans="1:10" x14ac:dyDescent="0.3">
      <c r="A6" s="16" t="s">
        <v>39</v>
      </c>
      <c r="B6" s="16" t="str">
        <f t="shared" si="0"/>
        <v>INV</v>
      </c>
      <c r="C6" s="16" t="str">
        <f t="shared" si="1"/>
        <v>202304</v>
      </c>
      <c r="D6" s="16" t="str">
        <f t="shared" si="2"/>
        <v>AU</v>
      </c>
      <c r="G6" s="1"/>
      <c r="H6" s="1"/>
      <c r="I6" s="1"/>
      <c r="J6" s="1"/>
    </row>
    <row r="7" spans="1:10" x14ac:dyDescent="0.3">
      <c r="A7" s="16" t="s">
        <v>40</v>
      </c>
      <c r="B7" s="16" t="str">
        <f t="shared" si="0"/>
        <v>INV</v>
      </c>
      <c r="C7" s="16" t="str">
        <f t="shared" si="1"/>
        <v>202305</v>
      </c>
      <c r="D7" s="16" t="str">
        <f t="shared" si="2"/>
        <v>US</v>
      </c>
    </row>
  </sheetData>
  <mergeCells count="2">
    <mergeCell ref="A1:D1"/>
    <mergeCell ref="G2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3E40-EA3D-4CBF-8583-56BC3D931B51}">
  <dimension ref="A1:J7"/>
  <sheetViews>
    <sheetView tabSelected="1" workbookViewId="0">
      <selection activeCell="A2" sqref="A2:D7"/>
    </sheetView>
  </sheetViews>
  <sheetFormatPr defaultRowHeight="14.4" x14ac:dyDescent="0.3"/>
  <cols>
    <col min="1" max="1" width="18.44140625" customWidth="1"/>
    <col min="2" max="2" width="18.77734375" customWidth="1"/>
    <col min="3" max="3" width="14.33203125" customWidth="1"/>
    <col min="4" max="4" width="10.5546875" customWidth="1"/>
  </cols>
  <sheetData>
    <row r="1" spans="1:10" ht="25.2" x14ac:dyDescent="0.3">
      <c r="A1" s="17" t="s">
        <v>42</v>
      </c>
      <c r="B1" s="17"/>
      <c r="C1" s="17"/>
      <c r="D1" s="17"/>
    </row>
    <row r="2" spans="1:10" x14ac:dyDescent="0.3">
      <c r="A2" s="18" t="s">
        <v>43</v>
      </c>
      <c r="B2" s="18" t="s">
        <v>44</v>
      </c>
      <c r="C2" s="18" t="s">
        <v>51</v>
      </c>
      <c r="D2" s="18" t="s">
        <v>34</v>
      </c>
      <c r="G2" s="2" t="s">
        <v>50</v>
      </c>
      <c r="H2" s="1"/>
      <c r="I2" s="1"/>
      <c r="J2" s="1"/>
    </row>
    <row r="3" spans="1:10" x14ac:dyDescent="0.3">
      <c r="A3" s="19" t="s">
        <v>45</v>
      </c>
      <c r="B3" s="19" t="str">
        <f>SUBSTITUTE(SUBSTITUTE(TRIM(A3)," ",""),"-","")</f>
        <v>+19876543210</v>
      </c>
      <c r="C3" s="18" t="str">
        <f t="shared" ref="C3:C7" si="0">LEFT(A3, FIND(" ", A3)-1)</f>
        <v>+1</v>
      </c>
      <c r="D3" s="18" t="str">
        <f t="shared" ref="D3:D7" si="1">SUBSTITUTE(SUBSTITUTE(MID(A3, FIND(" ", A3)+1, LEN(A3))," ",""),"-","")</f>
        <v>9876543210</v>
      </c>
      <c r="G3" s="1"/>
      <c r="H3" s="1"/>
      <c r="I3" s="1"/>
      <c r="J3" s="1"/>
    </row>
    <row r="4" spans="1:10" x14ac:dyDescent="0.3">
      <c r="A4" s="19" t="s">
        <v>46</v>
      </c>
      <c r="B4" s="19" t="str">
        <f t="shared" ref="B4:B7" si="2">SUBSTITUTE(SUBSTITUTE(TRIM(A4)," ",""),"-","")</f>
        <v>+441234567890</v>
      </c>
      <c r="C4" s="18" t="str">
        <f t="shared" si="0"/>
        <v>+44</v>
      </c>
      <c r="D4" s="18" t="str">
        <f t="shared" si="1"/>
        <v>1234567890</v>
      </c>
      <c r="G4" s="1"/>
      <c r="H4" s="1"/>
      <c r="I4" s="1"/>
      <c r="J4" s="1"/>
    </row>
    <row r="5" spans="1:10" x14ac:dyDescent="0.3">
      <c r="A5" s="19" t="s">
        <v>47</v>
      </c>
      <c r="B5" s="19" t="str">
        <f t="shared" si="2"/>
        <v>+919876543210</v>
      </c>
      <c r="C5" s="18" t="str">
        <f t="shared" si="0"/>
        <v>+91</v>
      </c>
      <c r="D5" s="18" t="str">
        <f t="shared" si="1"/>
        <v>9876543210</v>
      </c>
      <c r="G5" s="1"/>
      <c r="H5" s="1"/>
      <c r="I5" s="1"/>
      <c r="J5" s="1"/>
    </row>
    <row r="6" spans="1:10" x14ac:dyDescent="0.3">
      <c r="A6" s="19" t="s">
        <v>48</v>
      </c>
      <c r="B6" s="19" t="str">
        <f t="shared" si="2"/>
        <v>+61412345678</v>
      </c>
      <c r="C6" s="18" t="str">
        <f t="shared" si="0"/>
        <v>+61</v>
      </c>
      <c r="D6" s="18" t="str">
        <f t="shared" si="1"/>
        <v>412345678</v>
      </c>
      <c r="G6" s="1"/>
      <c r="H6" s="1"/>
      <c r="I6" s="1"/>
      <c r="J6" s="1"/>
    </row>
    <row r="7" spans="1:10" x14ac:dyDescent="0.3">
      <c r="A7" s="19" t="s">
        <v>49</v>
      </c>
      <c r="B7" s="19" t="str">
        <f t="shared" si="2"/>
        <v>+491512345678</v>
      </c>
      <c r="C7" s="18" t="str">
        <f t="shared" si="0"/>
        <v>+49</v>
      </c>
      <c r="D7" s="18" t="str">
        <f t="shared" si="1"/>
        <v>1512345678</v>
      </c>
    </row>
  </sheetData>
  <mergeCells count="2">
    <mergeCell ref="A1:D1"/>
    <mergeCell ref="G2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kothari</dc:creator>
  <cp:lastModifiedBy>priyansh kothari</cp:lastModifiedBy>
  <dcterms:created xsi:type="dcterms:W3CDTF">2026-01-25T17:40:41Z</dcterms:created>
  <dcterms:modified xsi:type="dcterms:W3CDTF">2026-01-25T19:33:18Z</dcterms:modified>
</cp:coreProperties>
</file>