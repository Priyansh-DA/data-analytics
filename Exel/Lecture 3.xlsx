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data-analytics\"/>
    </mc:Choice>
  </mc:AlternateContent>
  <xr:revisionPtr revIDLastSave="0" documentId="13_ncr:1_{F435DFA7-A734-4332-86FF-E43E87A3A2CC}" xr6:coauthVersionLast="47" xr6:coauthVersionMax="47" xr10:uidLastSave="{00000000-0000-0000-0000-000000000000}"/>
  <bookViews>
    <workbookView xWindow="-120" yWindow="-120" windowWidth="29040" windowHeight="15720" activeTab="4" xr2:uid="{E4A290C0-C0E9-47D1-9B19-756BA0574DDF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<sst xmlns="http://schemas.openxmlformats.org/spreadsheetml/2006/main" count="171" uniqueCount="56">
  <si>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</si>
  <si>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</si>
  <si>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</si>
  <si>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</si>
  <si>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</si>
  <si>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</si>
  <si>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</si>
  <si>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</si>
  <si>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</si>
  <si>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1: Pass / Fail using IF</t>
  </si>
  <si>
    <t>Jyoti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</si>
  <si>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</si>
  <si>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</si>
  <si>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</si>
  <si>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</si>
  <si>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</si>
  <si>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</si>
  <si>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</si>
  <si>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</si>
  <si>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</si>
  <si>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Priyanshi</t>
  </si>
  <si>
    <t>Viraj</t>
  </si>
  <si>
    <t>Task
-If Marks ≥ 40 → Pass
-Else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</si>
  <si>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</si>
  <si>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</si>
  <si>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</si>
  <si>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</si>
  <si>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</si>
  <si>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</si>
  <si>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</si>
  <si>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</si>
  <si>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Task
Salary ≥ 40000 → Bonus
Else → No Bonus</t>
  </si>
  <si>
    <t>Task 3: Grade Calculation (Nested IF)</t>
  </si>
  <si>
    <t>Grade</t>
  </si>
  <si>
    <t>Task
≥ 75 → A
≥ 60 → B
≥ 40 → C
&lt; 40 → Fail</t>
  </si>
  <si>
    <t>Task 4: Job Eligibility (AND)</t>
  </si>
  <si>
    <t>Name</t>
  </si>
  <si>
    <t>Age</t>
  </si>
  <si>
    <t>Experience (Years)</t>
  </si>
  <si>
    <t>Eligible</t>
  </si>
  <si>
    <t>Task
Age ≥ 21 AND Experience ≥ 1 → Eligible</t>
  </si>
  <si>
    <t>Task 5: Exam Eligibility (AND)</t>
  </si>
  <si>
    <t>Attendance %</t>
  </si>
  <si>
    <t>Assignment Submitted</t>
  </si>
  <si>
    <t>Yes</t>
  </si>
  <si>
    <t>No</t>
  </si>
  <si>
    <t>Task
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</si>
  <si>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</si>
  <si>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</si>
  <si>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</si>
  <si>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</si>
  <si>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</si>
  <si>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</si>
  <si>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</si>
  <si>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 6: Discount Logic</t>
  </si>
  <si>
    <t>Task
Purchase ≥ 10000 OR Membership =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</si>
</sst>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13.75"/>
      <color theme="1"/>
      <name val="Segoe UI"/>
      <family val="2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left" vertical="center" wrapText="1" indent="1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 inden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 indent="1"/>
    </xf>
    <xf numFmtId="0" fontId="0" fillId="13" borderId="1" xfId="0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DB34-AB82-4B7A-B04F-A1E8D953E001}">
  <dimension ref="A1:M20"/>
  <sheetViews>
    <sheetView workbookViewId="0">
      <selection activeCell="F26" sqref="F26"/>
    </sheetView>
  </sheetViews>
  <sheetFormatPr defaultRowHeight="15" x14ac:dyDescent="0.25"/>
  <sheetData>
    <row r="1" spans="1:13" ht="46.5" customHeight="1" x14ac:dyDescent="0.25">
      <c r="A1" s="25" t="s">
        <v>9</v>
      </c>
      <c r="B1" s="25"/>
      <c r="C1" s="25"/>
      <c r="D1" s="25"/>
    </row>
    <row r="2" spans="1:13" ht="30" x14ac:dyDescent="0.25">
      <c r="A2" s="1" t="s">
        <v>0</v>
      </c>
      <c r="B2" s="1" t="s">
        <v>1</v>
      </c>
      <c r="C2" s="2" t="s">
        <v>2</v>
      </c>
      <c r="D2" s="1" t="s">
        <v>3</v>
      </c>
    </row>
    <row r="3" spans="1:13" x14ac:dyDescent="0.25">
      <c r="A3" s="3">
        <v>1</v>
      </c>
      <c r="B3" s="3" t="s">
        <v>4</v>
      </c>
      <c r="C3" s="4">
        <v>78</v>
      </c>
      <c r="D3" s="3" t="str">
        <f>IF(C3&gt;=33,"Pass","Fail")</f>
        <v>Pass</v>
      </c>
    </row>
    <row r="4" spans="1:13" x14ac:dyDescent="0.25">
      <c r="A4" s="3">
        <v>2</v>
      </c>
      <c r="B4" s="3" t="s">
        <v>5</v>
      </c>
      <c r="C4" s="4">
        <v>35</v>
      </c>
      <c r="D4" s="3" t="str">
        <f t="shared" ref="D4:D20" si="0">IF(C4&gt;=33,"Pass","Fail")</f>
        <v>Pass</v>
      </c>
    </row>
    <row r="5" spans="1:13" x14ac:dyDescent="0.25">
      <c r="A5" s="3">
        <v>3</v>
      </c>
      <c r="B5" s="3" t="s">
        <v>6</v>
      </c>
      <c r="C5" s="4">
        <v>62</v>
      </c>
      <c r="D5" s="3" t="str">
        <f t="shared" si="0"/>
        <v>Pass</v>
      </c>
    </row>
    <row r="6" spans="1:13" x14ac:dyDescent="0.25">
      <c r="A6" s="3">
        <v>4</v>
      </c>
      <c r="B6" s="3" t="s">
        <v>7</v>
      </c>
      <c r="C6" s="4">
        <v>40</v>
      </c>
      <c r="D6" s="3" t="str">
        <f t="shared" si="0"/>
        <v>Pass</v>
      </c>
    </row>
    <row r="7" spans="1:13" x14ac:dyDescent="0.25">
      <c r="A7" s="3">
        <v>5</v>
      </c>
      <c r="B7" s="3" t="s">
        <v>8</v>
      </c>
      <c r="C7" s="4">
        <v>28</v>
      </c>
      <c r="D7" s="3" t="str">
        <f t="shared" si="0"/>
        <v>Fail</v>
      </c>
    </row>
    <row r="8" spans="1:13" x14ac:dyDescent="0.25">
      <c r="A8" s="3">
        <v>6</v>
      </c>
      <c r="B8" s="5" t="s">
        <v>10</v>
      </c>
      <c r="C8" s="6">
        <v>41</v>
      </c>
      <c r="D8" s="3" t="str">
        <f t="shared" si="0"/>
        <v>Pass</v>
      </c>
      <c r="I8" s="26" t="s">
        <v>22</v>
      </c>
      <c r="J8" s="26"/>
      <c r="K8" s="26"/>
      <c r="L8" s="26"/>
      <c r="M8" s="26"/>
    </row>
    <row r="9" spans="1:13" ht="15" customHeight="1" x14ac:dyDescent="0.25">
      <c r="A9" s="3">
        <v>7</v>
      </c>
      <c r="B9" s="5" t="s">
        <v>11</v>
      </c>
      <c r="C9" s="6">
        <v>75</v>
      </c>
      <c r="D9" s="3" t="str">
        <f t="shared" si="0"/>
        <v>Pass</v>
      </c>
      <c r="I9" s="26"/>
      <c r="J9" s="26"/>
      <c r="K9" s="26"/>
      <c r="L9" s="26"/>
      <c r="M9" s="26"/>
    </row>
    <row r="10" spans="1:13" ht="17.25" customHeight="1" x14ac:dyDescent="0.25">
      <c r="A10" s="3">
        <v>8</v>
      </c>
      <c r="B10" s="5" t="s">
        <v>12</v>
      </c>
      <c r="C10" s="6">
        <v>62</v>
      </c>
      <c r="D10" s="3" t="str">
        <f t="shared" si="0"/>
        <v>Pass</v>
      </c>
      <c r="I10" s="26"/>
      <c r="J10" s="26"/>
      <c r="K10" s="26"/>
      <c r="L10" s="26"/>
      <c r="M10" s="26"/>
    </row>
    <row r="11" spans="1:13" ht="15" customHeight="1" x14ac:dyDescent="0.25">
      <c r="A11" s="3">
        <v>9</v>
      </c>
      <c r="B11" s="5" t="s">
        <v>13</v>
      </c>
      <c r="C11" s="6">
        <v>65</v>
      </c>
      <c r="D11" s="3" t="str">
        <f t="shared" si="0"/>
        <v>Pass</v>
      </c>
      <c r="I11" s="26"/>
      <c r="J11" s="26"/>
      <c r="K11" s="26"/>
      <c r="L11" s="26"/>
      <c r="M11" s="26"/>
    </row>
    <row r="12" spans="1:13" ht="15" customHeight="1" x14ac:dyDescent="0.25">
      <c r="A12" s="3">
        <v>10</v>
      </c>
      <c r="B12" s="5" t="s">
        <v>14</v>
      </c>
      <c r="C12" s="6">
        <v>33</v>
      </c>
      <c r="D12" s="3" t="str">
        <f t="shared" si="0"/>
        <v>Pass</v>
      </c>
      <c r="I12" s="26"/>
      <c r="J12" s="26"/>
      <c r="K12" s="26"/>
      <c r="L12" s="26"/>
      <c r="M12" s="26"/>
    </row>
    <row r="13" spans="1:13" ht="15" customHeight="1" x14ac:dyDescent="0.25">
      <c r="A13" s="3">
        <v>11</v>
      </c>
      <c r="B13" s="5" t="s">
        <v>15</v>
      </c>
      <c r="C13" s="6">
        <v>32</v>
      </c>
      <c r="D13" s="3" t="str">
        <f t="shared" si="0"/>
        <v>Fail</v>
      </c>
      <c r="I13" s="26"/>
      <c r="J13" s="26"/>
      <c r="K13" s="26"/>
      <c r="L13" s="26"/>
      <c r="M13" s="26"/>
    </row>
    <row r="14" spans="1:13" x14ac:dyDescent="0.25">
      <c r="A14" s="3">
        <v>12</v>
      </c>
      <c r="B14" s="5" t="s">
        <v>11</v>
      </c>
      <c r="C14" s="6">
        <v>77</v>
      </c>
      <c r="D14" s="3" t="str">
        <f t="shared" si="0"/>
        <v>Pass</v>
      </c>
    </row>
    <row r="15" spans="1:13" x14ac:dyDescent="0.25">
      <c r="A15" s="3">
        <v>13</v>
      </c>
      <c r="B15" s="5" t="s">
        <v>16</v>
      </c>
      <c r="C15" s="6">
        <v>33</v>
      </c>
      <c r="D15" s="3" t="str">
        <f t="shared" si="0"/>
        <v>Pass</v>
      </c>
    </row>
    <row r="16" spans="1:13" x14ac:dyDescent="0.25">
      <c r="A16" s="3">
        <v>14</v>
      </c>
      <c r="B16" s="5" t="s">
        <v>17</v>
      </c>
      <c r="C16" s="6">
        <v>28</v>
      </c>
      <c r="D16" s="3" t="str">
        <f t="shared" si="0"/>
        <v>Fail</v>
      </c>
    </row>
    <row r="17" spans="1:4" x14ac:dyDescent="0.25">
      <c r="A17" s="3">
        <v>15</v>
      </c>
      <c r="B17" s="5" t="s">
        <v>18</v>
      </c>
      <c r="C17" s="6">
        <v>80</v>
      </c>
      <c r="D17" s="3" t="str">
        <f t="shared" si="0"/>
        <v>Pass</v>
      </c>
    </row>
    <row r="18" spans="1:4" x14ac:dyDescent="0.25">
      <c r="A18" s="3">
        <v>16</v>
      </c>
      <c r="B18" s="5" t="s">
        <v>19</v>
      </c>
      <c r="C18" s="6">
        <v>56</v>
      </c>
      <c r="D18" s="3" t="str">
        <f t="shared" si="0"/>
        <v>Pass</v>
      </c>
    </row>
    <row r="19" spans="1:4" x14ac:dyDescent="0.25">
      <c r="A19" s="3">
        <v>17</v>
      </c>
      <c r="B19" s="5" t="s">
        <v>20</v>
      </c>
      <c r="C19" s="6">
        <v>91</v>
      </c>
      <c r="D19" s="3" t="str">
        <f t="shared" si="0"/>
        <v>Pass</v>
      </c>
    </row>
    <row r="20" spans="1:4" x14ac:dyDescent="0.25">
      <c r="A20" s="3">
        <v>18</v>
      </c>
      <c r="B20" s="5" t="s">
        <v>21</v>
      </c>
      <c r="C20" s="6">
        <v>66</v>
      </c>
      <c r="D20" s="3" t="str">
        <f t="shared" si="0"/>
        <v>Pass</v>
      </c>
    </row>
  </sheetData>
  <mergeCells count="2">
    <mergeCell ref="A1:D1"/>
    <mergeCell ref="I8:M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ADBF-EF89-461E-88F1-90E1CCA2CA90}">
  <dimension ref="A1:K19"/>
  <sheetViews>
    <sheetView workbookViewId="0">
      <selection activeCell="G26" sqref="G26"/>
    </sheetView>
  </sheetViews>
  <sheetFormatPr defaultRowHeight="15" x14ac:dyDescent="0.25"/>
  <cols>
    <col min="1" max="1" width="11" customWidth="1"/>
    <col min="2" max="2" width="7.28515625" bestFit="1" customWidth="1"/>
    <col min="3" max="3" width="10.7109375" bestFit="1" customWidth="1"/>
  </cols>
  <sheetData>
    <row r="1" spans="1:11" ht="45.75" customHeight="1" x14ac:dyDescent="0.25">
      <c r="A1" s="27" t="s">
        <v>23</v>
      </c>
      <c r="B1" s="27"/>
      <c r="C1" s="27"/>
    </row>
    <row r="2" spans="1:11" ht="30" x14ac:dyDescent="0.25">
      <c r="A2" s="7" t="s">
        <v>24</v>
      </c>
      <c r="B2" s="7" t="s">
        <v>25</v>
      </c>
      <c r="C2" s="7" t="s">
        <v>26</v>
      </c>
    </row>
    <row r="3" spans="1:11" x14ac:dyDescent="0.25">
      <c r="A3" s="8" t="s">
        <v>27</v>
      </c>
      <c r="B3" s="8">
        <v>28000</v>
      </c>
      <c r="C3" s="8" t="str">
        <f>IF(B3&gt;=40000,"Bonus","No Bonus")</f>
        <v>No Bonus</v>
      </c>
      <c r="H3" s="26" t="s">
        <v>31</v>
      </c>
      <c r="I3" s="26"/>
      <c r="J3" s="26"/>
      <c r="K3" s="26"/>
    </row>
    <row r="4" spans="1:11" x14ac:dyDescent="0.25">
      <c r="A4" s="8" t="s">
        <v>28</v>
      </c>
      <c r="B4" s="8">
        <v>45000</v>
      </c>
      <c r="C4" s="8" t="str">
        <f t="shared" ref="C4:C19" si="0">IF(B4&gt;=40000,"Bonus","No Bonus")</f>
        <v>Bonus</v>
      </c>
      <c r="H4" s="26"/>
      <c r="I4" s="26"/>
      <c r="J4" s="26"/>
      <c r="K4" s="26"/>
    </row>
    <row r="5" spans="1:11" x14ac:dyDescent="0.25">
      <c r="A5" s="8" t="s">
        <v>29</v>
      </c>
      <c r="B5" s="8">
        <v>52000</v>
      </c>
      <c r="C5" s="8" t="str">
        <f t="shared" si="0"/>
        <v>Bonus</v>
      </c>
      <c r="H5" s="26"/>
      <c r="I5" s="26"/>
      <c r="J5" s="26"/>
      <c r="K5" s="26"/>
    </row>
    <row r="6" spans="1:11" ht="15" customHeight="1" x14ac:dyDescent="0.25">
      <c r="A6" s="8" t="s">
        <v>30</v>
      </c>
      <c r="B6" s="8">
        <v>30000</v>
      </c>
      <c r="C6" s="8" t="str">
        <f t="shared" si="0"/>
        <v>No Bonus</v>
      </c>
      <c r="H6" s="26"/>
      <c r="I6" s="26"/>
      <c r="J6" s="26"/>
      <c r="K6" s="26"/>
    </row>
    <row r="7" spans="1:11" ht="15" customHeight="1" x14ac:dyDescent="0.25">
      <c r="A7" s="9" t="s">
        <v>10</v>
      </c>
      <c r="B7" s="9">
        <v>36065</v>
      </c>
      <c r="C7" s="8" t="str">
        <f t="shared" si="0"/>
        <v>No Bonus</v>
      </c>
      <c r="H7" s="26"/>
      <c r="I7" s="26"/>
      <c r="J7" s="26"/>
      <c r="K7" s="26"/>
    </row>
    <row r="8" spans="1:11" ht="15" customHeight="1" x14ac:dyDescent="0.25">
      <c r="A8" s="9" t="s">
        <v>11</v>
      </c>
      <c r="B8" s="9">
        <v>32454</v>
      </c>
      <c r="C8" s="8" t="str">
        <f t="shared" si="0"/>
        <v>No Bonus</v>
      </c>
      <c r="H8" s="26"/>
      <c r="I8" s="26"/>
      <c r="J8" s="26"/>
      <c r="K8" s="26"/>
    </row>
    <row r="9" spans="1:11" x14ac:dyDescent="0.25">
      <c r="A9" s="9" t="s">
        <v>12</v>
      </c>
      <c r="B9" s="9">
        <v>51518</v>
      </c>
      <c r="C9" s="8" t="str">
        <f t="shared" si="0"/>
        <v>Bonus</v>
      </c>
      <c r="H9" s="26"/>
      <c r="I9" s="26"/>
      <c r="J9" s="26"/>
      <c r="K9" s="26"/>
    </row>
    <row r="10" spans="1:11" x14ac:dyDescent="0.25">
      <c r="A10" s="9" t="s">
        <v>13</v>
      </c>
      <c r="B10" s="9">
        <v>46569</v>
      </c>
      <c r="C10" s="8" t="str">
        <f t="shared" si="0"/>
        <v>Bonus</v>
      </c>
      <c r="H10" s="26"/>
      <c r="I10" s="26"/>
      <c r="J10" s="26"/>
      <c r="K10" s="26"/>
    </row>
    <row r="11" spans="1:11" x14ac:dyDescent="0.25">
      <c r="A11" s="9" t="s">
        <v>14</v>
      </c>
      <c r="B11" s="9">
        <v>53508</v>
      </c>
      <c r="C11" s="8" t="str">
        <f t="shared" si="0"/>
        <v>Bonus</v>
      </c>
    </row>
    <row r="12" spans="1:11" x14ac:dyDescent="0.25">
      <c r="A12" s="9" t="s">
        <v>15</v>
      </c>
      <c r="B12" s="9">
        <v>41575</v>
      </c>
      <c r="C12" s="8" t="str">
        <f t="shared" si="0"/>
        <v>Bonus</v>
      </c>
    </row>
    <row r="13" spans="1:11" x14ac:dyDescent="0.25">
      <c r="A13" s="9" t="s">
        <v>11</v>
      </c>
      <c r="B13" s="9">
        <v>26426</v>
      </c>
      <c r="C13" s="8" t="str">
        <f t="shared" si="0"/>
        <v>No Bonus</v>
      </c>
    </row>
    <row r="14" spans="1:11" x14ac:dyDescent="0.25">
      <c r="A14" s="9" t="s">
        <v>16</v>
      </c>
      <c r="B14" s="9">
        <v>54814</v>
      </c>
      <c r="C14" s="8" t="str">
        <f t="shared" si="0"/>
        <v>Bonus</v>
      </c>
    </row>
    <row r="15" spans="1:11" x14ac:dyDescent="0.25">
      <c r="A15" s="9" t="s">
        <v>17</v>
      </c>
      <c r="B15" s="9">
        <v>59882</v>
      </c>
      <c r="C15" s="8" t="str">
        <f t="shared" si="0"/>
        <v>Bonus</v>
      </c>
    </row>
    <row r="16" spans="1:11" x14ac:dyDescent="0.25">
      <c r="A16" s="9" t="s">
        <v>18</v>
      </c>
      <c r="B16" s="9">
        <v>59784</v>
      </c>
      <c r="C16" s="8" t="str">
        <f t="shared" si="0"/>
        <v>Bonus</v>
      </c>
    </row>
    <row r="17" spans="1:3" x14ac:dyDescent="0.25">
      <c r="A17" s="9" t="s">
        <v>19</v>
      </c>
      <c r="B17" s="9">
        <v>35250</v>
      </c>
      <c r="C17" s="8" t="str">
        <f t="shared" si="0"/>
        <v>No Bonus</v>
      </c>
    </row>
    <row r="18" spans="1:3" x14ac:dyDescent="0.25">
      <c r="A18" s="9" t="s">
        <v>20</v>
      </c>
      <c r="B18" s="9">
        <v>52635</v>
      </c>
      <c r="C18" s="8" t="str">
        <f t="shared" si="0"/>
        <v>Bonus</v>
      </c>
    </row>
    <row r="19" spans="1:3" x14ac:dyDescent="0.25">
      <c r="A19" s="9" t="s">
        <v>21</v>
      </c>
      <c r="B19" s="9">
        <v>37063</v>
      </c>
      <c r="C19" s="8" t="str">
        <f t="shared" si="0"/>
        <v>No Bonus</v>
      </c>
    </row>
  </sheetData>
  <mergeCells count="2">
    <mergeCell ref="A1:C1"/>
    <mergeCell ref="H3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8F69-4347-4040-94D2-F329E397D0E3}">
  <dimension ref="A1:K21"/>
  <sheetViews>
    <sheetView workbookViewId="0">
      <selection activeCell="F27" sqref="F27"/>
    </sheetView>
  </sheetViews>
  <sheetFormatPr defaultRowHeight="15" x14ac:dyDescent="0.25"/>
  <sheetData>
    <row r="1" spans="1:11" ht="24.75" x14ac:dyDescent="0.25">
      <c r="A1" s="28" t="s">
        <v>32</v>
      </c>
      <c r="B1" s="28"/>
      <c r="C1" s="28"/>
    </row>
    <row r="2" spans="1:11" ht="30" x14ac:dyDescent="0.25">
      <c r="A2" s="12" t="s">
        <v>1</v>
      </c>
      <c r="B2" s="12" t="s">
        <v>2</v>
      </c>
      <c r="C2" s="12" t="s">
        <v>33</v>
      </c>
    </row>
    <row r="3" spans="1:11" x14ac:dyDescent="0.25">
      <c r="A3" s="10" t="s">
        <v>4</v>
      </c>
      <c r="B3" s="14">
        <v>82</v>
      </c>
      <c r="C3" s="10" t="str">
        <f>IF(B3&gt;=75,"A",IF(B3&gt;=60,"B",IF(B3&gt;=40,"C","Fail")))</f>
        <v>A</v>
      </c>
    </row>
    <row r="4" spans="1:11" x14ac:dyDescent="0.25">
      <c r="A4" s="10" t="s">
        <v>5</v>
      </c>
      <c r="B4" s="14">
        <v>67</v>
      </c>
      <c r="C4" s="10" t="str">
        <f t="shared" ref="C4:C21" si="0">IF(B4&gt;=75,"A",IF(B4&gt;=60,"B",IF(B4&gt;=40,"C","Fail")))</f>
        <v>B</v>
      </c>
    </row>
    <row r="5" spans="1:11" x14ac:dyDescent="0.25">
      <c r="A5" s="10" t="s">
        <v>6</v>
      </c>
      <c r="B5" s="14">
        <v>45</v>
      </c>
      <c r="C5" s="10" t="str">
        <f t="shared" si="0"/>
        <v>C</v>
      </c>
    </row>
    <row r="6" spans="1:11" x14ac:dyDescent="0.25">
      <c r="A6" s="10" t="s">
        <v>7</v>
      </c>
      <c r="B6" s="14">
        <v>33</v>
      </c>
      <c r="C6" s="10" t="str">
        <f t="shared" si="0"/>
        <v>Fail</v>
      </c>
    </row>
    <row r="7" spans="1:11" x14ac:dyDescent="0.25">
      <c r="A7" s="10" t="s">
        <v>8</v>
      </c>
      <c r="B7" s="14">
        <v>90</v>
      </c>
      <c r="C7" s="10" t="str">
        <f t="shared" si="0"/>
        <v>A</v>
      </c>
    </row>
    <row r="8" spans="1:11" x14ac:dyDescent="0.25">
      <c r="A8" s="10" t="s">
        <v>30</v>
      </c>
      <c r="B8" s="13">
        <v>29</v>
      </c>
      <c r="C8" s="10" t="str">
        <f t="shared" si="0"/>
        <v>Fail</v>
      </c>
    </row>
    <row r="9" spans="1:11" x14ac:dyDescent="0.25">
      <c r="A9" s="11" t="s">
        <v>10</v>
      </c>
      <c r="B9" s="13">
        <v>20</v>
      </c>
      <c r="C9" s="10" t="str">
        <f t="shared" si="0"/>
        <v>Fail</v>
      </c>
    </row>
    <row r="10" spans="1:11" ht="15" customHeight="1" x14ac:dyDescent="0.25">
      <c r="A10" s="11" t="s">
        <v>11</v>
      </c>
      <c r="B10" s="13">
        <v>42</v>
      </c>
      <c r="C10" s="10" t="str">
        <f t="shared" si="0"/>
        <v>C</v>
      </c>
      <c r="H10" s="26" t="s">
        <v>34</v>
      </c>
      <c r="I10" s="26"/>
      <c r="J10" s="26"/>
      <c r="K10" s="26"/>
    </row>
    <row r="11" spans="1:11" ht="15" customHeight="1" x14ac:dyDescent="0.25">
      <c r="A11" s="11" t="s">
        <v>12</v>
      </c>
      <c r="B11" s="13">
        <v>82</v>
      </c>
      <c r="C11" s="10" t="str">
        <f t="shared" si="0"/>
        <v>A</v>
      </c>
      <c r="H11" s="26"/>
      <c r="I11" s="26"/>
      <c r="J11" s="26"/>
      <c r="K11" s="26"/>
    </row>
    <row r="12" spans="1:11" ht="15" customHeight="1" x14ac:dyDescent="0.25">
      <c r="A12" s="11" t="s">
        <v>13</v>
      </c>
      <c r="B12" s="13">
        <v>54</v>
      </c>
      <c r="C12" s="10" t="str">
        <f t="shared" si="0"/>
        <v>C</v>
      </c>
      <c r="H12" s="26"/>
      <c r="I12" s="26"/>
      <c r="J12" s="26"/>
      <c r="K12" s="26"/>
    </row>
    <row r="13" spans="1:11" ht="15" customHeight="1" x14ac:dyDescent="0.25">
      <c r="A13" s="11" t="s">
        <v>14</v>
      </c>
      <c r="B13" s="13">
        <v>78</v>
      </c>
      <c r="C13" s="10" t="str">
        <f t="shared" si="0"/>
        <v>A</v>
      </c>
      <c r="H13" s="26"/>
      <c r="I13" s="26"/>
      <c r="J13" s="26"/>
      <c r="K13" s="26"/>
    </row>
    <row r="14" spans="1:11" ht="15" customHeight="1" x14ac:dyDescent="0.25">
      <c r="A14" s="11" t="s">
        <v>15</v>
      </c>
      <c r="B14" s="13">
        <v>60</v>
      </c>
      <c r="C14" s="10" t="str">
        <f t="shared" si="0"/>
        <v>B</v>
      </c>
      <c r="H14" s="26"/>
      <c r="I14" s="26"/>
      <c r="J14" s="26"/>
      <c r="K14" s="26"/>
    </row>
    <row r="15" spans="1:11" x14ac:dyDescent="0.25">
      <c r="A15" s="11" t="s">
        <v>11</v>
      </c>
      <c r="B15" s="13">
        <v>75</v>
      </c>
      <c r="C15" s="10" t="str">
        <f t="shared" si="0"/>
        <v>A</v>
      </c>
      <c r="H15" s="26"/>
      <c r="I15" s="26"/>
      <c r="J15" s="26"/>
      <c r="K15" s="26"/>
    </row>
    <row r="16" spans="1:11" x14ac:dyDescent="0.25">
      <c r="A16" s="11" t="s">
        <v>16</v>
      </c>
      <c r="B16" s="13">
        <v>40</v>
      </c>
      <c r="C16" s="10" t="str">
        <f t="shared" si="0"/>
        <v>C</v>
      </c>
      <c r="H16" s="26"/>
      <c r="I16" s="26"/>
      <c r="J16" s="26"/>
      <c r="K16" s="26"/>
    </row>
    <row r="17" spans="1:3" x14ac:dyDescent="0.25">
      <c r="A17" s="11" t="s">
        <v>17</v>
      </c>
      <c r="B17" s="13">
        <v>48</v>
      </c>
      <c r="C17" s="10" t="str">
        <f t="shared" si="0"/>
        <v>C</v>
      </c>
    </row>
    <row r="18" spans="1:3" x14ac:dyDescent="0.25">
      <c r="A18" s="11" t="s">
        <v>18</v>
      </c>
      <c r="B18" s="13">
        <v>90</v>
      </c>
      <c r="C18" s="10" t="str">
        <f t="shared" si="0"/>
        <v>A</v>
      </c>
    </row>
    <row r="19" spans="1:3" x14ac:dyDescent="0.25">
      <c r="A19" s="11" t="s">
        <v>19</v>
      </c>
      <c r="B19" s="13">
        <v>81</v>
      </c>
      <c r="C19" s="10" t="str">
        <f t="shared" si="0"/>
        <v>A</v>
      </c>
    </row>
    <row r="20" spans="1:3" x14ac:dyDescent="0.25">
      <c r="A20" s="11" t="s">
        <v>20</v>
      </c>
      <c r="B20" s="13">
        <v>56</v>
      </c>
      <c r="C20" s="10" t="str">
        <f t="shared" si="0"/>
        <v>C</v>
      </c>
    </row>
    <row r="21" spans="1:3" x14ac:dyDescent="0.25">
      <c r="A21" s="11" t="s">
        <v>21</v>
      </c>
      <c r="B21" s="13">
        <v>22</v>
      </c>
      <c r="C21" s="10" t="str">
        <f t="shared" si="0"/>
        <v>Fail</v>
      </c>
    </row>
  </sheetData>
  <mergeCells count="2">
    <mergeCell ref="A1:C1"/>
    <mergeCell ref="H10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CB8A-20D3-4606-B932-7D2A6B4DB468}">
  <dimension ref="A1:L21"/>
  <sheetViews>
    <sheetView workbookViewId="0">
      <selection activeCell="D5" sqref="D5"/>
    </sheetView>
  </sheetViews>
  <sheetFormatPr defaultRowHeight="15" x14ac:dyDescent="0.25"/>
  <cols>
    <col min="3" max="3" width="13.42578125" customWidth="1"/>
    <col min="4" max="4" width="17.140625" customWidth="1"/>
  </cols>
  <sheetData>
    <row r="1" spans="1:12" ht="24.75" x14ac:dyDescent="0.25">
      <c r="A1" s="29" t="s">
        <v>35</v>
      </c>
      <c r="B1" s="29"/>
      <c r="C1" s="29"/>
      <c r="D1" s="29"/>
    </row>
    <row r="2" spans="1:12" ht="30" x14ac:dyDescent="0.25">
      <c r="A2" s="15" t="s">
        <v>36</v>
      </c>
      <c r="B2" s="15" t="s">
        <v>37</v>
      </c>
      <c r="C2" s="15" t="s">
        <v>38</v>
      </c>
      <c r="D2" s="15" t="s">
        <v>39</v>
      </c>
    </row>
    <row r="3" spans="1:12" x14ac:dyDescent="0.25">
      <c r="A3" s="16" t="s">
        <v>27</v>
      </c>
      <c r="B3" s="18">
        <v>25</v>
      </c>
      <c r="C3" s="18">
        <v>2</v>
      </c>
      <c r="D3" s="16" t="str">
        <f>IF(AND(B3&gt;=21,C3&gt;=1),"Eligible","Not Eligible")</f>
        <v>Eligible</v>
      </c>
    </row>
    <row r="4" spans="1:12" x14ac:dyDescent="0.25">
      <c r="A4" s="16" t="s">
        <v>28</v>
      </c>
      <c r="B4" s="18">
        <v>20</v>
      </c>
      <c r="C4" s="18">
        <v>1</v>
      </c>
      <c r="D4" s="16" t="str">
        <f>IF(AND(B4&gt;=21,C4&gt;=1),"Eligible","Not Eligible")</f>
        <v>Not Eligible</v>
      </c>
    </row>
    <row r="5" spans="1:12" x14ac:dyDescent="0.25">
      <c r="A5" s="16" t="s">
        <v>29</v>
      </c>
      <c r="B5" s="18">
        <v>30</v>
      </c>
      <c r="C5" s="18">
        <v>5</v>
      </c>
      <c r="D5" s="16" t="str">
        <f t="shared" ref="D5:D21" si="0">IF(AND(B5&gt;=21,C5&gt;=1),"Eligible","Not Eligible")</f>
        <v>Eligible</v>
      </c>
    </row>
    <row r="6" spans="1:12" ht="15" customHeight="1" x14ac:dyDescent="0.25">
      <c r="A6" s="16" t="s">
        <v>30</v>
      </c>
      <c r="B6" s="18">
        <v>22</v>
      </c>
      <c r="C6" s="18">
        <v>0</v>
      </c>
      <c r="D6" s="16" t="str">
        <f t="shared" si="0"/>
        <v>Not Eligible</v>
      </c>
      <c r="H6" s="30" t="s">
        <v>40</v>
      </c>
      <c r="I6" s="30"/>
      <c r="J6" s="30"/>
      <c r="K6" s="30"/>
      <c r="L6" s="30"/>
    </row>
    <row r="7" spans="1:12" ht="15" customHeight="1" x14ac:dyDescent="0.25">
      <c r="A7" s="16" t="s">
        <v>8</v>
      </c>
      <c r="B7" s="17">
        <v>28</v>
      </c>
      <c r="C7" s="17">
        <v>2</v>
      </c>
      <c r="D7" s="16" t="str">
        <f t="shared" si="0"/>
        <v>Eligible</v>
      </c>
      <c r="H7" s="30"/>
      <c r="I7" s="30"/>
      <c r="J7" s="30"/>
      <c r="K7" s="30"/>
      <c r="L7" s="30"/>
    </row>
    <row r="8" spans="1:12" ht="15" customHeight="1" x14ac:dyDescent="0.25">
      <c r="A8" s="16" t="s">
        <v>30</v>
      </c>
      <c r="B8" s="17">
        <v>29</v>
      </c>
      <c r="C8" s="17">
        <v>3</v>
      </c>
      <c r="D8" s="16" t="str">
        <f t="shared" si="0"/>
        <v>Eligible</v>
      </c>
      <c r="H8" s="30"/>
      <c r="I8" s="30"/>
      <c r="J8" s="30"/>
      <c r="K8" s="30"/>
      <c r="L8" s="30"/>
    </row>
    <row r="9" spans="1:12" ht="15" customHeight="1" x14ac:dyDescent="0.25">
      <c r="A9" s="17" t="s">
        <v>10</v>
      </c>
      <c r="B9" s="17">
        <v>20</v>
      </c>
      <c r="C9" s="17">
        <v>2</v>
      </c>
      <c r="D9" s="16" t="str">
        <f t="shared" si="0"/>
        <v>Not Eligible</v>
      </c>
      <c r="H9" s="30"/>
      <c r="I9" s="30"/>
      <c r="J9" s="30"/>
      <c r="K9" s="30"/>
      <c r="L9" s="30"/>
    </row>
    <row r="10" spans="1:12" ht="15" customHeight="1" x14ac:dyDescent="0.25">
      <c r="A10" s="17" t="s">
        <v>11</v>
      </c>
      <c r="B10" s="17">
        <v>26</v>
      </c>
      <c r="C10" s="17">
        <v>5</v>
      </c>
      <c r="D10" s="16" t="str">
        <f t="shared" si="0"/>
        <v>Eligible</v>
      </c>
      <c r="H10" s="30"/>
      <c r="I10" s="30"/>
      <c r="J10" s="30"/>
      <c r="K10" s="30"/>
      <c r="L10" s="30"/>
    </row>
    <row r="11" spans="1:12" ht="15" customHeight="1" x14ac:dyDescent="0.25">
      <c r="A11" s="17" t="s">
        <v>12</v>
      </c>
      <c r="B11" s="17">
        <v>25</v>
      </c>
      <c r="C11" s="17">
        <v>3</v>
      </c>
      <c r="D11" s="16" t="str">
        <f t="shared" si="0"/>
        <v>Eligible</v>
      </c>
      <c r="H11" s="30"/>
      <c r="I11" s="30"/>
      <c r="J11" s="30"/>
      <c r="K11" s="30"/>
      <c r="L11" s="30"/>
    </row>
    <row r="12" spans="1:12" ht="15" customHeight="1" x14ac:dyDescent="0.25">
      <c r="A12" s="17" t="s">
        <v>13</v>
      </c>
      <c r="B12" s="17">
        <v>21</v>
      </c>
      <c r="C12" s="17">
        <v>4</v>
      </c>
      <c r="D12" s="16" t="str">
        <f t="shared" si="0"/>
        <v>Eligible</v>
      </c>
      <c r="H12" s="30"/>
      <c r="I12" s="30"/>
      <c r="J12" s="30"/>
      <c r="K12" s="30"/>
      <c r="L12" s="30"/>
    </row>
    <row r="13" spans="1:12" ht="15" customHeight="1" x14ac:dyDescent="0.25">
      <c r="A13" s="17" t="s">
        <v>14</v>
      </c>
      <c r="B13" s="17">
        <v>20</v>
      </c>
      <c r="C13" s="17">
        <v>0</v>
      </c>
      <c r="D13" s="16" t="str">
        <f t="shared" si="0"/>
        <v>Not Eligible</v>
      </c>
      <c r="H13" s="30"/>
      <c r="I13" s="30"/>
      <c r="J13" s="30"/>
      <c r="K13" s="30"/>
      <c r="L13" s="30"/>
    </row>
    <row r="14" spans="1:12" x14ac:dyDescent="0.25">
      <c r="A14" s="17" t="s">
        <v>15</v>
      </c>
      <c r="B14" s="17">
        <v>29</v>
      </c>
      <c r="C14" s="17">
        <v>1</v>
      </c>
      <c r="D14" s="16" t="str">
        <f t="shared" si="0"/>
        <v>Eligible</v>
      </c>
      <c r="H14" s="30"/>
      <c r="I14" s="30"/>
      <c r="J14" s="30"/>
      <c r="K14" s="30"/>
      <c r="L14" s="30"/>
    </row>
    <row r="15" spans="1:12" x14ac:dyDescent="0.25">
      <c r="A15" s="17" t="s">
        <v>11</v>
      </c>
      <c r="B15" s="17">
        <v>30</v>
      </c>
      <c r="C15" s="17">
        <v>0</v>
      </c>
      <c r="D15" s="16" t="str">
        <f t="shared" si="0"/>
        <v>Not Eligible</v>
      </c>
      <c r="H15" s="30"/>
      <c r="I15" s="30"/>
      <c r="J15" s="30"/>
      <c r="K15" s="30"/>
      <c r="L15" s="30"/>
    </row>
    <row r="16" spans="1:12" x14ac:dyDescent="0.25">
      <c r="A16" s="17" t="s">
        <v>16</v>
      </c>
      <c r="B16" s="17">
        <v>28</v>
      </c>
      <c r="C16" s="17">
        <v>3</v>
      </c>
      <c r="D16" s="16" t="str">
        <f t="shared" si="0"/>
        <v>Eligible</v>
      </c>
      <c r="H16" s="30"/>
      <c r="I16" s="30"/>
      <c r="J16" s="30"/>
      <c r="K16" s="30"/>
      <c r="L16" s="30"/>
    </row>
    <row r="17" spans="1:12" x14ac:dyDescent="0.25">
      <c r="A17" s="17" t="s">
        <v>17</v>
      </c>
      <c r="B17" s="17">
        <v>21</v>
      </c>
      <c r="C17" s="17">
        <v>4</v>
      </c>
      <c r="D17" s="16" t="str">
        <f t="shared" si="0"/>
        <v>Eligible</v>
      </c>
      <c r="H17" s="30"/>
      <c r="I17" s="30"/>
      <c r="J17" s="30"/>
      <c r="K17" s="30"/>
      <c r="L17" s="30"/>
    </row>
    <row r="18" spans="1:12" x14ac:dyDescent="0.25">
      <c r="A18" s="17" t="s">
        <v>18</v>
      </c>
      <c r="B18" s="17">
        <v>23</v>
      </c>
      <c r="C18" s="17">
        <v>1</v>
      </c>
      <c r="D18" s="16" t="str">
        <f t="shared" si="0"/>
        <v>Eligible</v>
      </c>
    </row>
    <row r="19" spans="1:12" x14ac:dyDescent="0.25">
      <c r="A19" s="17" t="s">
        <v>19</v>
      </c>
      <c r="B19" s="17">
        <v>30</v>
      </c>
      <c r="C19" s="17">
        <v>0</v>
      </c>
      <c r="D19" s="16" t="str">
        <f t="shared" si="0"/>
        <v>Not Eligible</v>
      </c>
    </row>
    <row r="20" spans="1:12" x14ac:dyDescent="0.25">
      <c r="A20" s="17" t="s">
        <v>20</v>
      </c>
      <c r="B20" s="17">
        <v>26</v>
      </c>
      <c r="C20" s="17">
        <v>3</v>
      </c>
      <c r="D20" s="16" t="str">
        <f t="shared" si="0"/>
        <v>Eligible</v>
      </c>
    </row>
    <row r="21" spans="1:12" x14ac:dyDescent="0.25">
      <c r="A21" s="17" t="s">
        <v>21</v>
      </c>
      <c r="B21" s="17">
        <v>28</v>
      </c>
      <c r="C21" s="17">
        <v>5</v>
      </c>
      <c r="D21" s="16" t="str">
        <f t="shared" si="0"/>
        <v>Eligible</v>
      </c>
    </row>
  </sheetData>
  <mergeCells count="2">
    <mergeCell ref="A1:D1"/>
    <mergeCell ref="H6:L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A1FB-686E-44BE-A322-6B4A9B568626}">
  <dimension ref="A1:L18"/>
  <sheetViews>
    <sheetView tabSelected="1" workbookViewId="0">
      <selection activeCell="F27" sqref="F27"/>
    </sheetView>
  </sheetViews>
  <sheetFormatPr defaultRowHeight="15" x14ac:dyDescent="0.25"/>
  <cols>
    <col min="2" max="2" width="12.5703125" customWidth="1"/>
    <col min="3" max="3" width="14" customWidth="1"/>
    <col min="4" max="4" width="16.85546875" customWidth="1"/>
  </cols>
  <sheetData>
    <row r="1" spans="1:12" ht="24.75" x14ac:dyDescent="0.25">
      <c r="A1" s="31" t="s">
        <v>41</v>
      </c>
      <c r="B1" s="31"/>
      <c r="C1" s="31"/>
      <c r="D1" s="31"/>
    </row>
    <row r="2" spans="1:12" ht="60" x14ac:dyDescent="0.25">
      <c r="A2" s="20" t="s">
        <v>1</v>
      </c>
      <c r="B2" s="20" t="s">
        <v>42</v>
      </c>
      <c r="C2" s="20" t="s">
        <v>43</v>
      </c>
      <c r="D2" s="20" t="s">
        <v>39</v>
      </c>
    </row>
    <row r="3" spans="1:12" x14ac:dyDescent="0.25">
      <c r="A3" s="21" t="s">
        <v>4</v>
      </c>
      <c r="B3" s="21">
        <v>85</v>
      </c>
      <c r="C3" s="21" t="s">
        <v>44</v>
      </c>
      <c r="D3" s="21" t="str">
        <f>IF(AND(B3&gt;=75,C3="Yes"),"Eligible","Not Eligible")</f>
        <v>Eligible</v>
      </c>
    </row>
    <row r="4" spans="1:12" x14ac:dyDescent="0.25">
      <c r="A4" s="21" t="s">
        <v>5</v>
      </c>
      <c r="B4" s="21">
        <v>72</v>
      </c>
      <c r="C4" s="21" t="s">
        <v>44</v>
      </c>
      <c r="D4" s="21" t="str">
        <f t="shared" ref="D4:D18" si="0">IF(AND(B4&gt;=75,C4="Yes"),"Eligible","Not Eligible")</f>
        <v>Not Eligible</v>
      </c>
    </row>
    <row r="5" spans="1:12" x14ac:dyDescent="0.25">
      <c r="A5" s="21" t="s">
        <v>6</v>
      </c>
      <c r="B5" s="21">
        <v>90</v>
      </c>
      <c r="C5" s="21" t="s">
        <v>45</v>
      </c>
      <c r="D5" s="21" t="str">
        <f t="shared" si="0"/>
        <v>Not Eligible</v>
      </c>
    </row>
    <row r="6" spans="1:12" x14ac:dyDescent="0.25">
      <c r="A6" s="21" t="s">
        <v>7</v>
      </c>
      <c r="B6" s="21">
        <v>80</v>
      </c>
      <c r="C6" s="21" t="s">
        <v>44</v>
      </c>
      <c r="D6" s="21" t="str">
        <f t="shared" si="0"/>
        <v>Eligible</v>
      </c>
    </row>
    <row r="7" spans="1:12" x14ac:dyDescent="0.25">
      <c r="A7" s="19" t="s">
        <v>11</v>
      </c>
      <c r="B7" s="21">
        <v>82</v>
      </c>
      <c r="C7" s="21" t="s">
        <v>44</v>
      </c>
      <c r="D7" s="21" t="str">
        <f t="shared" si="0"/>
        <v>Eligible</v>
      </c>
    </row>
    <row r="8" spans="1:12" x14ac:dyDescent="0.25">
      <c r="A8" s="19" t="s">
        <v>12</v>
      </c>
      <c r="B8" s="21">
        <v>82</v>
      </c>
      <c r="C8" s="21" t="s">
        <v>44</v>
      </c>
      <c r="D8" s="21" t="str">
        <f t="shared" si="0"/>
        <v>Eligible</v>
      </c>
    </row>
    <row r="9" spans="1:12" x14ac:dyDescent="0.25">
      <c r="A9" s="19" t="s">
        <v>13</v>
      </c>
      <c r="B9" s="21">
        <v>83</v>
      </c>
      <c r="C9" s="21" t="s">
        <v>45</v>
      </c>
      <c r="D9" s="21" t="str">
        <f t="shared" si="0"/>
        <v>Not Eligible</v>
      </c>
      <c r="I9" s="26" t="s">
        <v>46</v>
      </c>
      <c r="J9" s="26"/>
      <c r="K9" s="26"/>
      <c r="L9" s="26"/>
    </row>
    <row r="10" spans="1:12" ht="15" customHeight="1" x14ac:dyDescent="0.25">
      <c r="A10" s="19" t="s">
        <v>14</v>
      </c>
      <c r="B10" s="21">
        <v>83</v>
      </c>
      <c r="C10" s="21" t="s">
        <v>44</v>
      </c>
      <c r="D10" s="21" t="str">
        <f t="shared" si="0"/>
        <v>Eligible</v>
      </c>
      <c r="I10" s="26"/>
      <c r="J10" s="26"/>
      <c r="K10" s="26"/>
      <c r="L10" s="26"/>
    </row>
    <row r="11" spans="1:12" ht="15" customHeight="1" x14ac:dyDescent="0.25">
      <c r="A11" s="19" t="s">
        <v>15</v>
      </c>
      <c r="B11" s="21">
        <v>83</v>
      </c>
      <c r="C11" s="21" t="s">
        <v>44</v>
      </c>
      <c r="D11" s="21" t="str">
        <f t="shared" si="0"/>
        <v>Eligible</v>
      </c>
      <c r="I11" s="26"/>
      <c r="J11" s="26"/>
      <c r="K11" s="26"/>
      <c r="L11" s="26"/>
    </row>
    <row r="12" spans="1:12" ht="15" customHeight="1" x14ac:dyDescent="0.25">
      <c r="A12" s="19" t="s">
        <v>11</v>
      </c>
      <c r="B12" s="21">
        <v>84</v>
      </c>
      <c r="C12" s="21" t="s">
        <v>44</v>
      </c>
      <c r="D12" s="21" t="str">
        <f t="shared" si="0"/>
        <v>Eligible</v>
      </c>
      <c r="I12" s="26"/>
      <c r="J12" s="26"/>
      <c r="K12" s="26"/>
      <c r="L12" s="26"/>
    </row>
    <row r="13" spans="1:12" ht="15" customHeight="1" x14ac:dyDescent="0.25">
      <c r="A13" s="19" t="s">
        <v>16</v>
      </c>
      <c r="B13" s="21">
        <v>84</v>
      </c>
      <c r="C13" s="21" t="s">
        <v>45</v>
      </c>
      <c r="D13" s="21" t="str">
        <f t="shared" si="0"/>
        <v>Not Eligible</v>
      </c>
      <c r="I13" s="26"/>
      <c r="J13" s="26"/>
      <c r="K13" s="26"/>
      <c r="L13" s="26"/>
    </row>
    <row r="14" spans="1:12" x14ac:dyDescent="0.25">
      <c r="A14" s="19" t="s">
        <v>17</v>
      </c>
      <c r="B14" s="21">
        <v>84</v>
      </c>
      <c r="C14" s="21" t="s">
        <v>44</v>
      </c>
      <c r="D14" s="21" t="str">
        <f t="shared" si="0"/>
        <v>Eligible</v>
      </c>
    </row>
    <row r="15" spans="1:12" x14ac:dyDescent="0.25">
      <c r="A15" s="19" t="s">
        <v>18</v>
      </c>
      <c r="B15" s="21">
        <v>84</v>
      </c>
      <c r="C15" s="21" t="s">
        <v>44</v>
      </c>
      <c r="D15" s="21" t="str">
        <f t="shared" si="0"/>
        <v>Eligible</v>
      </c>
    </row>
    <row r="16" spans="1:12" x14ac:dyDescent="0.25">
      <c r="A16" s="19" t="s">
        <v>19</v>
      </c>
      <c r="B16" s="21">
        <v>85</v>
      </c>
      <c r="C16" s="21" t="s">
        <v>44</v>
      </c>
      <c r="D16" s="21" t="str">
        <f t="shared" si="0"/>
        <v>Eligible</v>
      </c>
    </row>
    <row r="17" spans="1:4" x14ac:dyDescent="0.25">
      <c r="A17" s="19" t="s">
        <v>20</v>
      </c>
      <c r="B17" s="21">
        <v>88</v>
      </c>
      <c r="C17" s="21" t="s">
        <v>45</v>
      </c>
      <c r="D17" s="21" t="str">
        <f t="shared" si="0"/>
        <v>Not Eligible</v>
      </c>
    </row>
    <row r="18" spans="1:4" x14ac:dyDescent="0.25">
      <c r="A18" s="19" t="s">
        <v>21</v>
      </c>
      <c r="B18" s="21">
        <v>85</v>
      </c>
      <c r="C18" s="21" t="s">
        <v>44</v>
      </c>
      <c r="D18" s="21" t="str">
        <f t="shared" si="0"/>
        <v>Eligible</v>
      </c>
    </row>
  </sheetData>
  <mergeCells count="2">
    <mergeCell ref="A1:D1"/>
    <mergeCell ref="I9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CAA3-5F35-4351-B386-E0312E043A17}">
  <dimension ref="A1:L18"/>
  <sheetViews>
    <sheetView workbookViewId="0">
      <selection activeCell="F30" sqref="F30"/>
    </sheetView>
  </sheetViews>
  <sheetFormatPr defaultRowHeight="15" x14ac:dyDescent="0.25"/>
  <cols>
    <col min="1" max="1" width="10.7109375" customWidth="1"/>
    <col min="2" max="2" width="11.85546875" customWidth="1"/>
    <col min="3" max="3" width="15.140625" customWidth="1"/>
    <col min="4" max="4" width="15.85546875" customWidth="1"/>
  </cols>
  <sheetData>
    <row r="1" spans="1:12" ht="25.5" thickBot="1" x14ac:dyDescent="0.3">
      <c r="A1" s="32" t="s">
        <v>54</v>
      </c>
      <c r="B1" s="32"/>
      <c r="C1" s="32"/>
      <c r="D1" s="32"/>
    </row>
    <row r="2" spans="1:12" ht="30" x14ac:dyDescent="0.25">
      <c r="A2" s="23" t="s">
        <v>47</v>
      </c>
      <c r="B2" s="23" t="s">
        <v>48</v>
      </c>
      <c r="C2" s="23" t="s">
        <v>49</v>
      </c>
      <c r="D2" s="23" t="s">
        <v>50</v>
      </c>
    </row>
    <row r="3" spans="1:12" x14ac:dyDescent="0.25">
      <c r="A3" s="24" t="s">
        <v>51</v>
      </c>
      <c r="B3" s="24">
        <v>9000</v>
      </c>
      <c r="C3" s="24" t="s">
        <v>45</v>
      </c>
      <c r="D3" s="24" t="str">
        <f>IF(OR(B3&gt;=10000,C3="Yes"),"Discount","Not discount")</f>
        <v>Not discount</v>
      </c>
    </row>
    <row r="4" spans="1:12" x14ac:dyDescent="0.25">
      <c r="A4" s="24" t="s">
        <v>52</v>
      </c>
      <c r="B4" s="24">
        <v>12000</v>
      </c>
      <c r="C4" s="24" t="s">
        <v>45</v>
      </c>
      <c r="D4" s="24" t="str">
        <f t="shared" ref="D4:D18" si="0">IF(OR(B4&gt;=10000,C4="Yes"),"Discount","Not discount")</f>
        <v>Discount</v>
      </c>
    </row>
    <row r="5" spans="1:12" x14ac:dyDescent="0.25">
      <c r="A5" s="24" t="s">
        <v>6</v>
      </c>
      <c r="B5" s="24">
        <v>4000</v>
      </c>
      <c r="C5" s="24" t="s">
        <v>44</v>
      </c>
      <c r="D5" s="24" t="str">
        <f t="shared" si="0"/>
        <v>Discount</v>
      </c>
    </row>
    <row r="6" spans="1:12" x14ac:dyDescent="0.25">
      <c r="A6" s="24" t="s">
        <v>53</v>
      </c>
      <c r="B6" s="24">
        <v>3000</v>
      </c>
      <c r="C6" s="24" t="s">
        <v>45</v>
      </c>
      <c r="D6" s="24" t="str">
        <f t="shared" si="0"/>
        <v>Not discount</v>
      </c>
    </row>
    <row r="7" spans="1:12" x14ac:dyDescent="0.25">
      <c r="A7" s="22" t="s">
        <v>11</v>
      </c>
      <c r="B7" s="24">
        <v>500</v>
      </c>
      <c r="C7" s="24" t="s">
        <v>45</v>
      </c>
      <c r="D7" s="24" t="str">
        <f t="shared" si="0"/>
        <v>Not discount</v>
      </c>
    </row>
    <row r="8" spans="1:12" x14ac:dyDescent="0.25">
      <c r="A8" s="22" t="s">
        <v>12</v>
      </c>
      <c r="B8" s="24">
        <v>2100</v>
      </c>
      <c r="C8" s="24" t="s">
        <v>45</v>
      </c>
      <c r="D8" s="24" t="str">
        <f t="shared" si="0"/>
        <v>Not discount</v>
      </c>
      <c r="I8" s="26" t="s">
        <v>55</v>
      </c>
      <c r="J8" s="26"/>
      <c r="K8" s="26"/>
      <c r="L8" s="26"/>
    </row>
    <row r="9" spans="1:12" ht="15" customHeight="1" x14ac:dyDescent="0.25">
      <c r="A9" s="22" t="s">
        <v>13</v>
      </c>
      <c r="B9" s="24">
        <v>4700</v>
      </c>
      <c r="C9" s="24" t="s">
        <v>44</v>
      </c>
      <c r="D9" s="24" t="str">
        <f t="shared" si="0"/>
        <v>Discount</v>
      </c>
      <c r="I9" s="26"/>
      <c r="J9" s="26"/>
      <c r="K9" s="26"/>
      <c r="L9" s="26"/>
    </row>
    <row r="10" spans="1:12" x14ac:dyDescent="0.25">
      <c r="A10" s="22" t="s">
        <v>14</v>
      </c>
      <c r="B10" s="24">
        <v>7300</v>
      </c>
      <c r="C10" s="24" t="s">
        <v>45</v>
      </c>
      <c r="D10" s="24" t="str">
        <f t="shared" si="0"/>
        <v>Not discount</v>
      </c>
      <c r="I10" s="26"/>
      <c r="J10" s="26"/>
      <c r="K10" s="26"/>
      <c r="L10" s="26"/>
    </row>
    <row r="11" spans="1:12" x14ac:dyDescent="0.25">
      <c r="A11" s="22" t="s">
        <v>15</v>
      </c>
      <c r="B11" s="24">
        <v>9900</v>
      </c>
      <c r="C11" s="24" t="s">
        <v>45</v>
      </c>
      <c r="D11" s="24" t="str">
        <f t="shared" si="0"/>
        <v>Not discount</v>
      </c>
      <c r="I11" s="26"/>
      <c r="J11" s="26"/>
      <c r="K11" s="26"/>
      <c r="L11" s="26"/>
    </row>
    <row r="12" spans="1:12" x14ac:dyDescent="0.25">
      <c r="A12" s="22" t="s">
        <v>11</v>
      </c>
      <c r="B12" s="24">
        <v>12500</v>
      </c>
      <c r="C12" s="24" t="s">
        <v>45</v>
      </c>
      <c r="D12" s="24" t="str">
        <f t="shared" si="0"/>
        <v>Discount</v>
      </c>
      <c r="I12" s="26"/>
      <c r="J12" s="26"/>
      <c r="K12" s="26"/>
      <c r="L12" s="26"/>
    </row>
    <row r="13" spans="1:12" x14ac:dyDescent="0.25">
      <c r="A13" s="22" t="s">
        <v>16</v>
      </c>
      <c r="B13" s="24">
        <v>15100</v>
      </c>
      <c r="C13" s="24" t="s">
        <v>44</v>
      </c>
      <c r="D13" s="24" t="str">
        <f t="shared" si="0"/>
        <v>Discount</v>
      </c>
    </row>
    <row r="14" spans="1:12" x14ac:dyDescent="0.25">
      <c r="A14" s="22" t="s">
        <v>17</v>
      </c>
      <c r="B14" s="24">
        <v>17700</v>
      </c>
      <c r="C14" s="24" t="s">
        <v>45</v>
      </c>
      <c r="D14" s="24" t="str">
        <f t="shared" si="0"/>
        <v>Discount</v>
      </c>
    </row>
    <row r="15" spans="1:12" x14ac:dyDescent="0.25">
      <c r="A15" s="22" t="s">
        <v>18</v>
      </c>
      <c r="B15" s="24">
        <v>20300</v>
      </c>
      <c r="C15" s="24" t="s">
        <v>45</v>
      </c>
      <c r="D15" s="24" t="str">
        <f t="shared" si="0"/>
        <v>Discount</v>
      </c>
    </row>
    <row r="16" spans="1:12" x14ac:dyDescent="0.25">
      <c r="A16" s="22" t="s">
        <v>19</v>
      </c>
      <c r="B16" s="24">
        <v>22900</v>
      </c>
      <c r="C16" s="24" t="s">
        <v>45</v>
      </c>
      <c r="D16" s="24" t="str">
        <f t="shared" si="0"/>
        <v>Discount</v>
      </c>
    </row>
    <row r="17" spans="1:4" x14ac:dyDescent="0.25">
      <c r="A17" s="22" t="s">
        <v>20</v>
      </c>
      <c r="B17" s="24">
        <v>25500</v>
      </c>
      <c r="C17" s="24" t="s">
        <v>44</v>
      </c>
      <c r="D17" s="24" t="str">
        <f t="shared" si="0"/>
        <v>Discount</v>
      </c>
    </row>
    <row r="18" spans="1:4" x14ac:dyDescent="0.25">
      <c r="A18" s="22" t="s">
        <v>21</v>
      </c>
      <c r="B18" s="24">
        <v>28100</v>
      </c>
      <c r="C18" s="24" t="s">
        <v>45</v>
      </c>
      <c r="D18" s="24" t="str">
        <f t="shared" si="0"/>
        <v>Discount</v>
      </c>
    </row>
  </sheetData>
  <mergeCells count="2">
    <mergeCell ref="A1:D1"/>
    <mergeCell ref="I8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1</vt:lpstr>
      <vt:lpstr>Task 2</vt:lpstr>
      <vt:lpstr>Task 3</vt:lpstr>
      <vt:lpstr>Task 4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2026-01-25T06:11:27Z</dcterms:created>
  <dcterms:modified xsi:type="dcterms:W3CDTF">2026-01-25T07:24:05Z</dcterms:modified>
</cp:coreProperties>
</file>