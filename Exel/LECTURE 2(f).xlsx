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data-analytics\"/>
    </mc:Choice>
  </mc:AlternateContent>
  <xr:revisionPtr revIDLastSave="0" documentId="13_ncr:1_{D4985EE6-656B-47A5-938A-2F1F8F5655B6}" xr6:coauthVersionLast="47" xr6:coauthVersionMax="47" xr10:uidLastSave="{00000000-0000-0000-0000-000000000000}"/>
  <bookViews>
    <workbookView xWindow="-120" yWindow="-120" windowWidth="29040" windowHeight="15720" activeTab="6" xr2:uid="{2240DA8E-B5F6-42DD-9F4E-986192C73615}"/>
  </bookViews>
  <sheets>
    <sheet name="Task 4" sheetId="1" r:id="rId1"/>
    <sheet name="Task 5" sheetId="2" r:id="rId2"/>
    <sheet name="Task 6" sheetId="3" r:id="rId3"/>
    <sheet name="Task 7" sheetId="4" r:id="rId4"/>
    <sheet name="Task 8" sheetId="5" r:id="rId5"/>
    <sheet name="Task 9" sheetId="6" r:id="rId6"/>
    <sheet name="Task 10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4" l="1"/>
  <c r="E2" i="4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D30" i="2"/>
  <c r="D31" i="2"/>
  <c r="D29" i="2"/>
  <c r="D26" i="2"/>
  <c r="D24" i="2"/>
  <c r="D23" i="2"/>
  <c r="D22" i="2"/>
  <c r="C25" i="1"/>
  <c r="C24" i="1"/>
  <c r="C23" i="1"/>
  <c r="C22" i="1"/>
</calcChain>
</file>

<file path=xl/sharedStrings.xml><?xml version="1.0" encoding="utf-8"?>
<sst xmlns="http://schemas.openxmlformats.org/spreadsheetml/2006/main" count="289" uniqueCount="123">
  <si>
    <t>Task 4: Sales Summary – Aggregation Functions</t>
  </si>
  <si>
    <t>Invoice No</t>
  </si>
  <si>
    <t>Date</t>
  </si>
  <si>
    <t>Sales Amount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</si>
  <si>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</si>
  <si>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</si>
  <si>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</si>
  <si>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</si>
  <si>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</si>
  <si>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</si>
  <si>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</si>
  <si>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</si>
  <si>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</si>
  <si>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</si>
  <si>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</si>
  <si>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</si>
  <si>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</si>
  <si>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</si>
  <si>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</si>
  <si>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</si>
  <si>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</si>
  <si>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</si>
  <si>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Total sales</t>
  </si>
  <si>
    <t>Task
-Calculate Total Sales
-Find Average Sales
-Identify Highest &amp; Lowest Sale</t>
  </si>
  <si>
    <t>Average sales</t>
  </si>
  <si>
    <t>Highest sales</t>
  </si>
  <si>
    <t>Lowest sales</t>
  </si>
  <si>
    <t>Task 5: Department-wise Salary Analysis</t>
  </si>
  <si>
    <t>Employee Name</t>
  </si>
  <si>
    <t>Department</t>
  </si>
  <si>
    <t>Salary</t>
  </si>
  <si>
    <t>Suresh</t>
  </si>
  <si>
    <t>HR</t>
  </si>
  <si>
    <t>Meena</t>
  </si>
  <si>
    <t>IT</t>
  </si>
  <si>
    <t>Karan</t>
  </si>
  <si>
    <t>Ritu</t>
  </si>
  <si>
    <t>Finance</t>
  </si>
  <si>
    <t>Aman</t>
  </si>
  <si>
    <t>Neel</t>
  </si>
  <si>
    <t>Task
-Total salary per department
-Average salary
-Count employees</t>
  </si>
  <si>
    <t>Sr. No</t>
  </si>
  <si>
    <t>Jay</t>
  </si>
  <si>
    <t>Jyoti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</si>
  <si>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</si>
  <si>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</si>
  <si>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</si>
  <si>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</si>
  <si>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</si>
  <si>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</si>
  <si>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</si>
  <si>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</si>
  <si>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</si>
  <si>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Total salary of IT department</t>
  </si>
  <si>
    <t>Total salary of HR department</t>
  </si>
  <si>
    <t>Total salary of FINANCE department</t>
  </si>
  <si>
    <t>Task 6: Attendance Sheet – COUNTIF</t>
  </si>
  <si>
    <t>Student Name</t>
  </si>
  <si>
    <t>Day 1</t>
  </si>
  <si>
    <t>Day 2</t>
  </si>
  <si>
    <t>Day 3</t>
  </si>
  <si>
    <t>Day 4</t>
  </si>
  <si>
    <t>Day 5</t>
  </si>
  <si>
    <t>Aakash</t>
  </si>
  <si>
    <t>P</t>
  </si>
  <si>
    <t>A</t>
  </si>
  <si>
    <t>Bhavya</t>
  </si>
  <si>
    <t>Chirag</t>
  </si>
  <si>
    <t>Divya</t>
  </si>
  <si>
    <t>Task
-Count Present days
-Count Absent days</t>
  </si>
  <si>
    <t>Priyanshi</t>
  </si>
  <si>
    <t>Viraj</t>
  </si>
  <si>
    <t>Employees per department</t>
  </si>
  <si>
    <t>Numbers</t>
  </si>
  <si>
    <t>Present</t>
  </si>
  <si>
    <t>Absent</t>
  </si>
  <si>
    <t>Task 7: 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</si>
  <si>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</si>
  <si>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</si>
  <si>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</si>
  <si>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</si>
  <si>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</si>
  <si>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</si>
  <si>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</si>
  <si>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</si>
  <si>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</si>
  <si>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</si>
  <si>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</si>
  <si>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</si>
  <si>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</si>
  <si>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</si>
  <si>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</si>
  <si>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</si>
  <si>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</si>
  <si>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</si>
  <si>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</si>
  <si>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Count sales above 10000</t>
  </si>
  <si>
    <t>Count sales below 5000</t>
  </si>
  <si>
    <t>Task
-Count sales above 10000
-Count sales below 5000</t>
  </si>
  <si>
    <t>Conditional Formatting – Sales</t>
  </si>
  <si>
    <t>Product</t>
  </si>
  <si>
    <t>Mobile</t>
  </si>
  <si>
    <t>Headphones</t>
  </si>
  <si>
    <t>Laptop</t>
  </si>
  <si>
    <t>Keyboard</t>
  </si>
  <si>
    <t>Tablet</t>
  </si>
  <si>
    <t>Task
Highlight sales &gt; 20000 (Green)
Highlight sales &lt; 5000 (Red)</t>
  </si>
  <si>
    <t>Roll No</t>
  </si>
  <si>
    <t>Name</t>
  </si>
  <si>
    <t>Marks</t>
  </si>
  <si>
    <t>Bharti</t>
  </si>
  <si>
    <t>Chetan</t>
  </si>
  <si>
    <t>Deepa</t>
  </si>
  <si>
    <t>Farhan</t>
  </si>
  <si>
    <t xml:space="preserve">Task 9: Student Result </t>
  </si>
  <si>
    <t>Task
-Marks ≥ 75 → Green
-Marks &lt; 40 → Red</t>
  </si>
  <si>
    <t>Task 10: Salary Band – Conditional Formatting</t>
  </si>
  <si>
    <t>Rohit</t>
  </si>
  <si>
    <t>Simran</t>
  </si>
  <si>
    <t>Vijay</t>
  </si>
  <si>
    <t>Nisha</t>
  </si>
  <si>
    <t>Mohan</t>
  </si>
  <si>
    <t>Task
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</si>
</sst>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5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3.75"/>
      <color rgb="FFF0F6FC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.75"/>
      <color theme="1"/>
      <name val="Segoe UI"/>
      <family val="2"/>
    </font>
    <font>
      <sz val="16.5"/>
      <color theme="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14" fontId="0" fillId="3" borderId="1" xfId="0" applyNumberFormat="1" applyFill="1" applyBorder="1" applyAlignment="1">
      <alignment horizontal="left" vertical="center" wrapText="1" indent="1"/>
    </xf>
    <xf numFmtId="0" fontId="0" fillId="3" borderId="1" xfId="0" applyFill="1" applyBorder="1" applyAlignment="1"/>
    <xf numFmtId="0" fontId="4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/>
    <xf numFmtId="0" fontId="0" fillId="4" borderId="1" xfId="0" applyFill="1" applyBorder="1"/>
    <xf numFmtId="0" fontId="0" fillId="5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164" fontId="0" fillId="5" borderId="1" xfId="0" applyNumberFormat="1" applyFill="1" applyBorder="1" applyAlignment="1">
      <alignment horizontal="left" vertical="center" wrapText="1" indent="1"/>
    </xf>
    <xf numFmtId="164" fontId="0" fillId="5" borderId="1" xfId="0" applyNumberFormat="1" applyFill="1" applyBorder="1"/>
    <xf numFmtId="164" fontId="0" fillId="0" borderId="0" xfId="0" applyNumberFormat="1"/>
    <xf numFmtId="164" fontId="0" fillId="8" borderId="1" xfId="0" applyNumberFormat="1" applyFill="1" applyBorder="1"/>
    <xf numFmtId="164" fontId="0" fillId="0" borderId="1" xfId="0" applyNumberFormat="1" applyBorder="1"/>
    <xf numFmtId="164" fontId="0" fillId="9" borderId="1" xfId="0" applyNumberFormat="1" applyFill="1" applyBorder="1"/>
    <xf numFmtId="0" fontId="0" fillId="8" borderId="1" xfId="0" applyFill="1" applyBorder="1" applyAlignment="1"/>
    <xf numFmtId="0" fontId="0" fillId="5" borderId="1" xfId="0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 indent="1"/>
    </xf>
    <xf numFmtId="0" fontId="4" fillId="12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left" vertical="center" wrapText="1" indent="1"/>
    </xf>
    <xf numFmtId="0" fontId="0" fillId="0" borderId="0" xfId="0" applyBorder="1"/>
    <xf numFmtId="0" fontId="0" fillId="12" borderId="1" xfId="0" applyFill="1" applyBorder="1" applyAlignment="1">
      <alignment horizontal="center"/>
    </xf>
    <xf numFmtId="0" fontId="2" fillId="6" borderId="1" xfId="0" applyFont="1" applyFill="1" applyBorder="1" applyAlignment="1">
      <alignment vertical="center" wrapText="1"/>
    </xf>
    <xf numFmtId="0" fontId="0" fillId="13" borderId="1" xfId="0" applyFill="1" applyBorder="1"/>
    <xf numFmtId="0" fontId="0" fillId="0" borderId="4" xfId="0" applyBorder="1"/>
    <xf numFmtId="0" fontId="0" fillId="0" borderId="7" xfId="0" applyBorder="1"/>
    <xf numFmtId="0" fontId="4" fillId="15" borderId="3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vertical="top"/>
    </xf>
    <xf numFmtId="0" fontId="0" fillId="9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top" wrapText="1"/>
    </xf>
    <xf numFmtId="0" fontId="0" fillId="16" borderId="1" xfId="0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0000"/>
        </patternFill>
      </fill>
    </dxf>
    <dxf>
      <font>
        <b/>
        <i val="0"/>
        <color theme="2"/>
      </font>
      <fill>
        <patternFill>
          <bgColor rgb="FF00B050"/>
        </patternFill>
      </fill>
    </dxf>
    <dxf>
      <font>
        <b/>
        <i val="0"/>
        <color theme="2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32F4-8412-4F95-8B30-5A168FFB0CEF}">
  <dimension ref="A1:J25"/>
  <sheetViews>
    <sheetView workbookViewId="0">
      <selection activeCell="E21" sqref="E21"/>
    </sheetView>
  </sheetViews>
  <sheetFormatPr defaultRowHeight="15" x14ac:dyDescent="0.25"/>
  <cols>
    <col min="1" max="1" width="8.5703125" bestFit="1" customWidth="1"/>
    <col min="2" max="2" width="11" bestFit="1" customWidth="1"/>
    <col min="3" max="3" width="9" bestFit="1" customWidth="1"/>
  </cols>
  <sheetData>
    <row r="1" spans="1:10" ht="69.75" customHeight="1" x14ac:dyDescent="0.25">
      <c r="A1" s="46" t="s">
        <v>0</v>
      </c>
      <c r="B1" s="46"/>
      <c r="C1" s="46"/>
    </row>
    <row r="2" spans="1:10" ht="30" x14ac:dyDescent="0.25">
      <c r="A2" s="1" t="s">
        <v>1</v>
      </c>
      <c r="B2" s="1" t="s">
        <v>2</v>
      </c>
      <c r="C2" s="5" t="s">
        <v>3</v>
      </c>
      <c r="H2" s="44" t="s">
        <v>23</v>
      </c>
      <c r="I2" s="44"/>
      <c r="J2" s="44"/>
    </row>
    <row r="3" spans="1:10" ht="21" customHeight="1" x14ac:dyDescent="0.25">
      <c r="A3" s="2" t="s">
        <v>4</v>
      </c>
      <c r="B3" s="3">
        <v>45292</v>
      </c>
      <c r="C3" s="6">
        <v>12000</v>
      </c>
      <c r="H3" s="44"/>
      <c r="I3" s="44"/>
      <c r="J3" s="44"/>
    </row>
    <row r="4" spans="1:10" ht="15.75" customHeight="1" x14ac:dyDescent="0.25">
      <c r="A4" s="2" t="s">
        <v>5</v>
      </c>
      <c r="B4" s="3">
        <v>45352</v>
      </c>
      <c r="C4" s="6">
        <v>25000</v>
      </c>
      <c r="H4" s="44"/>
      <c r="I4" s="44"/>
      <c r="J4" s="44"/>
    </row>
    <row r="5" spans="1:10" ht="15.75" customHeight="1" x14ac:dyDescent="0.25">
      <c r="A5" s="2" t="s">
        <v>6</v>
      </c>
      <c r="B5" s="3">
        <v>45413</v>
      </c>
      <c r="C5" s="6">
        <v>8000</v>
      </c>
      <c r="H5" s="44"/>
      <c r="I5" s="44"/>
      <c r="J5" s="44"/>
    </row>
    <row r="6" spans="1:10" ht="16.5" customHeight="1" x14ac:dyDescent="0.25">
      <c r="A6" s="2" t="s">
        <v>7</v>
      </c>
      <c r="B6" s="3">
        <v>45505</v>
      </c>
      <c r="C6" s="6">
        <v>32000</v>
      </c>
      <c r="H6" s="44"/>
      <c r="I6" s="44"/>
      <c r="J6" s="44"/>
    </row>
    <row r="7" spans="1:10" ht="15" customHeight="1" x14ac:dyDescent="0.25">
      <c r="A7" s="2" t="s">
        <v>8</v>
      </c>
      <c r="B7" s="3">
        <v>45566</v>
      </c>
      <c r="C7" s="6">
        <v>15000</v>
      </c>
      <c r="H7" s="44"/>
      <c r="I7" s="44"/>
      <c r="J7" s="44"/>
    </row>
    <row r="8" spans="1:10" ht="15" customHeight="1" x14ac:dyDescent="0.25">
      <c r="A8" s="2" t="s">
        <v>9</v>
      </c>
      <c r="B8" s="3">
        <v>45292</v>
      </c>
      <c r="C8" s="4">
        <v>54827</v>
      </c>
      <c r="H8" s="44"/>
      <c r="I8" s="44"/>
      <c r="J8" s="44"/>
    </row>
    <row r="9" spans="1:10" ht="15" customHeight="1" x14ac:dyDescent="0.25">
      <c r="A9" s="2" t="s">
        <v>10</v>
      </c>
      <c r="B9" s="3">
        <v>45352</v>
      </c>
      <c r="C9" s="4">
        <v>49946</v>
      </c>
      <c r="H9" s="44"/>
      <c r="I9" s="44"/>
      <c r="J9" s="44"/>
    </row>
    <row r="10" spans="1:10" x14ac:dyDescent="0.25">
      <c r="A10" s="2" t="s">
        <v>11</v>
      </c>
      <c r="B10" s="3">
        <v>45413</v>
      </c>
      <c r="C10" s="4">
        <v>44249</v>
      </c>
    </row>
    <row r="11" spans="1:10" x14ac:dyDescent="0.25">
      <c r="A11" s="2" t="s">
        <v>12</v>
      </c>
      <c r="B11" s="3">
        <v>45505</v>
      </c>
      <c r="C11" s="4">
        <v>52724</v>
      </c>
    </row>
    <row r="12" spans="1:10" x14ac:dyDescent="0.25">
      <c r="A12" s="2" t="s">
        <v>13</v>
      </c>
      <c r="B12" s="3">
        <v>45566</v>
      </c>
      <c r="C12" s="4">
        <v>41619</v>
      </c>
    </row>
    <row r="13" spans="1:10" x14ac:dyDescent="0.25">
      <c r="A13" s="2" t="s">
        <v>14</v>
      </c>
      <c r="B13" s="3">
        <v>45292</v>
      </c>
      <c r="C13" s="4">
        <v>41914</v>
      </c>
    </row>
    <row r="14" spans="1:10" x14ac:dyDescent="0.25">
      <c r="A14" s="2" t="s">
        <v>15</v>
      </c>
      <c r="B14" s="3">
        <v>45352</v>
      </c>
      <c r="C14" s="4">
        <v>59670</v>
      </c>
    </row>
    <row r="15" spans="1:10" x14ac:dyDescent="0.25">
      <c r="A15" s="2" t="s">
        <v>16</v>
      </c>
      <c r="B15" s="3">
        <v>45413</v>
      </c>
      <c r="C15" s="4">
        <v>43772</v>
      </c>
    </row>
    <row r="16" spans="1:10" x14ac:dyDescent="0.25">
      <c r="A16" s="2" t="s">
        <v>17</v>
      </c>
      <c r="B16" s="3">
        <v>45505</v>
      </c>
      <c r="C16" s="4">
        <v>41004</v>
      </c>
    </row>
    <row r="17" spans="1:3" x14ac:dyDescent="0.25">
      <c r="A17" s="2" t="s">
        <v>18</v>
      </c>
      <c r="B17" s="3">
        <v>45566</v>
      </c>
      <c r="C17" s="4">
        <v>50607</v>
      </c>
    </row>
    <row r="18" spans="1:3" ht="12.75" customHeight="1" x14ac:dyDescent="0.25">
      <c r="A18" s="2" t="s">
        <v>19</v>
      </c>
      <c r="B18" s="3">
        <v>45292</v>
      </c>
      <c r="C18" s="4">
        <v>46533</v>
      </c>
    </row>
    <row r="19" spans="1:3" x14ac:dyDescent="0.25">
      <c r="A19" s="2" t="s">
        <v>20</v>
      </c>
      <c r="B19" s="3">
        <v>45352</v>
      </c>
      <c r="C19" s="4">
        <v>40740</v>
      </c>
    </row>
    <row r="20" spans="1:3" x14ac:dyDescent="0.25">
      <c r="A20" s="2" t="s">
        <v>21</v>
      </c>
      <c r="B20" s="3">
        <v>45413</v>
      </c>
      <c r="C20" s="4">
        <v>49123</v>
      </c>
    </row>
    <row r="21" spans="1:3" x14ac:dyDescent="0.25">
      <c r="A21" s="47"/>
      <c r="B21" s="47"/>
      <c r="C21" s="7"/>
    </row>
    <row r="22" spans="1:3" x14ac:dyDescent="0.25">
      <c r="A22" s="45" t="s">
        <v>22</v>
      </c>
      <c r="B22" s="45"/>
      <c r="C22" s="8">
        <f>SUM(C3:C20)</f>
        <v>708728</v>
      </c>
    </row>
    <row r="23" spans="1:3" x14ac:dyDescent="0.25">
      <c r="A23" s="45" t="s">
        <v>24</v>
      </c>
      <c r="B23" s="45"/>
      <c r="C23" s="8">
        <f>AVERAGE(C3:C20)</f>
        <v>39373.777777777781</v>
      </c>
    </row>
    <row r="24" spans="1:3" x14ac:dyDescent="0.25">
      <c r="A24" s="45" t="s">
        <v>25</v>
      </c>
      <c r="B24" s="45"/>
      <c r="C24" s="8">
        <f>MAX(C3:C20)</f>
        <v>59670</v>
      </c>
    </row>
    <row r="25" spans="1:3" x14ac:dyDescent="0.25">
      <c r="A25" s="45" t="s">
        <v>26</v>
      </c>
      <c r="B25" s="45"/>
      <c r="C25" s="8">
        <f>MIN(C3:C20)</f>
        <v>8000</v>
      </c>
    </row>
  </sheetData>
  <mergeCells count="7">
    <mergeCell ref="H2:J9"/>
    <mergeCell ref="A23:B23"/>
    <mergeCell ref="A24:B24"/>
    <mergeCell ref="A25:B25"/>
    <mergeCell ref="A1:C1"/>
    <mergeCell ref="A21:B21"/>
    <mergeCell ref="A22:B2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8A91-B93D-443C-BC74-E40C45B859CA}">
  <dimension ref="A1:M31"/>
  <sheetViews>
    <sheetView workbookViewId="0">
      <selection activeCell="D31" sqref="D29:D31"/>
    </sheetView>
  </sheetViews>
  <sheetFormatPr defaultRowHeight="15" x14ac:dyDescent="0.25"/>
  <cols>
    <col min="1" max="1" width="6.28515625" bestFit="1" customWidth="1"/>
    <col min="2" max="2" width="17.7109375" bestFit="1" customWidth="1"/>
    <col min="3" max="3" width="13.28515625" bestFit="1" customWidth="1"/>
    <col min="4" max="4" width="12" bestFit="1" customWidth="1"/>
  </cols>
  <sheetData>
    <row r="1" spans="1:13" ht="71.25" customHeight="1" x14ac:dyDescent="0.25">
      <c r="A1" s="54" t="s">
        <v>27</v>
      </c>
      <c r="B1" s="54"/>
      <c r="C1" s="54"/>
      <c r="D1" s="54"/>
    </row>
    <row r="2" spans="1:13" ht="20.25" customHeight="1" x14ac:dyDescent="0.25">
      <c r="A2" s="9" t="s">
        <v>41</v>
      </c>
      <c r="B2" s="10" t="s">
        <v>28</v>
      </c>
      <c r="C2" s="10" t="s">
        <v>29</v>
      </c>
      <c r="D2" s="10" t="s">
        <v>30</v>
      </c>
      <c r="J2" s="52" t="s">
        <v>40</v>
      </c>
      <c r="K2" s="53"/>
      <c r="L2" s="53"/>
      <c r="M2" s="53"/>
    </row>
    <row r="3" spans="1:13" x14ac:dyDescent="0.25">
      <c r="A3" s="9">
        <v>1</v>
      </c>
      <c r="B3" s="13" t="s">
        <v>31</v>
      </c>
      <c r="C3" s="11" t="s">
        <v>32</v>
      </c>
      <c r="D3" s="15">
        <v>28000</v>
      </c>
      <c r="J3" s="53"/>
      <c r="K3" s="53"/>
      <c r="L3" s="53"/>
      <c r="M3" s="53"/>
    </row>
    <row r="4" spans="1:13" x14ac:dyDescent="0.25">
      <c r="A4" s="9">
        <v>2</v>
      </c>
      <c r="B4" s="13" t="s">
        <v>33</v>
      </c>
      <c r="C4" s="11" t="s">
        <v>34</v>
      </c>
      <c r="D4" s="15">
        <v>45000</v>
      </c>
      <c r="J4" s="53"/>
      <c r="K4" s="53"/>
      <c r="L4" s="53"/>
      <c r="M4" s="53"/>
    </row>
    <row r="5" spans="1:13" x14ac:dyDescent="0.25">
      <c r="A5" s="9">
        <v>3</v>
      </c>
      <c r="B5" s="13" t="s">
        <v>35</v>
      </c>
      <c r="C5" s="11" t="s">
        <v>34</v>
      </c>
      <c r="D5" s="15">
        <v>50000</v>
      </c>
      <c r="J5" s="53"/>
      <c r="K5" s="53"/>
      <c r="L5" s="53"/>
      <c r="M5" s="53"/>
    </row>
    <row r="6" spans="1:13" x14ac:dyDescent="0.25">
      <c r="A6" s="9">
        <v>4</v>
      </c>
      <c r="B6" s="13" t="s">
        <v>36</v>
      </c>
      <c r="C6" s="11" t="s">
        <v>37</v>
      </c>
      <c r="D6" s="15">
        <v>42000</v>
      </c>
    </row>
    <row r="7" spans="1:13" x14ac:dyDescent="0.25">
      <c r="A7" s="9">
        <v>5</v>
      </c>
      <c r="B7" s="13" t="s">
        <v>38</v>
      </c>
      <c r="C7" s="11" t="s">
        <v>32</v>
      </c>
      <c r="D7" s="15">
        <v>30000</v>
      </c>
    </row>
    <row r="8" spans="1:13" x14ac:dyDescent="0.25">
      <c r="A8" s="9">
        <v>6</v>
      </c>
      <c r="B8" s="13" t="s">
        <v>39</v>
      </c>
      <c r="C8" s="11" t="s">
        <v>37</v>
      </c>
      <c r="D8" s="15">
        <v>38000</v>
      </c>
    </row>
    <row r="9" spans="1:13" x14ac:dyDescent="0.25">
      <c r="A9" s="9">
        <v>7</v>
      </c>
      <c r="B9" s="12" t="s">
        <v>42</v>
      </c>
      <c r="C9" s="11" t="s">
        <v>32</v>
      </c>
      <c r="D9" s="16">
        <v>44663</v>
      </c>
    </row>
    <row r="10" spans="1:13" x14ac:dyDescent="0.25">
      <c r="A10" s="9">
        <v>8</v>
      </c>
      <c r="B10" s="12" t="s">
        <v>43</v>
      </c>
      <c r="C10" s="11" t="s">
        <v>34</v>
      </c>
      <c r="D10" s="16">
        <v>52543</v>
      </c>
    </row>
    <row r="11" spans="1:13" x14ac:dyDescent="0.25">
      <c r="A11" s="9">
        <v>9</v>
      </c>
      <c r="B11" s="12" t="s">
        <v>44</v>
      </c>
      <c r="C11" s="11" t="s">
        <v>34</v>
      </c>
      <c r="D11" s="16">
        <v>49756</v>
      </c>
    </row>
    <row r="12" spans="1:13" x14ac:dyDescent="0.25">
      <c r="A12" s="9">
        <v>10</v>
      </c>
      <c r="B12" s="12" t="s">
        <v>45</v>
      </c>
      <c r="C12" s="11" t="s">
        <v>37</v>
      </c>
      <c r="D12" s="16">
        <v>51935</v>
      </c>
    </row>
    <row r="13" spans="1:13" x14ac:dyDescent="0.25">
      <c r="A13" s="9">
        <v>11</v>
      </c>
      <c r="B13" s="12" t="s">
        <v>46</v>
      </c>
      <c r="C13" s="11" t="s">
        <v>32</v>
      </c>
      <c r="D13" s="16">
        <v>47337</v>
      </c>
    </row>
    <row r="14" spans="1:13" x14ac:dyDescent="0.25">
      <c r="A14" s="9">
        <v>12</v>
      </c>
      <c r="B14" s="12" t="s">
        <v>47</v>
      </c>
      <c r="C14" s="11" t="s">
        <v>37</v>
      </c>
      <c r="D14" s="16">
        <v>43963</v>
      </c>
    </row>
    <row r="15" spans="1:13" x14ac:dyDescent="0.25">
      <c r="A15" s="9">
        <v>13</v>
      </c>
      <c r="B15" s="12" t="s">
        <v>48</v>
      </c>
      <c r="C15" s="11" t="s">
        <v>32</v>
      </c>
      <c r="D15" s="16">
        <v>52896</v>
      </c>
    </row>
    <row r="16" spans="1:13" x14ac:dyDescent="0.25">
      <c r="A16" s="9">
        <v>14</v>
      </c>
      <c r="B16" s="12" t="s">
        <v>44</v>
      </c>
      <c r="C16" s="11" t="s">
        <v>34</v>
      </c>
      <c r="D16" s="16">
        <v>54388</v>
      </c>
    </row>
    <row r="17" spans="1:4" x14ac:dyDescent="0.25">
      <c r="A17" s="9">
        <v>15</v>
      </c>
      <c r="B17" s="12" t="s">
        <v>49</v>
      </c>
      <c r="C17" s="11" t="s">
        <v>34</v>
      </c>
      <c r="D17" s="16">
        <v>49764</v>
      </c>
    </row>
    <row r="18" spans="1:4" x14ac:dyDescent="0.25">
      <c r="A18" s="9">
        <v>16</v>
      </c>
      <c r="B18" s="12" t="s">
        <v>50</v>
      </c>
      <c r="C18" s="11" t="s">
        <v>37</v>
      </c>
      <c r="D18" s="16">
        <v>54224</v>
      </c>
    </row>
    <row r="19" spans="1:4" x14ac:dyDescent="0.25">
      <c r="A19" s="9">
        <v>17</v>
      </c>
      <c r="B19" s="12" t="s">
        <v>51</v>
      </c>
      <c r="C19" s="11" t="s">
        <v>32</v>
      </c>
      <c r="D19" s="16">
        <v>44986</v>
      </c>
    </row>
    <row r="20" spans="1:4" x14ac:dyDescent="0.25">
      <c r="A20" s="9">
        <v>18</v>
      </c>
      <c r="B20" s="12" t="s">
        <v>52</v>
      </c>
      <c r="C20" s="11" t="s">
        <v>37</v>
      </c>
      <c r="D20" s="16">
        <v>53334</v>
      </c>
    </row>
    <row r="21" spans="1:4" x14ac:dyDescent="0.25">
      <c r="D21" s="17"/>
    </row>
    <row r="22" spans="1:4" x14ac:dyDescent="0.25">
      <c r="A22" s="55" t="s">
        <v>53</v>
      </c>
      <c r="B22" s="55"/>
      <c r="C22" s="55"/>
      <c r="D22" s="18">
        <f>SUM(D17,D16,D11,D10,D5,D4)</f>
        <v>301451</v>
      </c>
    </row>
    <row r="23" spans="1:4" x14ac:dyDescent="0.25">
      <c r="A23" s="55" t="s">
        <v>54</v>
      </c>
      <c r="B23" s="55"/>
      <c r="C23" s="55"/>
      <c r="D23" s="18">
        <f>SUM(D19,D15,D13,D9,D7)</f>
        <v>219882</v>
      </c>
    </row>
    <row r="24" spans="1:4" x14ac:dyDescent="0.25">
      <c r="A24" s="55" t="s">
        <v>55</v>
      </c>
      <c r="B24" s="55"/>
      <c r="C24" s="55"/>
      <c r="D24" s="18">
        <f>SUM(D20,D18,D14,D12,D8,D6)</f>
        <v>283456</v>
      </c>
    </row>
    <row r="25" spans="1:4" x14ac:dyDescent="0.25">
      <c r="A25" s="14"/>
      <c r="B25" s="14"/>
      <c r="C25" s="14"/>
      <c r="D25" s="19"/>
    </row>
    <row r="26" spans="1:4" x14ac:dyDescent="0.25">
      <c r="A26" s="56" t="s">
        <v>24</v>
      </c>
      <c r="B26" s="56"/>
      <c r="C26" s="56"/>
      <c r="D26" s="20">
        <f>AVERAGE(D3:D20)</f>
        <v>46266.055555555555</v>
      </c>
    </row>
    <row r="28" spans="1:4" x14ac:dyDescent="0.25">
      <c r="A28" s="49" t="s">
        <v>72</v>
      </c>
      <c r="B28" s="50"/>
      <c r="C28" s="51"/>
      <c r="D28" s="21" t="s">
        <v>73</v>
      </c>
    </row>
    <row r="29" spans="1:4" x14ac:dyDescent="0.25">
      <c r="A29" s="48" t="s">
        <v>32</v>
      </c>
      <c r="B29" s="48"/>
      <c r="C29" s="48"/>
      <c r="D29" s="9">
        <f>COUNTIF(C3:C20,A29)</f>
        <v>6</v>
      </c>
    </row>
    <row r="30" spans="1:4" x14ac:dyDescent="0.25">
      <c r="A30" s="48" t="s">
        <v>34</v>
      </c>
      <c r="B30" s="48"/>
      <c r="C30" s="48"/>
      <c r="D30" s="9">
        <f t="shared" ref="D30:D31" si="0">COUNTIF(C4:C21,A30)</f>
        <v>6</v>
      </c>
    </row>
    <row r="31" spans="1:4" x14ac:dyDescent="0.25">
      <c r="A31" s="48" t="s">
        <v>37</v>
      </c>
      <c r="B31" s="48"/>
      <c r="C31" s="48"/>
      <c r="D31" s="9">
        <f t="shared" si="0"/>
        <v>6</v>
      </c>
    </row>
  </sheetData>
  <mergeCells count="10">
    <mergeCell ref="A1:D1"/>
    <mergeCell ref="A22:C22"/>
    <mergeCell ref="A23:C23"/>
    <mergeCell ref="A24:C24"/>
    <mergeCell ref="A26:C26"/>
    <mergeCell ref="A29:C29"/>
    <mergeCell ref="A30:C30"/>
    <mergeCell ref="A31:C31"/>
    <mergeCell ref="A28:C28"/>
    <mergeCell ref="J2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BDB0-7BF1-453B-AA32-5253942440C3}">
  <dimension ref="A1:M20"/>
  <sheetViews>
    <sheetView workbookViewId="0">
      <selection activeCell="A8" sqref="A8:A21"/>
    </sheetView>
  </sheetViews>
  <sheetFormatPr defaultRowHeight="15" x14ac:dyDescent="0.25"/>
  <sheetData>
    <row r="1" spans="1:13" ht="69" customHeight="1" x14ac:dyDescent="0.25">
      <c r="A1" s="58" t="s">
        <v>56</v>
      </c>
      <c r="B1" s="59"/>
      <c r="C1" s="59"/>
      <c r="D1" s="59"/>
      <c r="E1" s="59"/>
      <c r="F1" s="59"/>
      <c r="G1" s="59"/>
      <c r="H1" s="60"/>
    </row>
    <row r="2" spans="1:13" ht="30" x14ac:dyDescent="0.25">
      <c r="A2" s="10" t="s">
        <v>57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74</v>
      </c>
      <c r="H2" s="10" t="s">
        <v>75</v>
      </c>
      <c r="I2" s="44" t="s">
        <v>69</v>
      </c>
      <c r="J2" s="57"/>
      <c r="K2" s="57"/>
      <c r="L2" s="57"/>
      <c r="M2" s="57"/>
    </row>
    <row r="3" spans="1:13" ht="18" customHeight="1" x14ac:dyDescent="0.25">
      <c r="A3" s="11" t="s">
        <v>63</v>
      </c>
      <c r="B3" s="11" t="s">
        <v>64</v>
      </c>
      <c r="C3" s="11" t="s">
        <v>65</v>
      </c>
      <c r="D3" s="11" t="s">
        <v>64</v>
      </c>
      <c r="E3" s="11" t="s">
        <v>64</v>
      </c>
      <c r="F3" s="11" t="s">
        <v>64</v>
      </c>
      <c r="G3" s="22">
        <f>COUNTIF(B3:F3,"p")</f>
        <v>4</v>
      </c>
      <c r="H3" s="22">
        <f>COUNTIF(B3:F3,"a")</f>
        <v>1</v>
      </c>
      <c r="I3" s="57"/>
      <c r="J3" s="57"/>
      <c r="K3" s="57"/>
      <c r="L3" s="57"/>
      <c r="M3" s="57"/>
    </row>
    <row r="4" spans="1:13" ht="15.75" customHeight="1" x14ac:dyDescent="0.25">
      <c r="A4" s="11" t="s">
        <v>66</v>
      </c>
      <c r="B4" s="11" t="s">
        <v>64</v>
      </c>
      <c r="C4" s="11" t="s">
        <v>64</v>
      </c>
      <c r="D4" s="11" t="s">
        <v>64</v>
      </c>
      <c r="E4" s="11" t="s">
        <v>65</v>
      </c>
      <c r="F4" s="11" t="s">
        <v>64</v>
      </c>
      <c r="G4" s="22">
        <f t="shared" ref="G4:G20" si="0">COUNTIF(B4:F4,"p")</f>
        <v>4</v>
      </c>
      <c r="H4" s="22">
        <f t="shared" ref="H4:H20" si="1">COUNTIF(B4:F4,"a")</f>
        <v>1</v>
      </c>
      <c r="I4" s="57"/>
      <c r="J4" s="57"/>
      <c r="K4" s="57"/>
      <c r="L4" s="57"/>
      <c r="M4" s="57"/>
    </row>
    <row r="5" spans="1:13" x14ac:dyDescent="0.25">
      <c r="A5" s="11" t="s">
        <v>67</v>
      </c>
      <c r="B5" s="11" t="s">
        <v>65</v>
      </c>
      <c r="C5" s="11" t="s">
        <v>64</v>
      </c>
      <c r="D5" s="11" t="s">
        <v>64</v>
      </c>
      <c r="E5" s="11" t="s">
        <v>64</v>
      </c>
      <c r="F5" s="11" t="s">
        <v>64</v>
      </c>
      <c r="G5" s="22">
        <f t="shared" si="0"/>
        <v>4</v>
      </c>
      <c r="H5" s="22">
        <f t="shared" si="1"/>
        <v>1</v>
      </c>
    </row>
    <row r="6" spans="1:13" x14ac:dyDescent="0.25">
      <c r="A6" s="11" t="s">
        <v>68</v>
      </c>
      <c r="B6" s="11" t="s">
        <v>64</v>
      </c>
      <c r="C6" s="11" t="s">
        <v>65</v>
      </c>
      <c r="D6" s="11" t="s">
        <v>65</v>
      </c>
      <c r="E6" s="11" t="s">
        <v>64</v>
      </c>
      <c r="F6" s="11" t="s">
        <v>65</v>
      </c>
      <c r="G6" s="22">
        <f t="shared" si="0"/>
        <v>2</v>
      </c>
      <c r="H6" s="22">
        <f t="shared" si="1"/>
        <v>3</v>
      </c>
    </row>
    <row r="7" spans="1:13" x14ac:dyDescent="0.25">
      <c r="A7" s="12" t="s">
        <v>42</v>
      </c>
      <c r="B7" s="11" t="s">
        <v>64</v>
      </c>
      <c r="C7" s="11" t="s">
        <v>65</v>
      </c>
      <c r="D7" s="11" t="s">
        <v>64</v>
      </c>
      <c r="E7" s="11" t="s">
        <v>64</v>
      </c>
      <c r="F7" s="11" t="s">
        <v>64</v>
      </c>
      <c r="G7" s="22">
        <f t="shared" si="0"/>
        <v>4</v>
      </c>
      <c r="H7" s="22">
        <f t="shared" si="1"/>
        <v>1</v>
      </c>
    </row>
    <row r="8" spans="1:13" x14ac:dyDescent="0.25">
      <c r="A8" s="12" t="s">
        <v>43</v>
      </c>
      <c r="B8" s="11" t="s">
        <v>64</v>
      </c>
      <c r="C8" s="11" t="s">
        <v>64</v>
      </c>
      <c r="D8" s="11" t="s">
        <v>64</v>
      </c>
      <c r="E8" s="11" t="s">
        <v>65</v>
      </c>
      <c r="F8" s="11" t="s">
        <v>64</v>
      </c>
      <c r="G8" s="22">
        <f t="shared" si="0"/>
        <v>4</v>
      </c>
      <c r="H8" s="22">
        <f t="shared" si="1"/>
        <v>1</v>
      </c>
    </row>
    <row r="9" spans="1:13" x14ac:dyDescent="0.25">
      <c r="A9" s="12" t="s">
        <v>44</v>
      </c>
      <c r="B9" s="11" t="s">
        <v>65</v>
      </c>
      <c r="C9" s="11" t="s">
        <v>64</v>
      </c>
      <c r="D9" s="11" t="s">
        <v>64</v>
      </c>
      <c r="E9" s="11" t="s">
        <v>64</v>
      </c>
      <c r="F9" s="11" t="s">
        <v>64</v>
      </c>
      <c r="G9" s="22">
        <f t="shared" si="0"/>
        <v>4</v>
      </c>
      <c r="H9" s="22">
        <f t="shared" si="1"/>
        <v>1</v>
      </c>
    </row>
    <row r="10" spans="1:13" x14ac:dyDescent="0.25">
      <c r="A10" s="12" t="s">
        <v>45</v>
      </c>
      <c r="B10" s="11" t="s">
        <v>64</v>
      </c>
      <c r="C10" s="11" t="s">
        <v>65</v>
      </c>
      <c r="D10" s="11" t="s">
        <v>65</v>
      </c>
      <c r="E10" s="11" t="s">
        <v>64</v>
      </c>
      <c r="F10" s="11" t="s">
        <v>65</v>
      </c>
      <c r="G10" s="22">
        <f t="shared" si="0"/>
        <v>2</v>
      </c>
      <c r="H10" s="22">
        <f t="shared" si="1"/>
        <v>3</v>
      </c>
    </row>
    <row r="11" spans="1:13" x14ac:dyDescent="0.25">
      <c r="A11" s="12" t="s">
        <v>46</v>
      </c>
      <c r="B11" s="11" t="s">
        <v>64</v>
      </c>
      <c r="C11" s="11" t="s">
        <v>65</v>
      </c>
      <c r="D11" s="11" t="s">
        <v>64</v>
      </c>
      <c r="E11" s="11" t="s">
        <v>64</v>
      </c>
      <c r="F11" s="11" t="s">
        <v>64</v>
      </c>
      <c r="G11" s="22">
        <f t="shared" si="0"/>
        <v>4</v>
      </c>
      <c r="H11" s="22">
        <f t="shared" si="1"/>
        <v>1</v>
      </c>
    </row>
    <row r="12" spans="1:13" x14ac:dyDescent="0.25">
      <c r="A12" s="12" t="s">
        <v>47</v>
      </c>
      <c r="B12" s="11" t="s">
        <v>64</v>
      </c>
      <c r="C12" s="11" t="s">
        <v>64</v>
      </c>
      <c r="D12" s="11" t="s">
        <v>64</v>
      </c>
      <c r="E12" s="11" t="s">
        <v>65</v>
      </c>
      <c r="F12" s="11" t="s">
        <v>64</v>
      </c>
      <c r="G12" s="22">
        <f t="shared" si="0"/>
        <v>4</v>
      </c>
      <c r="H12" s="22">
        <f t="shared" si="1"/>
        <v>1</v>
      </c>
    </row>
    <row r="13" spans="1:13" x14ac:dyDescent="0.25">
      <c r="A13" s="12" t="s">
        <v>48</v>
      </c>
      <c r="B13" s="11" t="s">
        <v>65</v>
      </c>
      <c r="C13" s="11" t="s">
        <v>64</v>
      </c>
      <c r="D13" s="11" t="s">
        <v>64</v>
      </c>
      <c r="E13" s="11" t="s">
        <v>64</v>
      </c>
      <c r="F13" s="11" t="s">
        <v>64</v>
      </c>
      <c r="G13" s="22">
        <f t="shared" si="0"/>
        <v>4</v>
      </c>
      <c r="H13" s="22">
        <f t="shared" si="1"/>
        <v>1</v>
      </c>
    </row>
    <row r="14" spans="1:13" x14ac:dyDescent="0.25">
      <c r="A14" s="12" t="s">
        <v>44</v>
      </c>
      <c r="B14" s="11" t="s">
        <v>64</v>
      </c>
      <c r="C14" s="11" t="s">
        <v>65</v>
      </c>
      <c r="D14" s="11" t="s">
        <v>65</v>
      </c>
      <c r="E14" s="11" t="s">
        <v>64</v>
      </c>
      <c r="F14" s="11" t="s">
        <v>65</v>
      </c>
      <c r="G14" s="22">
        <f t="shared" si="0"/>
        <v>2</v>
      </c>
      <c r="H14" s="22">
        <f t="shared" si="1"/>
        <v>3</v>
      </c>
    </row>
    <row r="15" spans="1:13" x14ac:dyDescent="0.25">
      <c r="A15" s="12" t="s">
        <v>49</v>
      </c>
      <c r="B15" s="11" t="s">
        <v>64</v>
      </c>
      <c r="C15" s="11" t="s">
        <v>65</v>
      </c>
      <c r="D15" s="11" t="s">
        <v>64</v>
      </c>
      <c r="E15" s="11" t="s">
        <v>64</v>
      </c>
      <c r="F15" s="11" t="s">
        <v>64</v>
      </c>
      <c r="G15" s="22">
        <f t="shared" si="0"/>
        <v>4</v>
      </c>
      <c r="H15" s="22">
        <f t="shared" si="1"/>
        <v>1</v>
      </c>
    </row>
    <row r="16" spans="1:13" x14ac:dyDescent="0.25">
      <c r="A16" s="12" t="s">
        <v>50</v>
      </c>
      <c r="B16" s="11" t="s">
        <v>64</v>
      </c>
      <c r="C16" s="11" t="s">
        <v>64</v>
      </c>
      <c r="D16" s="11" t="s">
        <v>64</v>
      </c>
      <c r="E16" s="11" t="s">
        <v>65</v>
      </c>
      <c r="F16" s="11" t="s">
        <v>64</v>
      </c>
      <c r="G16" s="22">
        <f t="shared" si="0"/>
        <v>4</v>
      </c>
      <c r="H16" s="22">
        <f t="shared" si="1"/>
        <v>1</v>
      </c>
    </row>
    <row r="17" spans="1:8" x14ac:dyDescent="0.25">
      <c r="A17" s="12" t="s">
        <v>51</v>
      </c>
      <c r="B17" s="11" t="s">
        <v>65</v>
      </c>
      <c r="C17" s="11" t="s">
        <v>64</v>
      </c>
      <c r="D17" s="11" t="s">
        <v>64</v>
      </c>
      <c r="E17" s="11" t="s">
        <v>64</v>
      </c>
      <c r="F17" s="11" t="s">
        <v>64</v>
      </c>
      <c r="G17" s="22">
        <f t="shared" si="0"/>
        <v>4</v>
      </c>
      <c r="H17" s="22">
        <f t="shared" si="1"/>
        <v>1</v>
      </c>
    </row>
    <row r="18" spans="1:8" x14ac:dyDescent="0.25">
      <c r="A18" s="12" t="s">
        <v>52</v>
      </c>
      <c r="B18" s="11" t="s">
        <v>64</v>
      </c>
      <c r="C18" s="11" t="s">
        <v>65</v>
      </c>
      <c r="D18" s="11" t="s">
        <v>65</v>
      </c>
      <c r="E18" s="11" t="s">
        <v>64</v>
      </c>
      <c r="F18" s="11" t="s">
        <v>65</v>
      </c>
      <c r="G18" s="22">
        <f t="shared" si="0"/>
        <v>2</v>
      </c>
      <c r="H18" s="22">
        <f t="shared" si="1"/>
        <v>3</v>
      </c>
    </row>
    <row r="19" spans="1:8" x14ac:dyDescent="0.25">
      <c r="A19" s="12" t="s">
        <v>70</v>
      </c>
      <c r="B19" s="11" t="s">
        <v>64</v>
      </c>
      <c r="C19" s="11" t="s">
        <v>65</v>
      </c>
      <c r="D19" s="11" t="s">
        <v>64</v>
      </c>
      <c r="E19" s="11" t="s">
        <v>64</v>
      </c>
      <c r="F19" s="11" t="s">
        <v>64</v>
      </c>
      <c r="G19" s="22">
        <f t="shared" si="0"/>
        <v>4</v>
      </c>
      <c r="H19" s="22">
        <f t="shared" si="1"/>
        <v>1</v>
      </c>
    </row>
    <row r="20" spans="1:8" x14ac:dyDescent="0.25">
      <c r="A20" s="12" t="s">
        <v>71</v>
      </c>
      <c r="B20" s="11" t="s">
        <v>64</v>
      </c>
      <c r="C20" s="11" t="s">
        <v>64</v>
      </c>
      <c r="D20" s="11" t="s">
        <v>64</v>
      </c>
      <c r="E20" s="11" t="s">
        <v>65</v>
      </c>
      <c r="F20" s="11" t="s">
        <v>64</v>
      </c>
      <c r="G20" s="22">
        <f t="shared" si="0"/>
        <v>4</v>
      </c>
      <c r="H20" s="22">
        <f t="shared" si="1"/>
        <v>1</v>
      </c>
    </row>
  </sheetData>
  <mergeCells count="2">
    <mergeCell ref="I2:M4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17B4-748C-41F1-8112-F0F9DE7C4700}">
  <dimension ref="A1:K20"/>
  <sheetViews>
    <sheetView workbookViewId="0">
      <selection activeCell="D3" sqref="D3"/>
    </sheetView>
  </sheetViews>
  <sheetFormatPr defaultRowHeight="15" x14ac:dyDescent="0.25"/>
  <cols>
    <col min="1" max="1" width="11.140625" customWidth="1"/>
    <col min="4" max="4" width="22.7109375" customWidth="1"/>
  </cols>
  <sheetData>
    <row r="1" spans="1:11" ht="48.75" customHeight="1" x14ac:dyDescent="0.25">
      <c r="A1" s="61" t="s">
        <v>76</v>
      </c>
      <c r="B1" s="62"/>
      <c r="C1" s="29"/>
      <c r="D1" s="32"/>
    </row>
    <row r="2" spans="1:11" ht="14.25" customHeight="1" x14ac:dyDescent="0.25">
      <c r="A2" s="23" t="s">
        <v>77</v>
      </c>
      <c r="B2" s="25" t="s">
        <v>3</v>
      </c>
      <c r="C2" s="31"/>
      <c r="D2" s="30" t="s">
        <v>96</v>
      </c>
      <c r="E2" s="30">
        <f>COUNTIF($B$2:$B$20,"&gt;10000")</f>
        <v>3</v>
      </c>
    </row>
    <row r="3" spans="1:11" x14ac:dyDescent="0.25">
      <c r="A3" s="24" t="s">
        <v>78</v>
      </c>
      <c r="B3" s="26">
        <v>4500</v>
      </c>
      <c r="C3" s="27"/>
      <c r="D3" s="30" t="s">
        <v>97</v>
      </c>
      <c r="E3" s="30">
        <f>COUNTIF($B$2:$B$20,"&lt;5000")</f>
        <v>2</v>
      </c>
    </row>
    <row r="4" spans="1:11" x14ac:dyDescent="0.25">
      <c r="A4" s="24" t="s">
        <v>79</v>
      </c>
      <c r="B4" s="26">
        <v>12000</v>
      </c>
      <c r="C4" s="27"/>
    </row>
    <row r="5" spans="1:11" x14ac:dyDescent="0.25">
      <c r="A5" s="24" t="s">
        <v>80</v>
      </c>
      <c r="B5" s="26">
        <v>8000</v>
      </c>
      <c r="C5" s="27"/>
    </row>
    <row r="6" spans="1:11" ht="21" customHeight="1" x14ac:dyDescent="0.25">
      <c r="A6" s="24" t="s">
        <v>81</v>
      </c>
      <c r="B6" s="26">
        <v>25000</v>
      </c>
      <c r="C6" s="27"/>
      <c r="H6" s="44" t="s">
        <v>98</v>
      </c>
      <c r="I6" s="44"/>
      <c r="J6" s="44"/>
      <c r="K6" s="44"/>
    </row>
    <row r="7" spans="1:11" ht="12.75" customHeight="1" x14ac:dyDescent="0.25">
      <c r="A7" s="24" t="s">
        <v>82</v>
      </c>
      <c r="B7" s="26">
        <v>3000</v>
      </c>
      <c r="C7" s="27"/>
      <c r="H7" s="44"/>
      <c r="I7" s="44"/>
      <c r="J7" s="44"/>
      <c r="K7" s="44"/>
    </row>
    <row r="8" spans="1:11" ht="20.25" customHeight="1" x14ac:dyDescent="0.25">
      <c r="A8" s="24" t="s">
        <v>83</v>
      </c>
      <c r="B8" s="26">
        <v>15000</v>
      </c>
      <c r="C8" s="27"/>
      <c r="H8" s="44"/>
      <c r="I8" s="44"/>
      <c r="J8" s="44"/>
      <c r="K8" s="44"/>
    </row>
    <row r="9" spans="1:11" x14ac:dyDescent="0.25">
      <c r="A9" s="24" t="s">
        <v>84</v>
      </c>
      <c r="B9" s="28">
        <v>5967</v>
      </c>
      <c r="H9" s="44"/>
      <c r="I9" s="44"/>
      <c r="J9" s="44"/>
      <c r="K9" s="44"/>
    </row>
    <row r="10" spans="1:11" x14ac:dyDescent="0.25">
      <c r="A10" s="24" t="s">
        <v>85</v>
      </c>
      <c r="B10" s="28">
        <v>5692</v>
      </c>
      <c r="H10" s="44"/>
      <c r="I10" s="44"/>
      <c r="J10" s="44"/>
      <c r="K10" s="44"/>
    </row>
    <row r="11" spans="1:11" x14ac:dyDescent="0.25">
      <c r="A11" s="24" t="s">
        <v>86</v>
      </c>
      <c r="B11" s="28">
        <v>6325</v>
      </c>
    </row>
    <row r="12" spans="1:11" x14ac:dyDescent="0.25">
      <c r="A12" s="24" t="s">
        <v>87</v>
      </c>
      <c r="B12" s="28">
        <v>6814</v>
      </c>
    </row>
    <row r="13" spans="1:11" x14ac:dyDescent="0.25">
      <c r="A13" s="24" t="s">
        <v>88</v>
      </c>
      <c r="B13" s="28">
        <v>8590</v>
      </c>
    </row>
    <row r="14" spans="1:11" x14ac:dyDescent="0.25">
      <c r="A14" s="24" t="s">
        <v>89</v>
      </c>
      <c r="B14" s="28">
        <v>7137</v>
      </c>
    </row>
    <row r="15" spans="1:11" x14ac:dyDescent="0.25">
      <c r="A15" s="24" t="s">
        <v>90</v>
      </c>
      <c r="B15" s="28">
        <v>8552</v>
      </c>
    </row>
    <row r="16" spans="1:11" x14ac:dyDescent="0.25">
      <c r="A16" s="24" t="s">
        <v>91</v>
      </c>
      <c r="B16" s="28">
        <v>8830</v>
      </c>
    </row>
    <row r="17" spans="1:2" x14ac:dyDescent="0.25">
      <c r="A17" s="24" t="s">
        <v>92</v>
      </c>
      <c r="B17" s="28">
        <v>9603</v>
      </c>
    </row>
    <row r="18" spans="1:2" x14ac:dyDescent="0.25">
      <c r="A18" s="24" t="s">
        <v>93</v>
      </c>
      <c r="B18" s="28">
        <v>6084</v>
      </c>
    </row>
    <row r="19" spans="1:2" x14ac:dyDescent="0.25">
      <c r="A19" s="24" t="s">
        <v>94</v>
      </c>
      <c r="B19" s="28">
        <v>9140</v>
      </c>
    </row>
    <row r="20" spans="1:2" x14ac:dyDescent="0.25">
      <c r="A20" s="24" t="s">
        <v>95</v>
      </c>
      <c r="B20" s="28">
        <v>9979</v>
      </c>
    </row>
  </sheetData>
  <mergeCells count="2">
    <mergeCell ref="A1:B1"/>
    <mergeCell ref="H6:K10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868D-EBB2-4DE0-A94C-4062ADAA5999}">
  <dimension ref="A1:K22"/>
  <sheetViews>
    <sheetView workbookViewId="0">
      <selection activeCell="A4" sqref="A4"/>
    </sheetView>
  </sheetViews>
  <sheetFormatPr defaultRowHeight="15" x14ac:dyDescent="0.25"/>
  <cols>
    <col min="1" max="1" width="14.42578125" customWidth="1"/>
    <col min="2" max="2" width="25.28515625" customWidth="1"/>
  </cols>
  <sheetData>
    <row r="1" spans="1:11" ht="48" customHeight="1" thickBot="1" x14ac:dyDescent="0.3">
      <c r="A1" s="63" t="s">
        <v>99</v>
      </c>
      <c r="B1" s="63"/>
    </row>
    <row r="2" spans="1:11" x14ac:dyDescent="0.25">
      <c r="A2" s="33" t="s">
        <v>100</v>
      </c>
      <c r="B2" s="33" t="s">
        <v>3</v>
      </c>
    </row>
    <row r="3" spans="1:11" ht="21.75" customHeight="1" x14ac:dyDescent="0.25">
      <c r="A3" s="34" t="s">
        <v>101</v>
      </c>
      <c r="B3" s="34">
        <v>22000</v>
      </c>
      <c r="G3" s="44" t="s">
        <v>106</v>
      </c>
      <c r="H3" s="44"/>
      <c r="I3" s="44"/>
      <c r="J3" s="44"/>
      <c r="K3" s="44"/>
    </row>
    <row r="4" spans="1:11" ht="17.25" customHeight="1" x14ac:dyDescent="0.25">
      <c r="A4" s="34" t="s">
        <v>102</v>
      </c>
      <c r="B4" s="34">
        <v>3500</v>
      </c>
      <c r="G4" s="44"/>
      <c r="H4" s="44"/>
      <c r="I4" s="44"/>
      <c r="J4" s="44"/>
      <c r="K4" s="44"/>
    </row>
    <row r="5" spans="1:11" ht="18" customHeight="1" x14ac:dyDescent="0.25">
      <c r="A5" s="34" t="s">
        <v>103</v>
      </c>
      <c r="B5" s="34">
        <v>58000</v>
      </c>
      <c r="G5" s="44"/>
      <c r="H5" s="44"/>
      <c r="I5" s="44"/>
      <c r="J5" s="44"/>
      <c r="K5" s="44"/>
    </row>
    <row r="6" spans="1:11" x14ac:dyDescent="0.25">
      <c r="A6" s="34" t="s">
        <v>104</v>
      </c>
      <c r="B6" s="34">
        <v>1800</v>
      </c>
    </row>
    <row r="7" spans="1:11" x14ac:dyDescent="0.25">
      <c r="A7" s="34" t="s">
        <v>105</v>
      </c>
      <c r="B7" s="34">
        <v>12000</v>
      </c>
    </row>
    <row r="8" spans="1:11" x14ac:dyDescent="0.25">
      <c r="A8" s="34" t="s">
        <v>101</v>
      </c>
      <c r="B8" s="35">
        <v>8798</v>
      </c>
    </row>
    <row r="9" spans="1:11" x14ac:dyDescent="0.25">
      <c r="A9" s="34" t="s">
        <v>102</v>
      </c>
      <c r="B9" s="35">
        <v>15886</v>
      </c>
    </row>
    <row r="10" spans="1:11" x14ac:dyDescent="0.25">
      <c r="A10" s="34" t="s">
        <v>103</v>
      </c>
      <c r="B10" s="35">
        <v>13971</v>
      </c>
    </row>
    <row r="11" spans="1:11" x14ac:dyDescent="0.25">
      <c r="A11" s="34" t="s">
        <v>104</v>
      </c>
      <c r="B11" s="35">
        <v>9711</v>
      </c>
    </row>
    <row r="12" spans="1:11" x14ac:dyDescent="0.25">
      <c r="A12" s="34" t="s">
        <v>105</v>
      </c>
      <c r="B12" s="35">
        <v>23931</v>
      </c>
    </row>
    <row r="13" spans="1:11" x14ac:dyDescent="0.25">
      <c r="A13" s="34" t="s">
        <v>101</v>
      </c>
      <c r="B13" s="35">
        <v>4055</v>
      </c>
    </row>
    <row r="14" spans="1:11" x14ac:dyDescent="0.25">
      <c r="A14" s="34" t="s">
        <v>102</v>
      </c>
      <c r="B14" s="35">
        <v>18051</v>
      </c>
    </row>
    <row r="15" spans="1:11" x14ac:dyDescent="0.25">
      <c r="A15" s="34" t="s">
        <v>103</v>
      </c>
      <c r="B15" s="35">
        <v>1577</v>
      </c>
    </row>
    <row r="16" spans="1:11" x14ac:dyDescent="0.25">
      <c r="A16" s="34" t="s">
        <v>104</v>
      </c>
      <c r="B16" s="35">
        <v>12541</v>
      </c>
    </row>
    <row r="17" spans="1:2" x14ac:dyDescent="0.25">
      <c r="A17" s="34" t="s">
        <v>105</v>
      </c>
      <c r="B17" s="35">
        <v>20315</v>
      </c>
    </row>
    <row r="18" spans="1:2" x14ac:dyDescent="0.25">
      <c r="A18" s="34" t="s">
        <v>101</v>
      </c>
      <c r="B18" s="35">
        <v>11970</v>
      </c>
    </row>
    <row r="19" spans="1:2" x14ac:dyDescent="0.25">
      <c r="A19" s="34" t="s">
        <v>102</v>
      </c>
      <c r="B19" s="35">
        <v>6429</v>
      </c>
    </row>
    <row r="20" spans="1:2" x14ac:dyDescent="0.25">
      <c r="A20" s="34" t="s">
        <v>103</v>
      </c>
      <c r="B20" s="35">
        <v>15360</v>
      </c>
    </row>
    <row r="21" spans="1:2" x14ac:dyDescent="0.25">
      <c r="A21" s="34" t="s">
        <v>104</v>
      </c>
      <c r="B21" s="35">
        <v>1688</v>
      </c>
    </row>
    <row r="22" spans="1:2" x14ac:dyDescent="0.25">
      <c r="A22" s="34" t="s">
        <v>105</v>
      </c>
      <c r="B22" s="35">
        <v>24921</v>
      </c>
    </row>
  </sheetData>
  <mergeCells count="2">
    <mergeCell ref="A1:B1"/>
    <mergeCell ref="G3:K5"/>
  </mergeCells>
  <conditionalFormatting sqref="B3:B22">
    <cfRule type="cellIs" dxfId="6" priority="1" operator="lessThan">
      <formula>5000</formula>
    </cfRule>
    <cfRule type="cellIs" dxfId="5" priority="2" operator="greaterThan">
      <formula>20000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F6B3-7DBA-46AB-B270-D857A5F7E8B0}">
  <dimension ref="A1:K20"/>
  <sheetViews>
    <sheetView workbookViewId="0">
      <selection activeCell="B8" sqref="B8:B20"/>
    </sheetView>
  </sheetViews>
  <sheetFormatPr defaultRowHeight="15" x14ac:dyDescent="0.25"/>
  <sheetData>
    <row r="1" spans="1:11" ht="54.75" customHeight="1" x14ac:dyDescent="0.25">
      <c r="A1" s="64" t="s">
        <v>114</v>
      </c>
      <c r="B1" s="64"/>
      <c r="C1" s="64"/>
    </row>
    <row r="2" spans="1:11" x14ac:dyDescent="0.25">
      <c r="A2" s="39" t="s">
        <v>107</v>
      </c>
      <c r="B2" s="39" t="s">
        <v>108</v>
      </c>
      <c r="C2" s="39" t="s">
        <v>109</v>
      </c>
    </row>
    <row r="3" spans="1:11" x14ac:dyDescent="0.25">
      <c r="A3" s="38">
        <v>1</v>
      </c>
      <c r="B3" s="38" t="s">
        <v>38</v>
      </c>
      <c r="C3" s="40">
        <v>85</v>
      </c>
      <c r="H3" s="44" t="s">
        <v>115</v>
      </c>
      <c r="I3" s="57"/>
      <c r="J3" s="57"/>
      <c r="K3" s="57"/>
    </row>
    <row r="4" spans="1:11" x14ac:dyDescent="0.25">
      <c r="A4" s="38">
        <v>2</v>
      </c>
      <c r="B4" s="38" t="s">
        <v>110</v>
      </c>
      <c r="C4" s="40">
        <v>72</v>
      </c>
      <c r="H4" s="57"/>
      <c r="I4" s="57"/>
      <c r="J4" s="57"/>
      <c r="K4" s="57"/>
    </row>
    <row r="5" spans="1:11" x14ac:dyDescent="0.25">
      <c r="A5" s="38">
        <v>3</v>
      </c>
      <c r="B5" s="38" t="s">
        <v>111</v>
      </c>
      <c r="C5" s="40">
        <v>39</v>
      </c>
      <c r="H5" s="57"/>
      <c r="I5" s="57"/>
      <c r="J5" s="57"/>
      <c r="K5" s="57"/>
    </row>
    <row r="6" spans="1:11" x14ac:dyDescent="0.25">
      <c r="A6" s="38">
        <v>4</v>
      </c>
      <c r="B6" s="38" t="s">
        <v>112</v>
      </c>
      <c r="C6" s="40">
        <v>91</v>
      </c>
      <c r="H6" s="57"/>
      <c r="I6" s="57"/>
      <c r="J6" s="57"/>
      <c r="K6" s="57"/>
    </row>
    <row r="7" spans="1:11" x14ac:dyDescent="0.25">
      <c r="A7" s="38">
        <v>5</v>
      </c>
      <c r="B7" s="38" t="s">
        <v>113</v>
      </c>
      <c r="C7" s="40">
        <v>28</v>
      </c>
    </row>
    <row r="8" spans="1:11" x14ac:dyDescent="0.25">
      <c r="A8" s="38">
        <v>6</v>
      </c>
      <c r="B8" s="36" t="s">
        <v>43</v>
      </c>
      <c r="C8" s="37">
        <v>48</v>
      </c>
    </row>
    <row r="9" spans="1:11" x14ac:dyDescent="0.25">
      <c r="A9" s="38">
        <v>7</v>
      </c>
      <c r="B9" s="36" t="s">
        <v>44</v>
      </c>
      <c r="C9" s="37">
        <v>27</v>
      </c>
    </row>
    <row r="10" spans="1:11" x14ac:dyDescent="0.25">
      <c r="A10" s="38">
        <v>8</v>
      </c>
      <c r="B10" s="36" t="s">
        <v>45</v>
      </c>
      <c r="C10" s="37">
        <v>88</v>
      </c>
    </row>
    <row r="11" spans="1:11" x14ac:dyDescent="0.25">
      <c r="A11" s="38">
        <v>9</v>
      </c>
      <c r="B11" s="36" t="s">
        <v>46</v>
      </c>
      <c r="C11" s="37">
        <v>56</v>
      </c>
    </row>
    <row r="12" spans="1:11" x14ac:dyDescent="0.25">
      <c r="A12" s="38">
        <v>10</v>
      </c>
      <c r="B12" s="36" t="s">
        <v>47</v>
      </c>
      <c r="C12" s="37">
        <v>24</v>
      </c>
    </row>
    <row r="13" spans="1:11" x14ac:dyDescent="0.25">
      <c r="A13" s="38">
        <v>11</v>
      </c>
      <c r="B13" s="36" t="s">
        <v>48</v>
      </c>
      <c r="C13" s="37">
        <v>12</v>
      </c>
    </row>
    <row r="14" spans="1:11" x14ac:dyDescent="0.25">
      <c r="A14" s="38">
        <v>12</v>
      </c>
      <c r="B14" s="36" t="s">
        <v>44</v>
      </c>
      <c r="C14" s="37">
        <v>63</v>
      </c>
    </row>
    <row r="15" spans="1:11" x14ac:dyDescent="0.25">
      <c r="A15" s="38">
        <v>13</v>
      </c>
      <c r="B15" s="36" t="s">
        <v>49</v>
      </c>
      <c r="C15" s="37">
        <v>12</v>
      </c>
    </row>
    <row r="16" spans="1:11" x14ac:dyDescent="0.25">
      <c r="A16" s="38">
        <v>14</v>
      </c>
      <c r="B16" s="36" t="s">
        <v>50</v>
      </c>
      <c r="C16" s="37">
        <v>72</v>
      </c>
    </row>
    <row r="17" spans="1:3" x14ac:dyDescent="0.25">
      <c r="A17" s="38">
        <v>15</v>
      </c>
      <c r="B17" s="36" t="s">
        <v>51</v>
      </c>
      <c r="C17" s="37">
        <v>36</v>
      </c>
    </row>
    <row r="18" spans="1:3" x14ac:dyDescent="0.25">
      <c r="A18" s="38">
        <v>16</v>
      </c>
      <c r="B18" s="36" t="s">
        <v>52</v>
      </c>
      <c r="C18" s="37">
        <v>95</v>
      </c>
    </row>
    <row r="19" spans="1:3" x14ac:dyDescent="0.25">
      <c r="A19" s="38">
        <v>17</v>
      </c>
      <c r="B19" s="36" t="s">
        <v>70</v>
      </c>
      <c r="C19" s="37">
        <v>38</v>
      </c>
    </row>
    <row r="20" spans="1:3" x14ac:dyDescent="0.25">
      <c r="A20" s="38">
        <v>18</v>
      </c>
      <c r="B20" s="36" t="s">
        <v>71</v>
      </c>
      <c r="C20" s="37">
        <v>53</v>
      </c>
    </row>
  </sheetData>
  <mergeCells count="2">
    <mergeCell ref="A1:C1"/>
    <mergeCell ref="H3:K6"/>
  </mergeCells>
  <conditionalFormatting sqref="C3:C20">
    <cfRule type="cellIs" dxfId="4" priority="1" operator="lessThan">
      <formula>40</formula>
    </cfRule>
    <cfRule type="cellIs" dxfId="3" priority="4" stopIfTrue="1" operator="greaterThanOrEqual">
      <formula>75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FE2E-17B4-40A8-AD2F-A08F18D760C9}">
  <dimension ref="A1:J20"/>
  <sheetViews>
    <sheetView tabSelected="1" workbookViewId="0">
      <selection activeCell="O14" sqref="O14:P14"/>
    </sheetView>
  </sheetViews>
  <sheetFormatPr defaultRowHeight="15" x14ac:dyDescent="0.25"/>
  <cols>
    <col min="1" max="1" width="12.85546875" customWidth="1"/>
  </cols>
  <sheetData>
    <row r="1" spans="1:10" ht="62.25" customHeight="1" x14ac:dyDescent="0.25">
      <c r="A1" s="61" t="s">
        <v>116</v>
      </c>
      <c r="B1" s="61"/>
    </row>
    <row r="2" spans="1:10" ht="30.75" customHeight="1" x14ac:dyDescent="0.25">
      <c r="A2" s="42" t="s">
        <v>28</v>
      </c>
      <c r="B2" s="42" t="s">
        <v>30</v>
      </c>
      <c r="G2" s="44" t="s">
        <v>122</v>
      </c>
      <c r="H2" s="44"/>
      <c r="I2" s="44"/>
      <c r="J2" s="44"/>
    </row>
    <row r="3" spans="1:10" ht="15.75" customHeight="1" x14ac:dyDescent="0.25">
      <c r="A3" s="43" t="s">
        <v>117</v>
      </c>
      <c r="B3" s="43">
        <v>28000</v>
      </c>
      <c r="G3" s="44"/>
      <c r="H3" s="44"/>
      <c r="I3" s="44"/>
      <c r="J3" s="44"/>
    </row>
    <row r="4" spans="1:10" ht="15.75" customHeight="1" x14ac:dyDescent="0.25">
      <c r="A4" s="43" t="s">
        <v>118</v>
      </c>
      <c r="B4" s="43">
        <v>34000</v>
      </c>
      <c r="G4" s="44"/>
      <c r="H4" s="44"/>
      <c r="I4" s="44"/>
      <c r="J4" s="44"/>
    </row>
    <row r="5" spans="1:10" ht="18" customHeight="1" x14ac:dyDescent="0.25">
      <c r="A5" s="43" t="s">
        <v>119</v>
      </c>
      <c r="B5" s="43">
        <v>51000</v>
      </c>
      <c r="G5" s="44"/>
      <c r="H5" s="44"/>
      <c r="I5" s="44"/>
      <c r="J5" s="44"/>
    </row>
    <row r="6" spans="1:10" x14ac:dyDescent="0.25">
      <c r="A6" s="43" t="s">
        <v>120</v>
      </c>
      <c r="B6" s="43">
        <v>47000</v>
      </c>
      <c r="G6" s="44"/>
      <c r="H6" s="44"/>
      <c r="I6" s="44"/>
      <c r="J6" s="44"/>
    </row>
    <row r="7" spans="1:10" x14ac:dyDescent="0.25">
      <c r="A7" s="43" t="s">
        <v>121</v>
      </c>
      <c r="B7" s="43">
        <v>29000</v>
      </c>
      <c r="G7" s="44"/>
      <c r="H7" s="44"/>
      <c r="I7" s="44"/>
      <c r="J7" s="44"/>
    </row>
    <row r="8" spans="1:10" x14ac:dyDescent="0.25">
      <c r="A8" s="41" t="s">
        <v>43</v>
      </c>
      <c r="B8" s="41">
        <v>40297</v>
      </c>
      <c r="G8" s="44"/>
      <c r="H8" s="44"/>
      <c r="I8" s="44"/>
      <c r="J8" s="44"/>
    </row>
    <row r="9" spans="1:10" x14ac:dyDescent="0.25">
      <c r="A9" s="41" t="s">
        <v>44</v>
      </c>
      <c r="B9" s="41">
        <v>46064</v>
      </c>
    </row>
    <row r="10" spans="1:10" x14ac:dyDescent="0.25">
      <c r="A10" s="41" t="s">
        <v>45</v>
      </c>
      <c r="B10" s="41">
        <v>44159</v>
      </c>
    </row>
    <row r="11" spans="1:10" x14ac:dyDescent="0.25">
      <c r="A11" s="41" t="s">
        <v>46</v>
      </c>
      <c r="B11" s="41">
        <v>55952</v>
      </c>
    </row>
    <row r="12" spans="1:10" x14ac:dyDescent="0.25">
      <c r="A12" s="41" t="s">
        <v>47</v>
      </c>
      <c r="B12" s="41">
        <v>56001</v>
      </c>
    </row>
    <row r="13" spans="1:10" x14ac:dyDescent="0.25">
      <c r="A13" s="41" t="s">
        <v>48</v>
      </c>
      <c r="B13" s="41">
        <v>27497</v>
      </c>
    </row>
    <row r="14" spans="1:10" x14ac:dyDescent="0.25">
      <c r="A14" s="41" t="s">
        <v>44</v>
      </c>
      <c r="B14" s="41">
        <v>34577</v>
      </c>
    </row>
    <row r="15" spans="1:10" x14ac:dyDescent="0.25">
      <c r="A15" s="41" t="s">
        <v>49</v>
      </c>
      <c r="B15" s="41">
        <v>34484</v>
      </c>
    </row>
    <row r="16" spans="1:10" x14ac:dyDescent="0.25">
      <c r="A16" s="41" t="s">
        <v>50</v>
      </c>
      <c r="B16" s="41">
        <v>48904</v>
      </c>
    </row>
    <row r="17" spans="1:2" x14ac:dyDescent="0.25">
      <c r="A17" s="41" t="s">
        <v>51</v>
      </c>
      <c r="B17" s="41">
        <v>52494</v>
      </c>
    </row>
    <row r="18" spans="1:2" x14ac:dyDescent="0.25">
      <c r="A18" s="41" t="s">
        <v>52</v>
      </c>
      <c r="B18" s="41">
        <v>28938</v>
      </c>
    </row>
    <row r="19" spans="1:2" x14ac:dyDescent="0.25">
      <c r="A19" s="41" t="s">
        <v>70</v>
      </c>
      <c r="B19" s="41">
        <v>39639</v>
      </c>
    </row>
    <row r="20" spans="1:2" x14ac:dyDescent="0.25">
      <c r="A20" s="41" t="s">
        <v>71</v>
      </c>
      <c r="B20" s="41">
        <v>37235</v>
      </c>
    </row>
  </sheetData>
  <mergeCells count="2">
    <mergeCell ref="A1:B1"/>
    <mergeCell ref="G2:J8"/>
  </mergeCells>
  <conditionalFormatting sqref="B3:B20">
    <cfRule type="cellIs" dxfId="2" priority="3" operator="greaterThanOrEqual">
      <formula>50000</formula>
    </cfRule>
    <cfRule type="cellIs" dxfId="1" priority="2" operator="between">
      <formula>30000</formula>
      <formula>49999</formula>
    </cfRule>
    <cfRule type="cellIs" dxfId="0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2026-01-25T04:29:17Z</dcterms:created>
  <dcterms:modified xsi:type="dcterms:W3CDTF">2026-01-25T06:10:10Z</dcterms:modified>
</cp:coreProperties>
</file>