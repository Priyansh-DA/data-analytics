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Viraj\OneDrive\Desktop\GITHUB\Data analytics\github\data-analytics\"/>
    </mc:Choice>
  </mc:AlternateContent>
  <xr:revisionPtr revIDLastSave="0" documentId="8_{31F9602E-1C13-445C-A068-D70AB3F7C9BA}" xr6:coauthVersionLast="47" xr6:coauthVersionMax="47" xr10:uidLastSave="{00000000-0000-0000-0000-000000000000}"/>
  <bookViews>
    <workbookView xWindow="-108" yWindow="-108" windowWidth="23256" windowHeight="12456" xr2:uid="{20C8DBFE-BBCF-4C64-BCA3-FD01568C971A}"/>
  </bookViews>
  <sheets>
    <sheet name="Sheet1" sheetId="1" r:id="rId1"/>
  </sheets>
  <definedNames>
    <definedName name="_xlnm._FilterDatabase" localSheetId="0" hidden="1">Sheet1!$A$23:$B$24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7" i="1" l="1"/>
  <c r="H37" i="1"/>
  <c r="E37" i="1"/>
  <c r="B37" i="1"/>
  <c r="N24" i="1"/>
  <c r="H24" i="1"/>
  <c r="K24" i="1"/>
  <c r="E24" i="1"/>
  <c r="B24" i="1"/>
</calcChain>
</file>

<file path=xl/sharedStrings.xml><?xml version="1.0" encoding="utf-8"?>
<sst xmlns="http://schemas.openxmlformats.org/spreadsheetml/2006/main" count="76" uniqueCount="46">
  <si>
    <t>Sheet: Employee_Data</t>
  </si>
  <si>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</si>
  <si>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</si>
  <si>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</si>
  <si>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</si>
  <si>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</si>
  <si>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</si>
  <si>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</si>
  <si>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</si>
  <si>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</si>
  <si>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</si>
  <si>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</si>
  <si>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</si>
  <si>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</si>
  <si>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</si>
  <si>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</si>
  <si>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</si>
  <si>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</si>
  <si>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</si>
  <si>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</si>
  <si>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</si>
  <si>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</si>
  <si>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</si>
  <si>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</si>
  <si>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</si>
  <si>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</si>
  <si>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</si>
  <si>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</si>
  <si>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</si>
  <si>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</si>
  <si>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</si>
  <si>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</si>
  <si>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</si>
  <si>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</si>
  <si>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Sheet: Department_Bonus (Horizontal Table)</t>
  </si>
  <si>
    <t>Bonus %</t>
  </si>
  <si>
    <r>
      <rPr>
        <sz val="11"/>
        <color rgb="FFFF0000"/>
        <rFont val="Calibri"/>
        <family val="2"/>
        <scheme val="minor"/>
      </rPr>
      <t>VLOOKUP Tasks (1–6)</t>
    </r>
    <r>
      <rPr>
        <sz val="11"/>
        <color theme="1"/>
        <rFont val="Calibri"/>
        <family val="2"/>
        <scheme val="minor"/>
      </rPr>
      <t xml:space="preserve">
-Find the Name of employee using EmployeeID from Search_Input.
-Find the Department of employee with ID E103.
-Find the Salary of employee Neha Singh using VLOOKUP.
-Get the Location of employee E107.
-If EmployeeID is not found, display "Not Found".
-Find the JoiningYear of employee E101.</t>
    </r>
  </si>
  <si>
    <t>Emplyee ID</t>
  </si>
  <si>
    <t>Employee ID</t>
  </si>
  <si>
    <t>Depatment</t>
  </si>
  <si>
    <t xml:space="preserve">Name </t>
  </si>
  <si>
    <t>E109</t>
  </si>
  <si>
    <r>
      <rPr>
        <sz val="11"/>
        <color rgb="FFFF0000"/>
        <rFont val="Calibri"/>
        <family val="2"/>
        <scheme val="minor"/>
      </rPr>
      <t>HLOOKUP Tasks (7–10)</t>
    </r>
    <r>
      <rPr>
        <sz val="11"/>
        <color theme="1"/>
        <rFont val="Calibri"/>
        <family val="2"/>
        <scheme val="minor"/>
      </rPr>
      <t xml:space="preserve">
-Find the Bonus % for IT department.
-Find the Bonus % for Finance department.
-Calculate Bonus Amount for employee E104
(Bonus Amount = Salary × Bonus %).
-If department is invalid, display "No Bonus Data"</t>
    </r>
  </si>
  <si>
    <t>Departmnt</t>
  </si>
  <si>
    <t>Bonus Amount</t>
  </si>
  <si>
    <t>Accountant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</si>
</sst>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.5"/>
      <color rgb="FF1F2328"/>
      <name val="Segoe U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/>
      <top/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right" vertical="center"/>
    </xf>
    <xf numFmtId="0" fontId="0" fillId="2" borderId="3" xfId="0" applyFill="1" applyBorder="1" applyAlignment="1">
      <alignment horizontal="left" vertical="center"/>
    </xf>
    <xf numFmtId="9" fontId="0" fillId="2" borderId="3" xfId="0" applyNumberFormat="1" applyFill="1" applyBorder="1" applyAlignment="1">
      <alignment horizontal="right" vertical="center"/>
    </xf>
    <xf numFmtId="0" fontId="0" fillId="4" borderId="3" xfId="0" applyFill="1" applyBorder="1"/>
    <xf numFmtId="0" fontId="3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3" xfId="0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4944B-14ED-4481-9AAF-E6858179C043}">
  <dimension ref="A1:Q48"/>
  <sheetViews>
    <sheetView tabSelected="1" topLeftCell="B12" zoomScale="116" workbookViewId="0">
      <selection activeCell="G5" sqref="G5"/>
    </sheetView>
  </sheetViews>
  <sheetFormatPr defaultRowHeight="14.4" x14ac:dyDescent="0.3"/>
  <cols>
    <col min="1" max="1" width="11.88671875" customWidth="1"/>
    <col min="2" max="2" width="12.33203125" bestFit="1" customWidth="1"/>
    <col min="3" max="3" width="11.88671875" bestFit="1" customWidth="1"/>
    <col min="4" max="4" width="11.21875" bestFit="1" customWidth="1"/>
    <col min="5" max="5" width="10.109375" bestFit="1" customWidth="1"/>
    <col min="6" max="6" width="11.44140625" bestFit="1" customWidth="1"/>
    <col min="7" max="7" width="11.21875" bestFit="1" customWidth="1"/>
    <col min="8" max="8" width="13" bestFit="1" customWidth="1"/>
    <col min="9" max="9" width="9.88671875" customWidth="1"/>
    <col min="10" max="10" width="10.77734375" bestFit="1" customWidth="1"/>
    <col min="11" max="11" width="13.33203125" bestFit="1" customWidth="1"/>
    <col min="13" max="13" width="10.109375" bestFit="1" customWidth="1"/>
    <col min="14" max="14" width="9.5546875" bestFit="1" customWidth="1"/>
    <col min="15" max="15" width="10.6640625" customWidth="1"/>
  </cols>
  <sheetData>
    <row r="1" spans="1:17" ht="37.799999999999997" customHeight="1" thickBot="1" x14ac:dyDescent="0.35">
      <c r="A1" s="3" t="s">
        <v>0</v>
      </c>
      <c r="B1" s="3"/>
      <c r="C1" s="3"/>
      <c r="D1" s="3"/>
      <c r="E1" s="3"/>
      <c r="F1" s="3"/>
      <c r="J1" s="11" t="s">
        <v>34</v>
      </c>
      <c r="K1" s="11"/>
      <c r="L1" s="11"/>
      <c r="M1" s="11"/>
      <c r="N1" s="11"/>
      <c r="O1" s="11"/>
      <c r="P1" s="11"/>
      <c r="Q1" s="11"/>
    </row>
    <row r="2" spans="1:17" ht="15" thickBo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J2" s="6" t="s">
        <v>3</v>
      </c>
      <c r="K2" s="7" t="s">
        <v>9</v>
      </c>
      <c r="L2" s="7" t="s">
        <v>13</v>
      </c>
      <c r="M2" s="7" t="s">
        <v>17</v>
      </c>
      <c r="N2" s="7" t="s">
        <v>21</v>
      </c>
      <c r="O2" s="7" t="s">
        <v>25</v>
      </c>
      <c r="P2" s="14"/>
      <c r="Q2" s="14"/>
    </row>
    <row r="3" spans="1:17" ht="15" thickBot="1" x14ac:dyDescent="0.35">
      <c r="A3" s="4" t="s">
        <v>7</v>
      </c>
      <c r="B3" s="4" t="s">
        <v>8</v>
      </c>
      <c r="C3" s="4" t="s">
        <v>9</v>
      </c>
      <c r="D3" s="4" t="s">
        <v>10</v>
      </c>
      <c r="E3" s="4">
        <v>45000</v>
      </c>
      <c r="F3" s="4">
        <v>2019</v>
      </c>
      <c r="J3" s="8" t="s">
        <v>35</v>
      </c>
      <c r="K3" s="9">
        <v>0.1</v>
      </c>
      <c r="L3" s="9">
        <v>0.08</v>
      </c>
      <c r="M3" s="9">
        <v>0.12</v>
      </c>
      <c r="N3" s="9">
        <v>0.15</v>
      </c>
      <c r="O3" s="9">
        <v>0.09</v>
      </c>
      <c r="P3" s="14"/>
      <c r="Q3" s="14"/>
    </row>
    <row r="4" spans="1:17" ht="15" thickBot="1" x14ac:dyDescent="0.35">
      <c r="A4" s="5" t="s">
        <v>11</v>
      </c>
      <c r="B4" s="5" t="s">
        <v>12</v>
      </c>
      <c r="C4" s="5" t="s">
        <v>13</v>
      </c>
      <c r="D4" s="5" t="s">
        <v>14</v>
      </c>
      <c r="E4" s="5">
        <v>52000</v>
      </c>
      <c r="F4" s="5">
        <v>2018</v>
      </c>
    </row>
    <row r="5" spans="1:17" ht="15" thickBot="1" x14ac:dyDescent="0.35">
      <c r="A5" s="4" t="s">
        <v>15</v>
      </c>
      <c r="B5" s="4" t="s">
        <v>16</v>
      </c>
      <c r="C5" s="4" t="s">
        <v>17</v>
      </c>
      <c r="D5" s="4" t="s">
        <v>18</v>
      </c>
      <c r="E5" s="4">
        <v>65000</v>
      </c>
      <c r="F5" s="4">
        <v>2020</v>
      </c>
    </row>
    <row r="6" spans="1:17" ht="15" thickBot="1" x14ac:dyDescent="0.35">
      <c r="A6" s="5" t="s">
        <v>19</v>
      </c>
      <c r="B6" s="5" t="s">
        <v>20</v>
      </c>
      <c r="C6" s="5" t="s">
        <v>21</v>
      </c>
      <c r="D6" s="5" t="s">
        <v>22</v>
      </c>
      <c r="E6" s="5">
        <v>58000</v>
      </c>
      <c r="F6" s="5">
        <v>2017</v>
      </c>
    </row>
    <row r="7" spans="1:17" ht="15" thickBot="1" x14ac:dyDescent="0.35">
      <c r="A7" s="4" t="s">
        <v>23</v>
      </c>
      <c r="B7" s="4" t="s">
        <v>24</v>
      </c>
      <c r="C7" s="4" t="s">
        <v>25</v>
      </c>
      <c r="D7" s="4" t="s">
        <v>10</v>
      </c>
      <c r="E7" s="4">
        <v>48000</v>
      </c>
      <c r="F7" s="4">
        <v>2021</v>
      </c>
    </row>
    <row r="8" spans="1:17" ht="15" thickBot="1" x14ac:dyDescent="0.35">
      <c r="A8" s="5" t="s">
        <v>26</v>
      </c>
      <c r="B8" s="5" t="s">
        <v>27</v>
      </c>
      <c r="C8" s="5" t="s">
        <v>17</v>
      </c>
      <c r="D8" s="5" t="s">
        <v>28</v>
      </c>
      <c r="E8" s="5">
        <v>62000</v>
      </c>
      <c r="F8" s="5">
        <v>2019</v>
      </c>
    </row>
    <row r="9" spans="1:17" ht="15" thickBot="1" x14ac:dyDescent="0.35">
      <c r="A9" s="4" t="s">
        <v>29</v>
      </c>
      <c r="B9" s="4" t="s">
        <v>30</v>
      </c>
      <c r="C9" s="4" t="s">
        <v>9</v>
      </c>
      <c r="D9" s="4" t="s">
        <v>31</v>
      </c>
      <c r="E9" s="4">
        <v>47000</v>
      </c>
      <c r="F9" s="4">
        <v>2020</v>
      </c>
    </row>
    <row r="10" spans="1:17" ht="15" thickBot="1" x14ac:dyDescent="0.35">
      <c r="A10" s="5" t="s">
        <v>32</v>
      </c>
      <c r="B10" s="5" t="s">
        <v>33</v>
      </c>
      <c r="C10" s="5" t="s">
        <v>13</v>
      </c>
      <c r="D10" s="5" t="s">
        <v>18</v>
      </c>
      <c r="E10" s="5">
        <v>54000</v>
      </c>
      <c r="F10" s="5">
        <v>2016</v>
      </c>
    </row>
    <row r="13" spans="1:17" x14ac:dyDescent="0.3">
      <c r="D13" s="13" t="s">
        <v>36</v>
      </c>
      <c r="E13" s="12"/>
      <c r="F13" s="12"/>
      <c r="G13" s="12"/>
      <c r="H13" s="12"/>
      <c r="I13" s="12"/>
      <c r="J13" s="12"/>
      <c r="K13" s="12"/>
    </row>
    <row r="14" spans="1:17" x14ac:dyDescent="0.3">
      <c r="D14" s="12"/>
      <c r="E14" s="12"/>
      <c r="F14" s="12"/>
      <c r="G14" s="12"/>
      <c r="H14" s="12"/>
      <c r="I14" s="12"/>
      <c r="J14" s="12"/>
      <c r="K14" s="12"/>
    </row>
    <row r="15" spans="1:17" x14ac:dyDescent="0.3">
      <c r="D15" s="12"/>
      <c r="E15" s="12"/>
      <c r="F15" s="12"/>
      <c r="G15" s="12"/>
      <c r="H15" s="12"/>
      <c r="I15" s="12"/>
      <c r="J15" s="12"/>
      <c r="K15" s="12"/>
    </row>
    <row r="16" spans="1:17" x14ac:dyDescent="0.3">
      <c r="D16" s="12"/>
      <c r="E16" s="12"/>
      <c r="F16" s="12"/>
      <c r="G16" s="12"/>
      <c r="H16" s="12"/>
      <c r="I16" s="12"/>
      <c r="J16" s="12"/>
      <c r="K16" s="12"/>
    </row>
    <row r="17" spans="1:14" x14ac:dyDescent="0.3">
      <c r="D17" s="12"/>
      <c r="E17" s="12"/>
      <c r="F17" s="12"/>
      <c r="G17" s="12"/>
      <c r="H17" s="12"/>
      <c r="I17" s="12"/>
      <c r="J17" s="12"/>
      <c r="K17" s="12"/>
    </row>
    <row r="18" spans="1:14" x14ac:dyDescent="0.3">
      <c r="D18" s="12"/>
      <c r="E18" s="12"/>
      <c r="F18" s="12"/>
      <c r="G18" s="12"/>
      <c r="H18" s="12"/>
      <c r="I18" s="12"/>
      <c r="J18" s="12"/>
      <c r="K18" s="12"/>
    </row>
    <row r="19" spans="1:14" x14ac:dyDescent="0.3">
      <c r="D19" s="12"/>
      <c r="E19" s="12"/>
      <c r="F19" s="12"/>
      <c r="G19" s="12"/>
      <c r="H19" s="12"/>
      <c r="I19" s="12"/>
      <c r="J19" s="12"/>
      <c r="K19" s="12"/>
    </row>
    <row r="20" spans="1:14" x14ac:dyDescent="0.3">
      <c r="D20" s="12"/>
      <c r="E20" s="12"/>
      <c r="F20" s="12"/>
      <c r="G20" s="12"/>
      <c r="H20" s="12"/>
      <c r="I20" s="12"/>
      <c r="J20" s="12"/>
      <c r="K20" s="12"/>
    </row>
    <row r="23" spans="1:14" x14ac:dyDescent="0.3">
      <c r="A23" s="10" t="s">
        <v>37</v>
      </c>
      <c r="B23" s="10" t="s">
        <v>2</v>
      </c>
      <c r="D23" s="10" t="s">
        <v>38</v>
      </c>
      <c r="E23" s="10" t="s">
        <v>39</v>
      </c>
      <c r="G23" s="10" t="s">
        <v>40</v>
      </c>
      <c r="H23" s="10" t="s">
        <v>5</v>
      </c>
      <c r="J23" s="10" t="s">
        <v>38</v>
      </c>
      <c r="K23" s="10" t="s">
        <v>4</v>
      </c>
      <c r="M23" s="10" t="s">
        <v>37</v>
      </c>
      <c r="N23" s="10" t="s">
        <v>2</v>
      </c>
    </row>
    <row r="24" spans="1:14" x14ac:dyDescent="0.3">
      <c r="A24" s="14" t="s">
        <v>26</v>
      </c>
      <c r="B24" s="14" t="str">
        <f>VLOOKUP(A24,A2:B10,2,FALSE)</f>
        <v>Pooja Mehta</v>
      </c>
      <c r="D24" s="14" t="s">
        <v>15</v>
      </c>
      <c r="E24" s="14" t="str">
        <f>VLOOKUP(D24,A2:C10,3,FALSE)</f>
        <v>IT</v>
      </c>
      <c r="G24" s="14" t="s">
        <v>20</v>
      </c>
      <c r="H24" s="14">
        <f>VLOOKUP(G24,B2:E10,4,FALSE)</f>
        <v>58000</v>
      </c>
      <c r="J24" s="14" t="s">
        <v>29</v>
      </c>
      <c r="K24" s="14" t="str">
        <f>VLOOKUP(J24,A2:D10,4,FALSE)</f>
        <v>Hyderabad</v>
      </c>
      <c r="M24" s="14" t="s">
        <v>41</v>
      </c>
      <c r="N24" s="14" t="str">
        <f>IFERROR(VLOOKUP(M24,A2:B10,2,FALSE),"Not Found")</f>
        <v>Not Found</v>
      </c>
    </row>
    <row r="26" spans="1:14" x14ac:dyDescent="0.3">
      <c r="D26" s="15" t="s">
        <v>42</v>
      </c>
      <c r="E26" s="16"/>
      <c r="F26" s="16"/>
      <c r="G26" s="16"/>
      <c r="H26" s="16"/>
      <c r="I26" s="16"/>
      <c r="J26" s="16"/>
      <c r="K26" s="16"/>
    </row>
    <row r="27" spans="1:14" x14ac:dyDescent="0.3">
      <c r="D27" s="16"/>
      <c r="E27" s="16"/>
      <c r="F27" s="16"/>
      <c r="G27" s="16"/>
      <c r="H27" s="16"/>
      <c r="I27" s="16"/>
      <c r="J27" s="16"/>
      <c r="K27" s="16"/>
    </row>
    <row r="28" spans="1:14" x14ac:dyDescent="0.3">
      <c r="D28" s="16"/>
      <c r="E28" s="16"/>
      <c r="F28" s="16"/>
      <c r="G28" s="16"/>
      <c r="H28" s="16"/>
      <c r="I28" s="16"/>
      <c r="J28" s="16"/>
      <c r="K28" s="16"/>
    </row>
    <row r="29" spans="1:14" x14ac:dyDescent="0.3">
      <c r="D29" s="16"/>
      <c r="E29" s="16"/>
      <c r="F29" s="16"/>
      <c r="G29" s="16"/>
      <c r="H29" s="16"/>
      <c r="I29" s="16"/>
      <c r="J29" s="16"/>
      <c r="K29" s="16"/>
    </row>
    <row r="30" spans="1:14" x14ac:dyDescent="0.3">
      <c r="D30" s="16"/>
      <c r="E30" s="16"/>
      <c r="F30" s="16"/>
      <c r="G30" s="16"/>
      <c r="H30" s="16"/>
      <c r="I30" s="16"/>
      <c r="J30" s="16"/>
      <c r="K30" s="16"/>
    </row>
    <row r="31" spans="1:14" x14ac:dyDescent="0.3">
      <c r="D31" s="16"/>
      <c r="E31" s="16"/>
      <c r="F31" s="16"/>
      <c r="G31" s="16"/>
      <c r="H31" s="16"/>
      <c r="I31" s="16"/>
      <c r="J31" s="16"/>
      <c r="K31" s="16"/>
    </row>
    <row r="32" spans="1:14" x14ac:dyDescent="0.3">
      <c r="D32" s="16"/>
      <c r="E32" s="16"/>
      <c r="F32" s="16"/>
      <c r="G32" s="16"/>
      <c r="H32" s="16"/>
      <c r="I32" s="16"/>
      <c r="J32" s="16"/>
      <c r="K32" s="16"/>
    </row>
    <row r="33" spans="1:11" x14ac:dyDescent="0.3">
      <c r="D33" s="16"/>
      <c r="E33" s="16"/>
      <c r="F33" s="16"/>
      <c r="G33" s="16"/>
      <c r="H33" s="16"/>
      <c r="I33" s="16"/>
      <c r="J33" s="16"/>
      <c r="K33" s="16"/>
    </row>
    <row r="34" spans="1:11" x14ac:dyDescent="0.3">
      <c r="D34" s="16"/>
      <c r="E34" s="16"/>
      <c r="F34" s="16"/>
      <c r="G34" s="16"/>
      <c r="H34" s="16"/>
      <c r="I34" s="16"/>
      <c r="J34" s="16"/>
      <c r="K34" s="16"/>
    </row>
    <row r="36" spans="1:11" x14ac:dyDescent="0.3">
      <c r="A36" s="18" t="s">
        <v>43</v>
      </c>
      <c r="B36" s="18" t="s">
        <v>35</v>
      </c>
      <c r="D36" s="18" t="s">
        <v>43</v>
      </c>
      <c r="E36" s="18" t="s">
        <v>35</v>
      </c>
      <c r="G36" s="18" t="s">
        <v>38</v>
      </c>
      <c r="H36" s="18" t="s">
        <v>44</v>
      </c>
      <c r="J36" s="18" t="s">
        <v>3</v>
      </c>
      <c r="K36" s="18" t="s">
        <v>35</v>
      </c>
    </row>
    <row r="37" spans="1:11" x14ac:dyDescent="0.3">
      <c r="A37" s="19" t="s">
        <v>17</v>
      </c>
      <c r="B37" s="17">
        <f>HLOOKUP(A37,J2:O3,2,FALSE)</f>
        <v>0.12</v>
      </c>
      <c r="D37" s="19" t="s">
        <v>21</v>
      </c>
      <c r="E37" s="17">
        <f>HLOOKUP(D37,M2:R3,2,FALSE)</f>
        <v>0.15</v>
      </c>
      <c r="G37" s="14" t="s">
        <v>19</v>
      </c>
      <c r="H37" s="14">
        <f>HLOOKUP(K2,J2:O3,2,FALSE)*E9</f>
        <v>4700</v>
      </c>
      <c r="J37" s="14" t="s">
        <v>45</v>
      </c>
      <c r="K37" s="14" t="str">
        <f>IFERROR(HLOOKUP(J37,J2:O3,2,FALSE),"No Bonus Data")</f>
        <v>No Bonus Data</v>
      </c>
    </row>
    <row r="39" spans="1:11" x14ac:dyDescent="0.3">
      <c r="D39" s="1"/>
      <c r="E39" s="20"/>
      <c r="F39" s="20"/>
      <c r="G39" s="20"/>
      <c r="H39" s="20"/>
      <c r="I39" s="20"/>
      <c r="J39" s="20"/>
      <c r="K39" s="20"/>
    </row>
    <row r="40" spans="1:11" x14ac:dyDescent="0.3">
      <c r="D40" s="20"/>
      <c r="E40" s="20"/>
      <c r="F40" s="20"/>
      <c r="G40" s="20"/>
      <c r="H40" s="20"/>
      <c r="I40" s="20"/>
      <c r="J40" s="20"/>
      <c r="K40" s="20"/>
    </row>
    <row r="41" spans="1:11" x14ac:dyDescent="0.3">
      <c r="D41" s="20"/>
      <c r="E41" s="20"/>
      <c r="F41" s="20"/>
      <c r="G41" s="20"/>
      <c r="H41" s="20"/>
      <c r="I41" s="20"/>
      <c r="J41" s="20"/>
      <c r="K41" s="20"/>
    </row>
    <row r="42" spans="1:11" x14ac:dyDescent="0.3">
      <c r="D42" s="20"/>
      <c r="E42" s="20"/>
      <c r="F42" s="20"/>
      <c r="G42" s="20"/>
      <c r="H42" s="20"/>
      <c r="I42" s="20"/>
      <c r="J42" s="20"/>
      <c r="K42" s="20"/>
    </row>
    <row r="43" spans="1:11" x14ac:dyDescent="0.3">
      <c r="D43" s="20"/>
      <c r="E43" s="20"/>
      <c r="F43" s="20"/>
      <c r="G43" s="20"/>
      <c r="H43" s="20"/>
      <c r="I43" s="20"/>
      <c r="J43" s="20"/>
      <c r="K43" s="20"/>
    </row>
    <row r="44" spans="1:11" x14ac:dyDescent="0.3">
      <c r="D44" s="20"/>
      <c r="E44" s="20"/>
      <c r="F44" s="20"/>
      <c r="G44" s="20"/>
      <c r="H44" s="20"/>
      <c r="I44" s="20"/>
      <c r="J44" s="20"/>
      <c r="K44" s="20"/>
    </row>
    <row r="45" spans="1:11" x14ac:dyDescent="0.3">
      <c r="D45" s="20"/>
      <c r="E45" s="20"/>
      <c r="F45" s="20"/>
      <c r="G45" s="20"/>
      <c r="H45" s="20"/>
      <c r="I45" s="20"/>
      <c r="J45" s="20"/>
      <c r="K45" s="20"/>
    </row>
    <row r="46" spans="1:11" x14ac:dyDescent="0.3">
      <c r="D46" s="20"/>
      <c r="E46" s="20"/>
      <c r="F46" s="20"/>
      <c r="G46" s="20"/>
      <c r="H46" s="20"/>
      <c r="I46" s="20"/>
      <c r="J46" s="20"/>
      <c r="K46" s="20"/>
    </row>
    <row r="47" spans="1:11" x14ac:dyDescent="0.3">
      <c r="D47" s="20"/>
      <c r="E47" s="20"/>
      <c r="F47" s="20"/>
      <c r="G47" s="20"/>
      <c r="H47" s="20"/>
      <c r="I47" s="20"/>
      <c r="J47" s="20"/>
      <c r="K47" s="20"/>
    </row>
    <row r="48" spans="1:11" x14ac:dyDescent="0.3">
      <c r="D48" s="20"/>
      <c r="E48" s="20"/>
      <c r="F48" s="20"/>
      <c r="G48" s="20"/>
      <c r="H48" s="20"/>
      <c r="I48" s="20"/>
      <c r="J48" s="20"/>
      <c r="K48" s="20"/>
    </row>
  </sheetData>
  <mergeCells count="4">
    <mergeCell ref="A1:F1"/>
    <mergeCell ref="J1:Q1"/>
    <mergeCell ref="D13:K20"/>
    <mergeCell ref="D26:K34"/>
  </mergeCells>
  <dataValidations count="3">
    <dataValidation type="list" allowBlank="1" showInputMessage="1" showErrorMessage="1" sqref="A24 D24 J24 M24" xr:uid="{07B5A2A9-7885-469A-AD18-1B72D0D3519C}">
      <formula1>$A$3:$A$10</formula1>
    </dataValidation>
    <dataValidation type="list" allowBlank="1" showInputMessage="1" showErrorMessage="1" sqref="G24" xr:uid="{F93AF9C1-E53B-4712-AB63-2A4ECE55D800}">
      <formula1>$B$3:$B$10</formula1>
    </dataValidation>
    <dataValidation type="list" allowBlank="1" showInputMessage="1" showErrorMessage="1" sqref="A37 D37 J37" xr:uid="{35215662-4A9D-4F8E-97BF-80C3657BD57C}">
      <formula1>$K$2:$O$2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kothari</dc:creator>
  <cp:lastModifiedBy>priyansh kothari</cp:lastModifiedBy>
  <dcterms:created xsi:type="dcterms:W3CDTF">2026-02-02T15:31:43Z</dcterms:created>
  <dcterms:modified xsi:type="dcterms:W3CDTF">2026-02-02T18:06:42Z</dcterms:modified>
</cp:coreProperties>
</file>