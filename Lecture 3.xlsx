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raj\Downloads\"/>
    </mc:Choice>
  </mc:AlternateContent>
  <xr:revisionPtr revIDLastSave="0" documentId="8_{E5F8B444-9E30-4A22-8AA8-5778A23B784D}" xr6:coauthVersionLast="47" xr6:coauthVersionMax="47" xr10:uidLastSave="{00000000-0000-0000-0000-000000000000}"/>
  <bookViews>
    <workbookView xWindow="-108" yWindow="-108" windowWidth="23256" windowHeight="12456" activeTab="9" xr2:uid="{E4A290C0-C0E9-47D1-9B19-756BA0574DDF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0" l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3" i="10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3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3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</calcChain>
</file>

<file path=xl/sharedStrings.xml><?xml version="1.0" encoding="utf-8"?>
<sst xmlns="http://schemas.openxmlformats.org/spreadsheetml/2006/main" count="238" uniqueCount="77">
  <si>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</si>
  <si>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</si>
  <si>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</si>
  <si>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</si>
  <si>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</si>
  <si>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</si>
  <si>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</si>
  <si>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</si>
  <si>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</si>
  <si>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 1: Pass / Fail using IF</t>
  </si>
  <si>
    <t>Jyoti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</si>
  <si>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</si>
  <si>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</si>
  <si>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</si>
  <si>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</si>
  <si>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</si>
  <si>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</si>
  <si>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</si>
  <si>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</si>
  <si>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</si>
  <si>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Priyanshi</t>
  </si>
  <si>
    <t>Viraj</t>
  </si>
  <si>
    <t>Task
-If Marks ≥ 40 → Pass
-Else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</si>
  <si>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</si>
  <si>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</si>
  <si>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</si>
  <si>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</si>
  <si>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</si>
  <si>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</si>
  <si>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</si>
  <si>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</si>
  <si>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Task
Salary ≥ 40000 → Bonus
Else → No Bonus</t>
  </si>
  <si>
    <t>Task 3: Grade Calculation (Nested IF)</t>
  </si>
  <si>
    <t>Grade</t>
  </si>
  <si>
    <t>Task
≥ 75 → A
≥ 60 → B
≥ 40 → C
&lt; 40 → Fail</t>
  </si>
  <si>
    <t>Task 4: Job Eligibility (AND)</t>
  </si>
  <si>
    <t>Name</t>
  </si>
  <si>
    <t>Age</t>
  </si>
  <si>
    <t>Experience (Years)</t>
  </si>
  <si>
    <t>Eligible</t>
  </si>
  <si>
    <t>Task
Age ≥ 21 AND Experience ≥ 1 → Eligible</t>
  </si>
  <si>
    <t>Task 5: Exam Eligibility (AND)</t>
  </si>
  <si>
    <t>Attendance %</t>
  </si>
  <si>
    <t>Assignment Submitted</t>
  </si>
  <si>
    <t>Yes</t>
  </si>
  <si>
    <t>No</t>
  </si>
  <si>
    <t>Task
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</si>
  <si>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</si>
  <si>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</si>
  <si>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</si>
  <si>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</si>
  <si>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</si>
  <si>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</si>
  <si>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</si>
  <si>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 6: Discount Logic</t>
  </si>
  <si>
    <t>Task
Purchase ≥ 10000 OR Membership = Yes</t>
  </si>
  <si>
    <t>Applicant</t>
  </si>
  <si>
    <t>CIBIL Score</t>
  </si>
  <si>
    <t>Loan Status</t>
  </si>
  <si>
    <t xml:space="preserve">Task 7: Loan Approval </t>
  </si>
  <si>
    <t>Task
Salary ≥ 40000 OR CIBIL ≥ 700</t>
  </si>
  <si>
    <t>Present</t>
  </si>
  <si>
    <t>Status</t>
  </si>
  <si>
    <t xml:space="preserve">Task 8: Attendance Status </t>
  </si>
  <si>
    <t>Task
If NOT Present → Absent
Else → Present</t>
  </si>
  <si>
    <t>Number 1</t>
  </si>
  <si>
    <t>Number 2</t>
  </si>
  <si>
    <t xml:space="preserve">Task 9: Safe Division </t>
  </si>
  <si>
    <t>Task
Divide Number 1 by Number 2
If error → show "Invalid"</t>
  </si>
  <si>
    <t>Task 10: Performance Evaluation (Combined Logic)</t>
  </si>
  <si>
    <t>Targets Achieved</t>
  </si>
  <si>
    <t>Performance</t>
  </si>
  <si>
    <t>Raj</t>
  </si>
  <si>
    <t>Sunita</t>
  </si>
  <si>
    <t>Manoj</t>
  </si>
  <si>
    <t>Kavita</t>
  </si>
  <si>
    <t>Task
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</si>
</sst>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.5"/>
      <color rgb="FFF0F6FC"/>
      <name val="Segoe UI"/>
      <family val="2"/>
    </font>
    <font>
      <sz val="11"/>
      <color theme="1"/>
      <name val="Calibri"/>
      <family val="2"/>
      <scheme val="minor"/>
    </font>
    <font>
      <sz val="13.75"/>
      <color theme="1"/>
      <name val="Segoe UI"/>
      <family val="2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.5"/>
      <color theme="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 inden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 indent="1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left" vertical="center" wrapText="1" indent="1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 indent="1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 indent="1"/>
    </xf>
    <xf numFmtId="0" fontId="0" fillId="13" borderId="1" xfId="0" applyFill="1" applyBorder="1" applyAlignment="1">
      <alignment horizontal="center"/>
    </xf>
    <xf numFmtId="0" fontId="2" fillId="13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 indent="1"/>
    </xf>
    <xf numFmtId="0" fontId="0" fillId="14" borderId="1" xfId="0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2" borderId="0" xfId="0" applyFont="1" applyFill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 indent="1"/>
    </xf>
    <xf numFmtId="0" fontId="6" fillId="1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left" vertical="center" wrapText="1" indent="1"/>
    </xf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DB34-AB82-4B7A-B04F-A1E8D953E001}">
  <dimension ref="A1:M20"/>
  <sheetViews>
    <sheetView workbookViewId="0">
      <selection activeCell="F26" sqref="F26"/>
    </sheetView>
  </sheetViews>
  <sheetFormatPr defaultRowHeight="14.4" x14ac:dyDescent="0.3"/>
  <sheetData>
    <row r="1" spans="1:13" ht="46.5" customHeight="1" x14ac:dyDescent="0.3">
      <c r="A1" s="25" t="s">
        <v>9</v>
      </c>
      <c r="B1" s="25"/>
      <c r="C1" s="25"/>
      <c r="D1" s="25"/>
    </row>
    <row r="2" spans="1:13" ht="28.8" x14ac:dyDescent="0.3">
      <c r="A2" s="1" t="s">
        <v>0</v>
      </c>
      <c r="B2" s="1" t="s">
        <v>1</v>
      </c>
      <c r="C2" s="2" t="s">
        <v>2</v>
      </c>
      <c r="D2" s="1" t="s">
        <v>3</v>
      </c>
    </row>
    <row r="3" spans="1:13" x14ac:dyDescent="0.3">
      <c r="A3" s="3">
        <v>1</v>
      </c>
      <c r="B3" s="3" t="s">
        <v>4</v>
      </c>
      <c r="C3" s="4">
        <v>78</v>
      </c>
      <c r="D3" s="3" t="str">
        <f>IF(C3&gt;=33,"Pass","Fail")</f>
        <v>Pass</v>
      </c>
    </row>
    <row r="4" spans="1:13" x14ac:dyDescent="0.3">
      <c r="A4" s="3">
        <v>2</v>
      </c>
      <c r="B4" s="3" t="s">
        <v>5</v>
      </c>
      <c r="C4" s="4">
        <v>35</v>
      </c>
      <c r="D4" s="3" t="str">
        <f t="shared" ref="D4:D20" si="0">IF(C4&gt;=33,"Pass","Fail")</f>
        <v>Pass</v>
      </c>
    </row>
    <row r="5" spans="1:13" x14ac:dyDescent="0.3">
      <c r="A5" s="3">
        <v>3</v>
      </c>
      <c r="B5" s="3" t="s">
        <v>6</v>
      </c>
      <c r="C5" s="4">
        <v>62</v>
      </c>
      <c r="D5" s="3" t="str">
        <f t="shared" si="0"/>
        <v>Pass</v>
      </c>
    </row>
    <row r="6" spans="1:13" x14ac:dyDescent="0.3">
      <c r="A6" s="3">
        <v>4</v>
      </c>
      <c r="B6" s="3" t="s">
        <v>7</v>
      </c>
      <c r="C6" s="4">
        <v>40</v>
      </c>
      <c r="D6" s="3" t="str">
        <f t="shared" si="0"/>
        <v>Pass</v>
      </c>
    </row>
    <row r="7" spans="1:13" x14ac:dyDescent="0.3">
      <c r="A7" s="3">
        <v>5</v>
      </c>
      <c r="B7" s="3" t="s">
        <v>8</v>
      </c>
      <c r="C7" s="4">
        <v>28</v>
      </c>
      <c r="D7" s="3" t="str">
        <f t="shared" si="0"/>
        <v>Fail</v>
      </c>
    </row>
    <row r="8" spans="1:13" x14ac:dyDescent="0.3">
      <c r="A8" s="3">
        <v>6</v>
      </c>
      <c r="B8" s="5" t="s">
        <v>10</v>
      </c>
      <c r="C8" s="6">
        <v>41</v>
      </c>
      <c r="D8" s="3" t="str">
        <f t="shared" si="0"/>
        <v>Pass</v>
      </c>
      <c r="I8" s="26" t="s">
        <v>22</v>
      </c>
      <c r="J8" s="26"/>
      <c r="K8" s="26"/>
      <c r="L8" s="26"/>
      <c r="M8" s="26"/>
    </row>
    <row r="9" spans="1:13" ht="15" customHeight="1" x14ac:dyDescent="0.3">
      <c r="A9" s="3">
        <v>7</v>
      </c>
      <c r="B9" s="5" t="s">
        <v>11</v>
      </c>
      <c r="C9" s="6">
        <v>75</v>
      </c>
      <c r="D9" s="3" t="str">
        <f t="shared" si="0"/>
        <v>Pass</v>
      </c>
      <c r="I9" s="26"/>
      <c r="J9" s="26"/>
      <c r="K9" s="26"/>
      <c r="L9" s="26"/>
      <c r="M9" s="26"/>
    </row>
    <row r="10" spans="1:13" ht="17.25" customHeight="1" x14ac:dyDescent="0.3">
      <c r="A10" s="3">
        <v>8</v>
      </c>
      <c r="B10" s="5" t="s">
        <v>12</v>
      </c>
      <c r="C10" s="6">
        <v>62</v>
      </c>
      <c r="D10" s="3" t="str">
        <f t="shared" si="0"/>
        <v>Pass</v>
      </c>
      <c r="I10" s="26"/>
      <c r="J10" s="26"/>
      <c r="K10" s="26"/>
      <c r="L10" s="26"/>
      <c r="M10" s="26"/>
    </row>
    <row r="11" spans="1:13" ht="15" customHeight="1" x14ac:dyDescent="0.3">
      <c r="A11" s="3">
        <v>9</v>
      </c>
      <c r="B11" s="5" t="s">
        <v>13</v>
      </c>
      <c r="C11" s="6">
        <v>65</v>
      </c>
      <c r="D11" s="3" t="str">
        <f t="shared" si="0"/>
        <v>Pass</v>
      </c>
      <c r="I11" s="26"/>
      <c r="J11" s="26"/>
      <c r="K11" s="26"/>
      <c r="L11" s="26"/>
      <c r="M11" s="26"/>
    </row>
    <row r="12" spans="1:13" ht="15" customHeight="1" x14ac:dyDescent="0.3">
      <c r="A12" s="3">
        <v>10</v>
      </c>
      <c r="B12" s="5" t="s">
        <v>14</v>
      </c>
      <c r="C12" s="6">
        <v>33</v>
      </c>
      <c r="D12" s="3" t="str">
        <f t="shared" si="0"/>
        <v>Pass</v>
      </c>
      <c r="I12" s="26"/>
      <c r="J12" s="26"/>
      <c r="K12" s="26"/>
      <c r="L12" s="26"/>
      <c r="M12" s="26"/>
    </row>
    <row r="13" spans="1:13" ht="15" customHeight="1" x14ac:dyDescent="0.3">
      <c r="A13" s="3">
        <v>11</v>
      </c>
      <c r="B13" s="5" t="s">
        <v>15</v>
      </c>
      <c r="C13" s="6">
        <v>32</v>
      </c>
      <c r="D13" s="3" t="str">
        <f t="shared" si="0"/>
        <v>Fail</v>
      </c>
      <c r="I13" s="26"/>
      <c r="J13" s="26"/>
      <c r="K13" s="26"/>
      <c r="L13" s="26"/>
      <c r="M13" s="26"/>
    </row>
    <row r="14" spans="1:13" x14ac:dyDescent="0.3">
      <c r="A14" s="3">
        <v>12</v>
      </c>
      <c r="B14" s="5" t="s">
        <v>11</v>
      </c>
      <c r="C14" s="6">
        <v>77</v>
      </c>
      <c r="D14" s="3" t="str">
        <f t="shared" si="0"/>
        <v>Pass</v>
      </c>
    </row>
    <row r="15" spans="1:13" x14ac:dyDescent="0.3">
      <c r="A15" s="3">
        <v>13</v>
      </c>
      <c r="B15" s="5" t="s">
        <v>16</v>
      </c>
      <c r="C15" s="6">
        <v>33</v>
      </c>
      <c r="D15" s="3" t="str">
        <f t="shared" si="0"/>
        <v>Pass</v>
      </c>
    </row>
    <row r="16" spans="1:13" x14ac:dyDescent="0.3">
      <c r="A16" s="3">
        <v>14</v>
      </c>
      <c r="B16" s="5" t="s">
        <v>17</v>
      </c>
      <c r="C16" s="6">
        <v>28</v>
      </c>
      <c r="D16" s="3" t="str">
        <f t="shared" si="0"/>
        <v>Fail</v>
      </c>
    </row>
    <row r="17" spans="1:4" x14ac:dyDescent="0.3">
      <c r="A17" s="3">
        <v>15</v>
      </c>
      <c r="B17" s="5" t="s">
        <v>18</v>
      </c>
      <c r="C17" s="6">
        <v>80</v>
      </c>
      <c r="D17" s="3" t="str">
        <f t="shared" si="0"/>
        <v>Pass</v>
      </c>
    </row>
    <row r="18" spans="1:4" x14ac:dyDescent="0.3">
      <c r="A18" s="3">
        <v>16</v>
      </c>
      <c r="B18" s="5" t="s">
        <v>19</v>
      </c>
      <c r="C18" s="6">
        <v>56</v>
      </c>
      <c r="D18" s="3" t="str">
        <f t="shared" si="0"/>
        <v>Pass</v>
      </c>
    </row>
    <row r="19" spans="1:4" x14ac:dyDescent="0.3">
      <c r="A19" s="3">
        <v>17</v>
      </c>
      <c r="B19" s="5" t="s">
        <v>20</v>
      </c>
      <c r="C19" s="6">
        <v>91</v>
      </c>
      <c r="D19" s="3" t="str">
        <f t="shared" si="0"/>
        <v>Pass</v>
      </c>
    </row>
    <row r="20" spans="1:4" x14ac:dyDescent="0.3">
      <c r="A20" s="3">
        <v>18</v>
      </c>
      <c r="B20" s="5" t="s">
        <v>21</v>
      </c>
      <c r="C20" s="6">
        <v>66</v>
      </c>
      <c r="D20" s="3" t="str">
        <f t="shared" si="0"/>
        <v>Pass</v>
      </c>
    </row>
  </sheetData>
  <mergeCells count="2">
    <mergeCell ref="A1:D1"/>
    <mergeCell ref="I8:M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ADBF-EF89-461E-88F1-90E1CCA2CA90}">
  <dimension ref="A1:K19"/>
  <sheetViews>
    <sheetView workbookViewId="0">
      <selection activeCell="G26" sqref="G26"/>
    </sheetView>
  </sheetViews>
  <sheetFormatPr defaultRowHeight="14.4" x14ac:dyDescent="0.3"/>
  <cols>
    <col min="1" max="1" width="11" customWidth="1"/>
    <col min="2" max="2" width="7.33203125" bestFit="1" customWidth="1"/>
    <col min="3" max="3" width="10.6640625" bestFit="1" customWidth="1"/>
  </cols>
  <sheetData>
    <row r="1" spans="1:11" ht="45.75" customHeight="1" x14ac:dyDescent="0.3">
      <c r="A1" s="27" t="s">
        <v>23</v>
      </c>
      <c r="B1" s="27"/>
      <c r="C1" s="27"/>
    </row>
    <row r="2" spans="1:11" ht="28.8" x14ac:dyDescent="0.3">
      <c r="A2" s="7" t="s">
        <v>24</v>
      </c>
      <c r="B2" s="7" t="s">
        <v>25</v>
      </c>
      <c r="C2" s="7" t="s">
        <v>26</v>
      </c>
    </row>
    <row r="3" spans="1:11" x14ac:dyDescent="0.3">
      <c r="A3" s="8" t="s">
        <v>27</v>
      </c>
      <c r="B3" s="8">
        <v>28000</v>
      </c>
      <c r="C3" s="8" t="str">
        <f>IF(B3&gt;=40000,"Bonus","No Bonus")</f>
        <v>No Bonus</v>
      </c>
      <c r="H3" s="26" t="s">
        <v>31</v>
      </c>
      <c r="I3" s="26"/>
      <c r="J3" s="26"/>
      <c r="K3" s="26"/>
    </row>
    <row r="4" spans="1:11" x14ac:dyDescent="0.3">
      <c r="A4" s="8" t="s">
        <v>28</v>
      </c>
      <c r="B4" s="8">
        <v>45000</v>
      </c>
      <c r="C4" s="8" t="str">
        <f t="shared" ref="C4:C19" si="0">IF(B4&gt;=40000,"Bonus","No Bonus")</f>
        <v>Bonus</v>
      </c>
      <c r="H4" s="26"/>
      <c r="I4" s="26"/>
      <c r="J4" s="26"/>
      <c r="K4" s="26"/>
    </row>
    <row r="5" spans="1:11" x14ac:dyDescent="0.3">
      <c r="A5" s="8" t="s">
        <v>29</v>
      </c>
      <c r="B5" s="8">
        <v>52000</v>
      </c>
      <c r="C5" s="8" t="str">
        <f t="shared" si="0"/>
        <v>Bonus</v>
      </c>
      <c r="H5" s="26"/>
      <c r="I5" s="26"/>
      <c r="J5" s="26"/>
      <c r="K5" s="26"/>
    </row>
    <row r="6" spans="1:11" ht="15" customHeight="1" x14ac:dyDescent="0.3">
      <c r="A6" s="8" t="s">
        <v>30</v>
      </c>
      <c r="B6" s="8">
        <v>30000</v>
      </c>
      <c r="C6" s="8" t="str">
        <f t="shared" si="0"/>
        <v>No Bonus</v>
      </c>
      <c r="H6" s="26"/>
      <c r="I6" s="26"/>
      <c r="J6" s="26"/>
      <c r="K6" s="26"/>
    </row>
    <row r="7" spans="1:11" ht="15" customHeight="1" x14ac:dyDescent="0.3">
      <c r="A7" s="9" t="s">
        <v>10</v>
      </c>
      <c r="B7" s="9">
        <v>36065</v>
      </c>
      <c r="C7" s="8" t="str">
        <f t="shared" si="0"/>
        <v>No Bonus</v>
      </c>
      <c r="H7" s="26"/>
      <c r="I7" s="26"/>
      <c r="J7" s="26"/>
      <c r="K7" s="26"/>
    </row>
    <row r="8" spans="1:11" ht="15" customHeight="1" x14ac:dyDescent="0.3">
      <c r="A8" s="9" t="s">
        <v>11</v>
      </c>
      <c r="B8" s="9">
        <v>32454</v>
      </c>
      <c r="C8" s="8" t="str">
        <f t="shared" si="0"/>
        <v>No Bonus</v>
      </c>
      <c r="H8" s="26"/>
      <c r="I8" s="26"/>
      <c r="J8" s="26"/>
      <c r="K8" s="26"/>
    </row>
    <row r="9" spans="1:11" x14ac:dyDescent="0.3">
      <c r="A9" s="9" t="s">
        <v>12</v>
      </c>
      <c r="B9" s="9">
        <v>51518</v>
      </c>
      <c r="C9" s="8" t="str">
        <f t="shared" si="0"/>
        <v>Bonus</v>
      </c>
      <c r="H9" s="26"/>
      <c r="I9" s="26"/>
      <c r="J9" s="26"/>
      <c r="K9" s="26"/>
    </row>
    <row r="10" spans="1:11" x14ac:dyDescent="0.3">
      <c r="A10" s="9" t="s">
        <v>13</v>
      </c>
      <c r="B10" s="9">
        <v>46569</v>
      </c>
      <c r="C10" s="8" t="str">
        <f t="shared" si="0"/>
        <v>Bonus</v>
      </c>
      <c r="H10" s="26"/>
      <c r="I10" s="26"/>
      <c r="J10" s="26"/>
      <c r="K10" s="26"/>
    </row>
    <row r="11" spans="1:11" x14ac:dyDescent="0.3">
      <c r="A11" s="9" t="s">
        <v>14</v>
      </c>
      <c r="B11" s="9">
        <v>53508</v>
      </c>
      <c r="C11" s="8" t="str">
        <f t="shared" si="0"/>
        <v>Bonus</v>
      </c>
    </row>
    <row r="12" spans="1:11" x14ac:dyDescent="0.3">
      <c r="A12" s="9" t="s">
        <v>15</v>
      </c>
      <c r="B12" s="9">
        <v>41575</v>
      </c>
      <c r="C12" s="8" t="str">
        <f t="shared" si="0"/>
        <v>Bonus</v>
      </c>
    </row>
    <row r="13" spans="1:11" x14ac:dyDescent="0.3">
      <c r="A13" s="9" t="s">
        <v>11</v>
      </c>
      <c r="B13" s="9">
        <v>26426</v>
      </c>
      <c r="C13" s="8" t="str">
        <f t="shared" si="0"/>
        <v>No Bonus</v>
      </c>
    </row>
    <row r="14" spans="1:11" x14ac:dyDescent="0.3">
      <c r="A14" s="9" t="s">
        <v>16</v>
      </c>
      <c r="B14" s="9">
        <v>54814</v>
      </c>
      <c r="C14" s="8" t="str">
        <f t="shared" si="0"/>
        <v>Bonus</v>
      </c>
    </row>
    <row r="15" spans="1:11" x14ac:dyDescent="0.3">
      <c r="A15" s="9" t="s">
        <v>17</v>
      </c>
      <c r="B15" s="9">
        <v>59882</v>
      </c>
      <c r="C15" s="8" t="str">
        <f t="shared" si="0"/>
        <v>Bonus</v>
      </c>
    </row>
    <row r="16" spans="1:11" x14ac:dyDescent="0.3">
      <c r="A16" s="9" t="s">
        <v>18</v>
      </c>
      <c r="B16" s="9">
        <v>59784</v>
      </c>
      <c r="C16" s="8" t="str">
        <f t="shared" si="0"/>
        <v>Bonus</v>
      </c>
    </row>
    <row r="17" spans="1:3" x14ac:dyDescent="0.3">
      <c r="A17" s="9" t="s">
        <v>19</v>
      </c>
      <c r="B17" s="9">
        <v>35250</v>
      </c>
      <c r="C17" s="8" t="str">
        <f t="shared" si="0"/>
        <v>No Bonus</v>
      </c>
    </row>
    <row r="18" spans="1:3" x14ac:dyDescent="0.3">
      <c r="A18" s="9" t="s">
        <v>20</v>
      </c>
      <c r="B18" s="9">
        <v>52635</v>
      </c>
      <c r="C18" s="8" t="str">
        <f t="shared" si="0"/>
        <v>Bonus</v>
      </c>
    </row>
    <row r="19" spans="1:3" x14ac:dyDescent="0.3">
      <c r="A19" s="9" t="s">
        <v>21</v>
      </c>
      <c r="B19" s="9">
        <v>37063</v>
      </c>
      <c r="C19" s="8" t="str">
        <f t="shared" si="0"/>
        <v>No Bonus</v>
      </c>
    </row>
  </sheetData>
  <mergeCells count="2">
    <mergeCell ref="A1:C1"/>
    <mergeCell ref="H3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8F69-4347-4040-94D2-F329E397D0E3}">
  <dimension ref="A1:K21"/>
  <sheetViews>
    <sheetView workbookViewId="0">
      <selection activeCell="C10" sqref="C10"/>
    </sheetView>
  </sheetViews>
  <sheetFormatPr defaultRowHeight="14.4" x14ac:dyDescent="0.3"/>
  <sheetData>
    <row r="1" spans="1:11" ht="25.2" x14ac:dyDescent="0.3">
      <c r="A1" s="28" t="s">
        <v>32</v>
      </c>
      <c r="B1" s="28"/>
      <c r="C1" s="28"/>
    </row>
    <row r="2" spans="1:11" ht="28.8" x14ac:dyDescent="0.3">
      <c r="A2" s="12" t="s">
        <v>1</v>
      </c>
      <c r="B2" s="12" t="s">
        <v>2</v>
      </c>
      <c r="C2" s="12" t="s">
        <v>33</v>
      </c>
    </row>
    <row r="3" spans="1:11" x14ac:dyDescent="0.3">
      <c r="A3" s="10" t="s">
        <v>4</v>
      </c>
      <c r="B3" s="14">
        <v>82</v>
      </c>
      <c r="C3" s="10" t="str">
        <f>IF(B3&gt;=75,"A",IF(B3&gt;=60,"B",IF(B3&gt;=40,"C","Fail")))</f>
        <v>A</v>
      </c>
    </row>
    <row r="4" spans="1:11" x14ac:dyDescent="0.3">
      <c r="A4" s="10" t="s">
        <v>5</v>
      </c>
      <c r="B4" s="14">
        <v>67</v>
      </c>
      <c r="C4" s="10" t="str">
        <f t="shared" ref="C4:C21" si="0">IF(B4&gt;=75,"A",IF(B4&gt;=60,"B",IF(B4&gt;=40,"C","Fail")))</f>
        <v>B</v>
      </c>
    </row>
    <row r="5" spans="1:11" x14ac:dyDescent="0.3">
      <c r="A5" s="10" t="s">
        <v>6</v>
      </c>
      <c r="B5" s="14">
        <v>45</v>
      </c>
      <c r="C5" s="10" t="str">
        <f t="shared" si="0"/>
        <v>C</v>
      </c>
    </row>
    <row r="6" spans="1:11" x14ac:dyDescent="0.3">
      <c r="A6" s="10" t="s">
        <v>7</v>
      </c>
      <c r="B6" s="14">
        <v>33</v>
      </c>
      <c r="C6" s="10" t="str">
        <f t="shared" si="0"/>
        <v>Fail</v>
      </c>
    </row>
    <row r="7" spans="1:11" x14ac:dyDescent="0.3">
      <c r="A7" s="10" t="s">
        <v>8</v>
      </c>
      <c r="B7" s="14">
        <v>90</v>
      </c>
      <c r="C7" s="10" t="str">
        <f t="shared" si="0"/>
        <v>A</v>
      </c>
    </row>
    <row r="8" spans="1:11" x14ac:dyDescent="0.3">
      <c r="A8" s="10" t="s">
        <v>30</v>
      </c>
      <c r="B8" s="13">
        <v>29</v>
      </c>
      <c r="C8" s="10" t="str">
        <f t="shared" si="0"/>
        <v>Fail</v>
      </c>
    </row>
    <row r="9" spans="1:11" x14ac:dyDescent="0.3">
      <c r="A9" s="11" t="s">
        <v>10</v>
      </c>
      <c r="B9" s="13">
        <v>20</v>
      </c>
      <c r="C9" s="10" t="str">
        <f t="shared" si="0"/>
        <v>Fail</v>
      </c>
    </row>
    <row r="10" spans="1:11" ht="15" customHeight="1" x14ac:dyDescent="0.3">
      <c r="A10" s="11" t="s">
        <v>11</v>
      </c>
      <c r="B10" s="13">
        <v>42</v>
      </c>
      <c r="C10" s="10" t="str">
        <f t="shared" si="0"/>
        <v>C</v>
      </c>
      <c r="H10" s="26" t="s">
        <v>34</v>
      </c>
      <c r="I10" s="26"/>
      <c r="J10" s="26"/>
      <c r="K10" s="26"/>
    </row>
    <row r="11" spans="1:11" ht="15" customHeight="1" x14ac:dyDescent="0.3">
      <c r="A11" s="11" t="s">
        <v>12</v>
      </c>
      <c r="B11" s="13">
        <v>82</v>
      </c>
      <c r="C11" s="10" t="str">
        <f t="shared" si="0"/>
        <v>A</v>
      </c>
      <c r="H11" s="26"/>
      <c r="I11" s="26"/>
      <c r="J11" s="26"/>
      <c r="K11" s="26"/>
    </row>
    <row r="12" spans="1:11" ht="15" customHeight="1" x14ac:dyDescent="0.3">
      <c r="A12" s="11" t="s">
        <v>13</v>
      </c>
      <c r="B12" s="13">
        <v>54</v>
      </c>
      <c r="C12" s="10" t="str">
        <f t="shared" si="0"/>
        <v>C</v>
      </c>
      <c r="H12" s="26"/>
      <c r="I12" s="26"/>
      <c r="J12" s="26"/>
      <c r="K12" s="26"/>
    </row>
    <row r="13" spans="1:11" ht="15" customHeight="1" x14ac:dyDescent="0.3">
      <c r="A13" s="11" t="s">
        <v>14</v>
      </c>
      <c r="B13" s="13">
        <v>78</v>
      </c>
      <c r="C13" s="10" t="str">
        <f t="shared" si="0"/>
        <v>A</v>
      </c>
      <c r="H13" s="26"/>
      <c r="I13" s="26"/>
      <c r="J13" s="26"/>
      <c r="K13" s="26"/>
    </row>
    <row r="14" spans="1:11" ht="15" customHeight="1" x14ac:dyDescent="0.3">
      <c r="A14" s="11" t="s">
        <v>15</v>
      </c>
      <c r="B14" s="13">
        <v>60</v>
      </c>
      <c r="C14" s="10" t="str">
        <f t="shared" si="0"/>
        <v>B</v>
      </c>
      <c r="H14" s="26"/>
      <c r="I14" s="26"/>
      <c r="J14" s="26"/>
      <c r="K14" s="26"/>
    </row>
    <row r="15" spans="1:11" x14ac:dyDescent="0.3">
      <c r="A15" s="11" t="s">
        <v>11</v>
      </c>
      <c r="B15" s="13">
        <v>75</v>
      </c>
      <c r="C15" s="10" t="str">
        <f t="shared" si="0"/>
        <v>A</v>
      </c>
      <c r="H15" s="26"/>
      <c r="I15" s="26"/>
      <c r="J15" s="26"/>
      <c r="K15" s="26"/>
    </row>
    <row r="16" spans="1:11" x14ac:dyDescent="0.3">
      <c r="A16" s="11" t="s">
        <v>16</v>
      </c>
      <c r="B16" s="13">
        <v>40</v>
      </c>
      <c r="C16" s="10" t="str">
        <f t="shared" si="0"/>
        <v>C</v>
      </c>
      <c r="H16" s="26"/>
      <c r="I16" s="26"/>
      <c r="J16" s="26"/>
      <c r="K16" s="26"/>
    </row>
    <row r="17" spans="1:3" x14ac:dyDescent="0.3">
      <c r="A17" s="11" t="s">
        <v>17</v>
      </c>
      <c r="B17" s="13">
        <v>48</v>
      </c>
      <c r="C17" s="10" t="str">
        <f t="shared" si="0"/>
        <v>C</v>
      </c>
    </row>
    <row r="18" spans="1:3" x14ac:dyDescent="0.3">
      <c r="A18" s="11" t="s">
        <v>18</v>
      </c>
      <c r="B18" s="13">
        <v>90</v>
      </c>
      <c r="C18" s="10" t="str">
        <f t="shared" si="0"/>
        <v>A</v>
      </c>
    </row>
    <row r="19" spans="1:3" x14ac:dyDescent="0.3">
      <c r="A19" s="11" t="s">
        <v>19</v>
      </c>
      <c r="B19" s="13">
        <v>81</v>
      </c>
      <c r="C19" s="10" t="str">
        <f t="shared" si="0"/>
        <v>A</v>
      </c>
    </row>
    <row r="20" spans="1:3" x14ac:dyDescent="0.3">
      <c r="A20" s="11" t="s">
        <v>20</v>
      </c>
      <c r="B20" s="13">
        <v>56</v>
      </c>
      <c r="C20" s="10" t="str">
        <f t="shared" si="0"/>
        <v>C</v>
      </c>
    </row>
    <row r="21" spans="1:3" x14ac:dyDescent="0.3">
      <c r="A21" s="11" t="s">
        <v>21</v>
      </c>
      <c r="B21" s="13">
        <v>22</v>
      </c>
      <c r="C21" s="10" t="str">
        <f t="shared" si="0"/>
        <v>Fail</v>
      </c>
    </row>
  </sheetData>
  <mergeCells count="2">
    <mergeCell ref="A1:C1"/>
    <mergeCell ref="H10:K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CB8A-20D3-4606-B932-7D2A6B4DB468}">
  <dimension ref="A1:L21"/>
  <sheetViews>
    <sheetView workbookViewId="0">
      <selection activeCell="D5" sqref="D5"/>
    </sheetView>
  </sheetViews>
  <sheetFormatPr defaultRowHeight="14.4" x14ac:dyDescent="0.3"/>
  <cols>
    <col min="3" max="3" width="13.44140625" customWidth="1"/>
    <col min="4" max="4" width="17.109375" customWidth="1"/>
  </cols>
  <sheetData>
    <row r="1" spans="1:12" ht="25.2" x14ac:dyDescent="0.3">
      <c r="A1" s="29" t="s">
        <v>35</v>
      </c>
      <c r="B1" s="29"/>
      <c r="C1" s="29"/>
      <c r="D1" s="29"/>
    </row>
    <row r="2" spans="1:12" ht="28.8" x14ac:dyDescent="0.3">
      <c r="A2" s="15" t="s">
        <v>36</v>
      </c>
      <c r="B2" s="15" t="s">
        <v>37</v>
      </c>
      <c r="C2" s="15" t="s">
        <v>38</v>
      </c>
      <c r="D2" s="15" t="s">
        <v>39</v>
      </c>
    </row>
    <row r="3" spans="1:12" x14ac:dyDescent="0.3">
      <c r="A3" s="16" t="s">
        <v>27</v>
      </c>
      <c r="B3" s="18">
        <v>25</v>
      </c>
      <c r="C3" s="18">
        <v>2</v>
      </c>
      <c r="D3" s="16" t="str">
        <f>IF(AND(B3&gt;=21,C3&gt;=1),"Eligible","Not Eligible")</f>
        <v>Eligible</v>
      </c>
    </row>
    <row r="4" spans="1:12" x14ac:dyDescent="0.3">
      <c r="A4" s="16" t="s">
        <v>28</v>
      </c>
      <c r="B4" s="18">
        <v>20</v>
      </c>
      <c r="C4" s="18">
        <v>1</v>
      </c>
      <c r="D4" s="16" t="str">
        <f>IF(AND(B4&gt;=21,C4&gt;=1),"Eligible","Not Eligible")</f>
        <v>Not Eligible</v>
      </c>
    </row>
    <row r="5" spans="1:12" x14ac:dyDescent="0.3">
      <c r="A5" s="16" t="s">
        <v>29</v>
      </c>
      <c r="B5" s="18">
        <v>30</v>
      </c>
      <c r="C5" s="18">
        <v>5</v>
      </c>
      <c r="D5" s="16" t="str">
        <f t="shared" ref="D5:D21" si="0">IF(AND(B5&gt;=21,C5&gt;=1),"Eligible","Not Eligible")</f>
        <v>Eligible</v>
      </c>
    </row>
    <row r="6" spans="1:12" ht="15" customHeight="1" x14ac:dyDescent="0.3">
      <c r="A6" s="16" t="s">
        <v>30</v>
      </c>
      <c r="B6" s="18">
        <v>22</v>
      </c>
      <c r="C6" s="18">
        <v>0</v>
      </c>
      <c r="D6" s="16" t="str">
        <f t="shared" si="0"/>
        <v>Not Eligible</v>
      </c>
      <c r="H6" s="30" t="s">
        <v>40</v>
      </c>
      <c r="I6" s="30"/>
      <c r="J6" s="30"/>
      <c r="K6" s="30"/>
      <c r="L6" s="30"/>
    </row>
    <row r="7" spans="1:12" ht="15" customHeight="1" x14ac:dyDescent="0.3">
      <c r="A7" s="16" t="s">
        <v>8</v>
      </c>
      <c r="B7" s="17">
        <v>28</v>
      </c>
      <c r="C7" s="17">
        <v>2</v>
      </c>
      <c r="D7" s="16" t="str">
        <f t="shared" si="0"/>
        <v>Eligible</v>
      </c>
      <c r="H7" s="30"/>
      <c r="I7" s="30"/>
      <c r="J7" s="30"/>
      <c r="K7" s="30"/>
      <c r="L7" s="30"/>
    </row>
    <row r="8" spans="1:12" ht="15" customHeight="1" x14ac:dyDescent="0.3">
      <c r="A8" s="16" t="s">
        <v>30</v>
      </c>
      <c r="B8" s="17">
        <v>29</v>
      </c>
      <c r="C8" s="17">
        <v>3</v>
      </c>
      <c r="D8" s="16" t="str">
        <f t="shared" si="0"/>
        <v>Eligible</v>
      </c>
      <c r="H8" s="30"/>
      <c r="I8" s="30"/>
      <c r="J8" s="30"/>
      <c r="K8" s="30"/>
      <c r="L8" s="30"/>
    </row>
    <row r="9" spans="1:12" ht="15" customHeight="1" x14ac:dyDescent="0.3">
      <c r="A9" s="17" t="s">
        <v>10</v>
      </c>
      <c r="B9" s="17">
        <v>20</v>
      </c>
      <c r="C9" s="17">
        <v>2</v>
      </c>
      <c r="D9" s="16" t="str">
        <f t="shared" si="0"/>
        <v>Not Eligible</v>
      </c>
      <c r="H9" s="30"/>
      <c r="I9" s="30"/>
      <c r="J9" s="30"/>
      <c r="K9" s="30"/>
      <c r="L9" s="30"/>
    </row>
    <row r="10" spans="1:12" ht="15" customHeight="1" x14ac:dyDescent="0.3">
      <c r="A10" s="17" t="s">
        <v>11</v>
      </c>
      <c r="B10" s="17">
        <v>26</v>
      </c>
      <c r="C10" s="17">
        <v>5</v>
      </c>
      <c r="D10" s="16" t="str">
        <f t="shared" si="0"/>
        <v>Eligible</v>
      </c>
      <c r="H10" s="30"/>
      <c r="I10" s="30"/>
      <c r="J10" s="30"/>
      <c r="K10" s="30"/>
      <c r="L10" s="30"/>
    </row>
    <row r="11" spans="1:12" ht="15" customHeight="1" x14ac:dyDescent="0.3">
      <c r="A11" s="17" t="s">
        <v>12</v>
      </c>
      <c r="B11" s="17">
        <v>25</v>
      </c>
      <c r="C11" s="17">
        <v>3</v>
      </c>
      <c r="D11" s="16" t="str">
        <f t="shared" si="0"/>
        <v>Eligible</v>
      </c>
      <c r="H11" s="30"/>
      <c r="I11" s="30"/>
      <c r="J11" s="30"/>
      <c r="K11" s="30"/>
      <c r="L11" s="30"/>
    </row>
    <row r="12" spans="1:12" ht="15" customHeight="1" x14ac:dyDescent="0.3">
      <c r="A12" s="17" t="s">
        <v>13</v>
      </c>
      <c r="B12" s="17">
        <v>21</v>
      </c>
      <c r="C12" s="17">
        <v>4</v>
      </c>
      <c r="D12" s="16" t="str">
        <f t="shared" si="0"/>
        <v>Eligible</v>
      </c>
      <c r="H12" s="30"/>
      <c r="I12" s="30"/>
      <c r="J12" s="30"/>
      <c r="K12" s="30"/>
      <c r="L12" s="30"/>
    </row>
    <row r="13" spans="1:12" ht="15" customHeight="1" x14ac:dyDescent="0.3">
      <c r="A13" s="17" t="s">
        <v>14</v>
      </c>
      <c r="B13" s="17">
        <v>20</v>
      </c>
      <c r="C13" s="17">
        <v>0</v>
      </c>
      <c r="D13" s="16" t="str">
        <f t="shared" si="0"/>
        <v>Not Eligible</v>
      </c>
      <c r="H13" s="30"/>
      <c r="I13" s="30"/>
      <c r="J13" s="30"/>
      <c r="K13" s="30"/>
      <c r="L13" s="30"/>
    </row>
    <row r="14" spans="1:12" x14ac:dyDescent="0.3">
      <c r="A14" s="17" t="s">
        <v>15</v>
      </c>
      <c r="B14" s="17">
        <v>29</v>
      </c>
      <c r="C14" s="17">
        <v>1</v>
      </c>
      <c r="D14" s="16" t="str">
        <f t="shared" si="0"/>
        <v>Eligible</v>
      </c>
      <c r="H14" s="30"/>
      <c r="I14" s="30"/>
      <c r="J14" s="30"/>
      <c r="K14" s="30"/>
      <c r="L14" s="30"/>
    </row>
    <row r="15" spans="1:12" x14ac:dyDescent="0.3">
      <c r="A15" s="17" t="s">
        <v>11</v>
      </c>
      <c r="B15" s="17">
        <v>30</v>
      </c>
      <c r="C15" s="17">
        <v>0</v>
      </c>
      <c r="D15" s="16" t="str">
        <f t="shared" si="0"/>
        <v>Not Eligible</v>
      </c>
      <c r="H15" s="30"/>
      <c r="I15" s="30"/>
      <c r="J15" s="30"/>
      <c r="K15" s="30"/>
      <c r="L15" s="30"/>
    </row>
    <row r="16" spans="1:12" x14ac:dyDescent="0.3">
      <c r="A16" s="17" t="s">
        <v>16</v>
      </c>
      <c r="B16" s="17">
        <v>28</v>
      </c>
      <c r="C16" s="17">
        <v>3</v>
      </c>
      <c r="D16" s="16" t="str">
        <f t="shared" si="0"/>
        <v>Eligible</v>
      </c>
      <c r="H16" s="30"/>
      <c r="I16" s="30"/>
      <c r="J16" s="30"/>
      <c r="K16" s="30"/>
      <c r="L16" s="30"/>
    </row>
    <row r="17" spans="1:12" x14ac:dyDescent="0.3">
      <c r="A17" s="17" t="s">
        <v>17</v>
      </c>
      <c r="B17" s="17">
        <v>21</v>
      </c>
      <c r="C17" s="17">
        <v>4</v>
      </c>
      <c r="D17" s="16" t="str">
        <f t="shared" si="0"/>
        <v>Eligible</v>
      </c>
      <c r="H17" s="30"/>
      <c r="I17" s="30"/>
      <c r="J17" s="30"/>
      <c r="K17" s="30"/>
      <c r="L17" s="30"/>
    </row>
    <row r="18" spans="1:12" x14ac:dyDescent="0.3">
      <c r="A18" s="17" t="s">
        <v>18</v>
      </c>
      <c r="B18" s="17">
        <v>23</v>
      </c>
      <c r="C18" s="17">
        <v>1</v>
      </c>
      <c r="D18" s="16" t="str">
        <f t="shared" si="0"/>
        <v>Eligible</v>
      </c>
    </row>
    <row r="19" spans="1:12" x14ac:dyDescent="0.3">
      <c r="A19" s="17" t="s">
        <v>19</v>
      </c>
      <c r="B19" s="17">
        <v>30</v>
      </c>
      <c r="C19" s="17">
        <v>0</v>
      </c>
      <c r="D19" s="16" t="str">
        <f t="shared" si="0"/>
        <v>Not Eligible</v>
      </c>
    </row>
    <row r="20" spans="1:12" x14ac:dyDescent="0.3">
      <c r="A20" s="17" t="s">
        <v>20</v>
      </c>
      <c r="B20" s="17">
        <v>26</v>
      </c>
      <c r="C20" s="17">
        <v>3</v>
      </c>
      <c r="D20" s="16" t="str">
        <f t="shared" si="0"/>
        <v>Eligible</v>
      </c>
    </row>
    <row r="21" spans="1:12" x14ac:dyDescent="0.3">
      <c r="A21" s="17" t="s">
        <v>21</v>
      </c>
      <c r="B21" s="17">
        <v>28</v>
      </c>
      <c r="C21" s="17">
        <v>5</v>
      </c>
      <c r="D21" s="16" t="str">
        <f t="shared" si="0"/>
        <v>Eligible</v>
      </c>
    </row>
  </sheetData>
  <mergeCells count="2">
    <mergeCell ref="A1:D1"/>
    <mergeCell ref="H6:L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A1FB-686E-44BE-A322-6B4A9B568626}">
  <dimension ref="A1:L18"/>
  <sheetViews>
    <sheetView workbookViewId="0">
      <selection activeCell="F27" sqref="F27"/>
    </sheetView>
  </sheetViews>
  <sheetFormatPr defaultRowHeight="14.4" x14ac:dyDescent="0.3"/>
  <cols>
    <col min="2" max="2" width="12.5546875" customWidth="1"/>
    <col min="3" max="3" width="14" customWidth="1"/>
    <col min="4" max="4" width="16.88671875" customWidth="1"/>
  </cols>
  <sheetData>
    <row r="1" spans="1:12" ht="25.2" x14ac:dyDescent="0.3">
      <c r="A1" s="31" t="s">
        <v>41</v>
      </c>
      <c r="B1" s="31"/>
      <c r="C1" s="31"/>
      <c r="D1" s="31"/>
    </row>
    <row r="2" spans="1:12" ht="28.8" x14ac:dyDescent="0.3">
      <c r="A2" s="20" t="s">
        <v>1</v>
      </c>
      <c r="B2" s="20" t="s">
        <v>42</v>
      </c>
      <c r="C2" s="20" t="s">
        <v>43</v>
      </c>
      <c r="D2" s="20" t="s">
        <v>39</v>
      </c>
    </row>
    <row r="3" spans="1:12" x14ac:dyDescent="0.3">
      <c r="A3" s="21" t="s">
        <v>4</v>
      </c>
      <c r="B3" s="21">
        <v>85</v>
      </c>
      <c r="C3" s="21" t="s">
        <v>44</v>
      </c>
      <c r="D3" s="21" t="str">
        <f>IF(AND(B3&gt;=75,C3="Yes"),"Eligible","Not Eligible")</f>
        <v>Eligible</v>
      </c>
    </row>
    <row r="4" spans="1:12" x14ac:dyDescent="0.3">
      <c r="A4" s="21" t="s">
        <v>5</v>
      </c>
      <c r="B4" s="21">
        <v>72</v>
      </c>
      <c r="C4" s="21" t="s">
        <v>44</v>
      </c>
      <c r="D4" s="21" t="str">
        <f t="shared" ref="D4:D18" si="0">IF(AND(B4&gt;=75,C4="Yes"),"Eligible","Not Eligible")</f>
        <v>Not Eligible</v>
      </c>
    </row>
    <row r="5" spans="1:12" x14ac:dyDescent="0.3">
      <c r="A5" s="21" t="s">
        <v>6</v>
      </c>
      <c r="B5" s="21">
        <v>90</v>
      </c>
      <c r="C5" s="21" t="s">
        <v>45</v>
      </c>
      <c r="D5" s="21" t="str">
        <f t="shared" si="0"/>
        <v>Not Eligible</v>
      </c>
    </row>
    <row r="6" spans="1:12" x14ac:dyDescent="0.3">
      <c r="A6" s="21" t="s">
        <v>7</v>
      </c>
      <c r="B6" s="21">
        <v>80</v>
      </c>
      <c r="C6" s="21" t="s">
        <v>44</v>
      </c>
      <c r="D6" s="21" t="str">
        <f t="shared" si="0"/>
        <v>Eligible</v>
      </c>
    </row>
    <row r="7" spans="1:12" x14ac:dyDescent="0.3">
      <c r="A7" s="19" t="s">
        <v>11</v>
      </c>
      <c r="B7" s="21">
        <v>82</v>
      </c>
      <c r="C7" s="21" t="s">
        <v>44</v>
      </c>
      <c r="D7" s="21" t="str">
        <f t="shared" si="0"/>
        <v>Eligible</v>
      </c>
    </row>
    <row r="8" spans="1:12" x14ac:dyDescent="0.3">
      <c r="A8" s="19" t="s">
        <v>12</v>
      </c>
      <c r="B8" s="21">
        <v>82</v>
      </c>
      <c r="C8" s="21" t="s">
        <v>44</v>
      </c>
      <c r="D8" s="21" t="str">
        <f t="shared" si="0"/>
        <v>Eligible</v>
      </c>
    </row>
    <row r="9" spans="1:12" x14ac:dyDescent="0.3">
      <c r="A9" s="19" t="s">
        <v>13</v>
      </c>
      <c r="B9" s="21">
        <v>83</v>
      </c>
      <c r="C9" s="21" t="s">
        <v>45</v>
      </c>
      <c r="D9" s="21" t="str">
        <f t="shared" si="0"/>
        <v>Not Eligible</v>
      </c>
      <c r="I9" s="26" t="s">
        <v>46</v>
      </c>
      <c r="J9" s="26"/>
      <c r="K9" s="26"/>
      <c r="L9" s="26"/>
    </row>
    <row r="10" spans="1:12" ht="15" customHeight="1" x14ac:dyDescent="0.3">
      <c r="A10" s="19" t="s">
        <v>14</v>
      </c>
      <c r="B10" s="21">
        <v>83</v>
      </c>
      <c r="C10" s="21" t="s">
        <v>44</v>
      </c>
      <c r="D10" s="21" t="str">
        <f t="shared" si="0"/>
        <v>Eligible</v>
      </c>
      <c r="I10" s="26"/>
      <c r="J10" s="26"/>
      <c r="K10" s="26"/>
      <c r="L10" s="26"/>
    </row>
    <row r="11" spans="1:12" ht="15" customHeight="1" x14ac:dyDescent="0.3">
      <c r="A11" s="19" t="s">
        <v>15</v>
      </c>
      <c r="B11" s="21">
        <v>83</v>
      </c>
      <c r="C11" s="21" t="s">
        <v>44</v>
      </c>
      <c r="D11" s="21" t="str">
        <f t="shared" si="0"/>
        <v>Eligible</v>
      </c>
      <c r="I11" s="26"/>
      <c r="J11" s="26"/>
      <c r="K11" s="26"/>
      <c r="L11" s="26"/>
    </row>
    <row r="12" spans="1:12" ht="15" customHeight="1" x14ac:dyDescent="0.3">
      <c r="A12" s="19" t="s">
        <v>11</v>
      </c>
      <c r="B12" s="21">
        <v>84</v>
      </c>
      <c r="C12" s="21" t="s">
        <v>44</v>
      </c>
      <c r="D12" s="21" t="str">
        <f t="shared" si="0"/>
        <v>Eligible</v>
      </c>
      <c r="I12" s="26"/>
      <c r="J12" s="26"/>
      <c r="K12" s="26"/>
      <c r="L12" s="26"/>
    </row>
    <row r="13" spans="1:12" ht="15" customHeight="1" x14ac:dyDescent="0.3">
      <c r="A13" s="19" t="s">
        <v>16</v>
      </c>
      <c r="B13" s="21">
        <v>84</v>
      </c>
      <c r="C13" s="21" t="s">
        <v>45</v>
      </c>
      <c r="D13" s="21" t="str">
        <f t="shared" si="0"/>
        <v>Not Eligible</v>
      </c>
      <c r="I13" s="26"/>
      <c r="J13" s="26"/>
      <c r="K13" s="26"/>
      <c r="L13" s="26"/>
    </row>
    <row r="14" spans="1:12" x14ac:dyDescent="0.3">
      <c r="A14" s="19" t="s">
        <v>17</v>
      </c>
      <c r="B14" s="21">
        <v>84</v>
      </c>
      <c r="C14" s="21" t="s">
        <v>44</v>
      </c>
      <c r="D14" s="21" t="str">
        <f t="shared" si="0"/>
        <v>Eligible</v>
      </c>
    </row>
    <row r="15" spans="1:12" x14ac:dyDescent="0.3">
      <c r="A15" s="19" t="s">
        <v>18</v>
      </c>
      <c r="B15" s="21">
        <v>84</v>
      </c>
      <c r="C15" s="21" t="s">
        <v>44</v>
      </c>
      <c r="D15" s="21" t="str">
        <f t="shared" si="0"/>
        <v>Eligible</v>
      </c>
    </row>
    <row r="16" spans="1:12" x14ac:dyDescent="0.3">
      <c r="A16" s="19" t="s">
        <v>19</v>
      </c>
      <c r="B16" s="21">
        <v>85</v>
      </c>
      <c r="C16" s="21" t="s">
        <v>44</v>
      </c>
      <c r="D16" s="21" t="str">
        <f t="shared" si="0"/>
        <v>Eligible</v>
      </c>
    </row>
    <row r="17" spans="1:4" x14ac:dyDescent="0.3">
      <c r="A17" s="19" t="s">
        <v>20</v>
      </c>
      <c r="B17" s="21">
        <v>88</v>
      </c>
      <c r="C17" s="21" t="s">
        <v>45</v>
      </c>
      <c r="D17" s="21" t="str">
        <f t="shared" si="0"/>
        <v>Not Eligible</v>
      </c>
    </row>
    <row r="18" spans="1:4" x14ac:dyDescent="0.3">
      <c r="A18" s="19" t="s">
        <v>21</v>
      </c>
      <c r="B18" s="21">
        <v>85</v>
      </c>
      <c r="C18" s="21" t="s">
        <v>44</v>
      </c>
      <c r="D18" s="21" t="str">
        <f t="shared" si="0"/>
        <v>Eligible</v>
      </c>
    </row>
  </sheetData>
  <mergeCells count="2">
    <mergeCell ref="A1:D1"/>
    <mergeCell ref="I9:L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CAA3-5F35-4351-B386-E0312E043A17}">
  <dimension ref="A1:L18"/>
  <sheetViews>
    <sheetView workbookViewId="0">
      <selection activeCell="A8" sqref="A8:A18"/>
    </sheetView>
  </sheetViews>
  <sheetFormatPr defaultRowHeight="14.4" x14ac:dyDescent="0.3"/>
  <cols>
    <col min="1" max="1" width="10.6640625" customWidth="1"/>
    <col min="2" max="2" width="11.88671875" customWidth="1"/>
    <col min="3" max="3" width="15.109375" customWidth="1"/>
    <col min="4" max="4" width="15.88671875" customWidth="1"/>
  </cols>
  <sheetData>
    <row r="1" spans="1:12" ht="25.8" thickBot="1" x14ac:dyDescent="0.35">
      <c r="A1" s="32" t="s">
        <v>54</v>
      </c>
      <c r="B1" s="32"/>
      <c r="C1" s="32"/>
      <c r="D1" s="32"/>
    </row>
    <row r="2" spans="1:12" ht="28.8" x14ac:dyDescent="0.3">
      <c r="A2" s="23" t="s">
        <v>47</v>
      </c>
      <c r="B2" s="23" t="s">
        <v>48</v>
      </c>
      <c r="C2" s="23" t="s">
        <v>49</v>
      </c>
      <c r="D2" s="23" t="s">
        <v>50</v>
      </c>
    </row>
    <row r="3" spans="1:12" x14ac:dyDescent="0.3">
      <c r="A3" s="24" t="s">
        <v>51</v>
      </c>
      <c r="B3" s="24">
        <v>9000</v>
      </c>
      <c r="C3" s="24" t="s">
        <v>45</v>
      </c>
      <c r="D3" s="24" t="str">
        <f>IF(OR(B3&gt;=10000,C3="Yes"),"Discount","Not discount")</f>
        <v>Not discount</v>
      </c>
    </row>
    <row r="4" spans="1:12" x14ac:dyDescent="0.3">
      <c r="A4" s="24" t="s">
        <v>52</v>
      </c>
      <c r="B4" s="24">
        <v>12000</v>
      </c>
      <c r="C4" s="24" t="s">
        <v>45</v>
      </c>
      <c r="D4" s="24" t="str">
        <f t="shared" ref="D4:D18" si="0">IF(OR(B4&gt;=10000,C4="Yes"),"Discount","Not discount")</f>
        <v>Discount</v>
      </c>
    </row>
    <row r="5" spans="1:12" x14ac:dyDescent="0.3">
      <c r="A5" s="24" t="s">
        <v>6</v>
      </c>
      <c r="B5" s="24">
        <v>4000</v>
      </c>
      <c r="C5" s="24" t="s">
        <v>44</v>
      </c>
      <c r="D5" s="24" t="str">
        <f t="shared" si="0"/>
        <v>Discount</v>
      </c>
    </row>
    <row r="6" spans="1:12" x14ac:dyDescent="0.3">
      <c r="A6" s="24" t="s">
        <v>53</v>
      </c>
      <c r="B6" s="24">
        <v>3000</v>
      </c>
      <c r="C6" s="24" t="s">
        <v>45</v>
      </c>
      <c r="D6" s="24" t="str">
        <f t="shared" si="0"/>
        <v>Not discount</v>
      </c>
    </row>
    <row r="7" spans="1:12" x14ac:dyDescent="0.3">
      <c r="A7" s="22" t="s">
        <v>11</v>
      </c>
      <c r="B7" s="24">
        <v>500</v>
      </c>
      <c r="C7" s="24" t="s">
        <v>45</v>
      </c>
      <c r="D7" s="24" t="str">
        <f t="shared" si="0"/>
        <v>Not discount</v>
      </c>
    </row>
    <row r="8" spans="1:12" x14ac:dyDescent="0.3">
      <c r="A8" s="22" t="s">
        <v>12</v>
      </c>
      <c r="B8" s="24">
        <v>2100</v>
      </c>
      <c r="C8" s="24" t="s">
        <v>45</v>
      </c>
      <c r="D8" s="24" t="str">
        <f t="shared" si="0"/>
        <v>Not discount</v>
      </c>
      <c r="I8" s="26" t="s">
        <v>55</v>
      </c>
      <c r="J8" s="26"/>
      <c r="K8" s="26"/>
      <c r="L8" s="26"/>
    </row>
    <row r="9" spans="1:12" ht="15" customHeight="1" x14ac:dyDescent="0.3">
      <c r="A9" s="22" t="s">
        <v>13</v>
      </c>
      <c r="B9" s="24">
        <v>4700</v>
      </c>
      <c r="C9" s="24" t="s">
        <v>44</v>
      </c>
      <c r="D9" s="24" t="str">
        <f t="shared" si="0"/>
        <v>Discount</v>
      </c>
      <c r="I9" s="26"/>
      <c r="J9" s="26"/>
      <c r="K9" s="26"/>
      <c r="L9" s="26"/>
    </row>
    <row r="10" spans="1:12" x14ac:dyDescent="0.3">
      <c r="A10" s="22" t="s">
        <v>14</v>
      </c>
      <c r="B10" s="24">
        <v>7300</v>
      </c>
      <c r="C10" s="24" t="s">
        <v>45</v>
      </c>
      <c r="D10" s="24" t="str">
        <f t="shared" si="0"/>
        <v>Not discount</v>
      </c>
      <c r="I10" s="26"/>
      <c r="J10" s="26"/>
      <c r="K10" s="26"/>
      <c r="L10" s="26"/>
    </row>
    <row r="11" spans="1:12" x14ac:dyDescent="0.3">
      <c r="A11" s="22" t="s">
        <v>15</v>
      </c>
      <c r="B11" s="24">
        <v>9900</v>
      </c>
      <c r="C11" s="24" t="s">
        <v>45</v>
      </c>
      <c r="D11" s="24" t="str">
        <f t="shared" si="0"/>
        <v>Not discount</v>
      </c>
      <c r="I11" s="26"/>
      <c r="J11" s="26"/>
      <c r="K11" s="26"/>
      <c r="L11" s="26"/>
    </row>
    <row r="12" spans="1:12" x14ac:dyDescent="0.3">
      <c r="A12" s="22" t="s">
        <v>11</v>
      </c>
      <c r="B12" s="24">
        <v>12500</v>
      </c>
      <c r="C12" s="24" t="s">
        <v>45</v>
      </c>
      <c r="D12" s="24" t="str">
        <f t="shared" si="0"/>
        <v>Discount</v>
      </c>
      <c r="I12" s="26"/>
      <c r="J12" s="26"/>
      <c r="K12" s="26"/>
      <c r="L12" s="26"/>
    </row>
    <row r="13" spans="1:12" x14ac:dyDescent="0.3">
      <c r="A13" s="22" t="s">
        <v>16</v>
      </c>
      <c r="B13" s="24">
        <v>15100</v>
      </c>
      <c r="C13" s="24" t="s">
        <v>44</v>
      </c>
      <c r="D13" s="24" t="str">
        <f t="shared" si="0"/>
        <v>Discount</v>
      </c>
    </row>
    <row r="14" spans="1:12" x14ac:dyDescent="0.3">
      <c r="A14" s="22" t="s">
        <v>17</v>
      </c>
      <c r="B14" s="24">
        <v>17700</v>
      </c>
      <c r="C14" s="24" t="s">
        <v>45</v>
      </c>
      <c r="D14" s="24" t="str">
        <f t="shared" si="0"/>
        <v>Discount</v>
      </c>
    </row>
    <row r="15" spans="1:12" x14ac:dyDescent="0.3">
      <c r="A15" s="22" t="s">
        <v>18</v>
      </c>
      <c r="B15" s="24">
        <v>20300</v>
      </c>
      <c r="C15" s="24" t="s">
        <v>45</v>
      </c>
      <c r="D15" s="24" t="str">
        <f t="shared" si="0"/>
        <v>Discount</v>
      </c>
    </row>
    <row r="16" spans="1:12" x14ac:dyDescent="0.3">
      <c r="A16" s="22" t="s">
        <v>19</v>
      </c>
      <c r="B16" s="24">
        <v>22900</v>
      </c>
      <c r="C16" s="24" t="s">
        <v>45</v>
      </c>
      <c r="D16" s="24" t="str">
        <f t="shared" si="0"/>
        <v>Discount</v>
      </c>
    </row>
    <row r="17" spans="1:4" x14ac:dyDescent="0.3">
      <c r="A17" s="22" t="s">
        <v>20</v>
      </c>
      <c r="B17" s="24">
        <v>25500</v>
      </c>
      <c r="C17" s="24" t="s">
        <v>44</v>
      </c>
      <c r="D17" s="24" t="str">
        <f t="shared" si="0"/>
        <v>Discount</v>
      </c>
    </row>
    <row r="18" spans="1:4" x14ac:dyDescent="0.3">
      <c r="A18" s="22" t="s">
        <v>21</v>
      </c>
      <c r="B18" s="24">
        <v>28100</v>
      </c>
      <c r="C18" s="24" t="s">
        <v>45</v>
      </c>
      <c r="D18" s="24" t="str">
        <f t="shared" si="0"/>
        <v>Discount</v>
      </c>
    </row>
  </sheetData>
  <mergeCells count="2">
    <mergeCell ref="A1:D1"/>
    <mergeCell ref="I8:L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0F8D-66AF-4D76-8859-1AC36AC3FCDD}">
  <dimension ref="A1:I17"/>
  <sheetViews>
    <sheetView zoomScale="134" workbookViewId="0">
      <selection activeCell="D5" sqref="D5"/>
    </sheetView>
  </sheetViews>
  <sheetFormatPr defaultRowHeight="14.4" x14ac:dyDescent="0.3"/>
  <cols>
    <col min="1" max="1" width="9.6640625" customWidth="1"/>
    <col min="2" max="2" width="6.5546875" bestFit="1" customWidth="1"/>
    <col min="3" max="3" width="6.109375" bestFit="1" customWidth="1"/>
    <col min="4" max="4" width="14.6640625" bestFit="1" customWidth="1"/>
  </cols>
  <sheetData>
    <row r="1" spans="1:9" ht="34.200000000000003" customHeight="1" x14ac:dyDescent="0.3">
      <c r="A1" s="35" t="s">
        <v>59</v>
      </c>
      <c r="B1" s="35"/>
      <c r="C1" s="35"/>
      <c r="D1" s="35"/>
    </row>
    <row r="2" spans="1:9" ht="28.8" x14ac:dyDescent="0.3">
      <c r="A2" s="34" t="s">
        <v>56</v>
      </c>
      <c r="B2" s="34" t="s">
        <v>25</v>
      </c>
      <c r="C2" s="38" t="s">
        <v>57</v>
      </c>
      <c r="D2" s="34" t="s">
        <v>58</v>
      </c>
    </row>
    <row r="3" spans="1:9" x14ac:dyDescent="0.3">
      <c r="A3" s="36" t="s">
        <v>27</v>
      </c>
      <c r="B3" s="37">
        <v>35000</v>
      </c>
      <c r="C3" s="39">
        <v>720</v>
      </c>
      <c r="D3" s="36" t="str">
        <f>IF(AND(B3&gt;=40000,C3&gt;=700),"Loan","Loan not given")</f>
        <v>Loan not given</v>
      </c>
    </row>
    <row r="4" spans="1:9" x14ac:dyDescent="0.3">
      <c r="A4" s="36" t="s">
        <v>28</v>
      </c>
      <c r="B4" s="37">
        <v>25000</v>
      </c>
      <c r="C4" s="39">
        <v>680</v>
      </c>
      <c r="D4" s="36" t="str">
        <f t="shared" ref="D4:D17" si="0">IF(AND(B4&gt;=40000,C4&gt;=700),"Loan","Loan not given")</f>
        <v>Loan not given</v>
      </c>
    </row>
    <row r="5" spans="1:9" x14ac:dyDescent="0.3">
      <c r="A5" s="36" t="s">
        <v>29</v>
      </c>
      <c r="B5" s="37">
        <v>50000</v>
      </c>
      <c r="C5" s="39">
        <v>650</v>
      </c>
      <c r="D5" s="36" t="str">
        <f t="shared" si="0"/>
        <v>Loan not given</v>
      </c>
      <c r="G5" s="42" t="s">
        <v>60</v>
      </c>
      <c r="H5" s="43"/>
      <c r="I5" s="43"/>
    </row>
    <row r="6" spans="1:9" x14ac:dyDescent="0.3">
      <c r="A6" s="36" t="s">
        <v>30</v>
      </c>
      <c r="B6" s="37">
        <v>20000</v>
      </c>
      <c r="C6" s="39">
        <v>600</v>
      </c>
      <c r="D6" s="36" t="str">
        <f t="shared" si="0"/>
        <v>Loan not given</v>
      </c>
      <c r="G6" s="43"/>
      <c r="H6" s="43"/>
      <c r="I6" s="43"/>
    </row>
    <row r="7" spans="1:9" x14ac:dyDescent="0.3">
      <c r="A7" s="33" t="s">
        <v>12</v>
      </c>
      <c r="B7" s="33">
        <v>40000</v>
      </c>
      <c r="C7" s="33">
        <v>700</v>
      </c>
      <c r="D7" s="36" t="str">
        <f t="shared" si="0"/>
        <v>Loan</v>
      </c>
      <c r="G7" s="43"/>
      <c r="H7" s="43"/>
      <c r="I7" s="43"/>
    </row>
    <row r="8" spans="1:9" x14ac:dyDescent="0.3">
      <c r="A8" s="33" t="s">
        <v>13</v>
      </c>
      <c r="B8" s="33">
        <v>55000</v>
      </c>
      <c r="C8" s="33">
        <v>200</v>
      </c>
      <c r="D8" s="36" t="str">
        <f t="shared" si="0"/>
        <v>Loan not given</v>
      </c>
      <c r="G8" s="43"/>
      <c r="H8" s="43"/>
      <c r="I8" s="43"/>
    </row>
    <row r="9" spans="1:9" x14ac:dyDescent="0.3">
      <c r="A9" s="33" t="s">
        <v>14</v>
      </c>
      <c r="B9" s="33">
        <v>20000</v>
      </c>
      <c r="C9" s="33">
        <v>220</v>
      </c>
      <c r="D9" s="36" t="str">
        <f t="shared" si="0"/>
        <v>Loan not given</v>
      </c>
    </row>
    <row r="10" spans="1:9" x14ac:dyDescent="0.3">
      <c r="A10" s="33" t="s">
        <v>15</v>
      </c>
      <c r="B10" s="33">
        <v>12000</v>
      </c>
      <c r="C10" s="33">
        <v>650</v>
      </c>
      <c r="D10" s="36" t="str">
        <f t="shared" si="0"/>
        <v>Loan not given</v>
      </c>
    </row>
    <row r="11" spans="1:9" x14ac:dyDescent="0.3">
      <c r="A11" s="33" t="s">
        <v>11</v>
      </c>
      <c r="B11" s="33">
        <v>30000</v>
      </c>
      <c r="C11" s="33">
        <v>720</v>
      </c>
      <c r="D11" s="36" t="str">
        <f t="shared" si="0"/>
        <v>Loan not given</v>
      </c>
    </row>
    <row r="12" spans="1:9" x14ac:dyDescent="0.3">
      <c r="A12" s="33" t="s">
        <v>16</v>
      </c>
      <c r="B12" s="33">
        <v>32000</v>
      </c>
      <c r="C12" s="33">
        <v>800</v>
      </c>
      <c r="D12" s="36" t="str">
        <f t="shared" si="0"/>
        <v>Loan not given</v>
      </c>
    </row>
    <row r="13" spans="1:9" x14ac:dyDescent="0.3">
      <c r="A13" s="33" t="s">
        <v>17</v>
      </c>
      <c r="B13" s="33">
        <v>35000</v>
      </c>
      <c r="C13" s="33">
        <v>560</v>
      </c>
      <c r="D13" s="36" t="str">
        <f t="shared" si="0"/>
        <v>Loan not given</v>
      </c>
    </row>
    <row r="14" spans="1:9" x14ac:dyDescent="0.3">
      <c r="A14" s="33" t="s">
        <v>18</v>
      </c>
      <c r="B14" s="33">
        <v>45000</v>
      </c>
      <c r="C14" s="33">
        <v>240</v>
      </c>
      <c r="D14" s="36" t="str">
        <f t="shared" si="0"/>
        <v>Loan not given</v>
      </c>
    </row>
    <row r="15" spans="1:9" x14ac:dyDescent="0.3">
      <c r="A15" s="33" t="s">
        <v>19</v>
      </c>
      <c r="B15" s="33">
        <v>55000</v>
      </c>
      <c r="C15" s="33">
        <v>560</v>
      </c>
      <c r="D15" s="36" t="str">
        <f t="shared" si="0"/>
        <v>Loan not given</v>
      </c>
    </row>
    <row r="16" spans="1:9" x14ac:dyDescent="0.3">
      <c r="A16" s="33" t="s">
        <v>20</v>
      </c>
      <c r="B16" s="33">
        <v>25000</v>
      </c>
      <c r="C16" s="33">
        <v>250</v>
      </c>
      <c r="D16" s="36" t="str">
        <f t="shared" si="0"/>
        <v>Loan not given</v>
      </c>
    </row>
    <row r="17" spans="1:4" x14ac:dyDescent="0.3">
      <c r="A17" s="33" t="s">
        <v>21</v>
      </c>
      <c r="B17" s="33">
        <v>80000</v>
      </c>
      <c r="C17" s="33">
        <v>800</v>
      </c>
      <c r="D17" s="36" t="str">
        <f t="shared" si="0"/>
        <v>Loan</v>
      </c>
    </row>
  </sheetData>
  <mergeCells count="2">
    <mergeCell ref="A1:D1"/>
    <mergeCell ref="G5:I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031E-B13A-4874-A75B-9317B5279A78}">
  <dimension ref="A1:G17"/>
  <sheetViews>
    <sheetView zoomScale="147" workbookViewId="0">
      <selection activeCell="C3" sqref="C3:C17"/>
    </sheetView>
  </sheetViews>
  <sheetFormatPr defaultRowHeight="14.4" x14ac:dyDescent="0.3"/>
  <cols>
    <col min="3" max="3" width="21.21875" customWidth="1"/>
  </cols>
  <sheetData>
    <row r="1" spans="1:7" ht="25.2" x14ac:dyDescent="0.3">
      <c r="A1" s="44" t="s">
        <v>63</v>
      </c>
      <c r="B1" s="44"/>
      <c r="C1" s="44"/>
    </row>
    <row r="2" spans="1:7" x14ac:dyDescent="0.3">
      <c r="A2" s="46" t="s">
        <v>36</v>
      </c>
      <c r="B2" s="46" t="s">
        <v>61</v>
      </c>
      <c r="C2" s="46" t="s">
        <v>62</v>
      </c>
    </row>
    <row r="3" spans="1:7" x14ac:dyDescent="0.3">
      <c r="A3" s="47" t="s">
        <v>4</v>
      </c>
      <c r="B3" s="47" t="b">
        <v>1</v>
      </c>
      <c r="C3" s="47" t="str">
        <f>IF(B3=TRUE,"Present","Not  present")</f>
        <v>Present</v>
      </c>
    </row>
    <row r="4" spans="1:7" x14ac:dyDescent="0.3">
      <c r="A4" s="47" t="s">
        <v>5</v>
      </c>
      <c r="B4" s="47" t="b">
        <v>0</v>
      </c>
      <c r="C4" s="47" t="str">
        <f t="shared" ref="C4:C17" si="0">IF(B4=TRUE,"Present","Not  present")</f>
        <v>Not  present</v>
      </c>
    </row>
    <row r="5" spans="1:7" x14ac:dyDescent="0.3">
      <c r="A5" s="47" t="s">
        <v>6</v>
      </c>
      <c r="B5" s="47" t="b">
        <v>1</v>
      </c>
      <c r="C5" s="47" t="str">
        <f t="shared" si="0"/>
        <v>Present</v>
      </c>
    </row>
    <row r="6" spans="1:7" x14ac:dyDescent="0.3">
      <c r="A6" s="47" t="s">
        <v>7</v>
      </c>
      <c r="B6" s="47" t="b">
        <v>0</v>
      </c>
      <c r="C6" s="47" t="str">
        <f t="shared" si="0"/>
        <v>Not  present</v>
      </c>
      <c r="E6" s="41" t="s">
        <v>64</v>
      </c>
      <c r="F6" s="40"/>
      <c r="G6" s="40"/>
    </row>
    <row r="7" spans="1:7" x14ac:dyDescent="0.3">
      <c r="A7" s="45" t="s">
        <v>12</v>
      </c>
      <c r="B7" s="47" t="b">
        <v>1</v>
      </c>
      <c r="C7" s="47" t="str">
        <f t="shared" si="0"/>
        <v>Present</v>
      </c>
      <c r="E7" s="40"/>
      <c r="F7" s="40"/>
      <c r="G7" s="40"/>
    </row>
    <row r="8" spans="1:7" x14ac:dyDescent="0.3">
      <c r="A8" s="45" t="s">
        <v>13</v>
      </c>
      <c r="B8" s="47" t="b">
        <v>0</v>
      </c>
      <c r="C8" s="47" t="str">
        <f t="shared" si="0"/>
        <v>Not  present</v>
      </c>
      <c r="E8" s="40"/>
      <c r="F8" s="40"/>
      <c r="G8" s="40"/>
    </row>
    <row r="9" spans="1:7" x14ac:dyDescent="0.3">
      <c r="A9" s="45" t="s">
        <v>14</v>
      </c>
      <c r="B9" s="47" t="b">
        <v>1</v>
      </c>
      <c r="C9" s="47" t="str">
        <f t="shared" si="0"/>
        <v>Present</v>
      </c>
    </row>
    <row r="10" spans="1:7" x14ac:dyDescent="0.3">
      <c r="A10" s="45" t="s">
        <v>15</v>
      </c>
      <c r="B10" s="47" t="b">
        <v>0</v>
      </c>
      <c r="C10" s="47" t="str">
        <f t="shared" si="0"/>
        <v>Not  present</v>
      </c>
    </row>
    <row r="11" spans="1:7" x14ac:dyDescent="0.3">
      <c r="A11" s="45" t="s">
        <v>11</v>
      </c>
      <c r="B11" s="47" t="b">
        <v>1</v>
      </c>
      <c r="C11" s="47" t="str">
        <f t="shared" si="0"/>
        <v>Present</v>
      </c>
    </row>
    <row r="12" spans="1:7" x14ac:dyDescent="0.3">
      <c r="A12" s="45" t="s">
        <v>16</v>
      </c>
      <c r="B12" s="47" t="b">
        <v>0</v>
      </c>
      <c r="C12" s="47" t="str">
        <f t="shared" si="0"/>
        <v>Not  present</v>
      </c>
    </row>
    <row r="13" spans="1:7" x14ac:dyDescent="0.3">
      <c r="A13" s="45" t="s">
        <v>17</v>
      </c>
      <c r="B13" s="47" t="b">
        <v>1</v>
      </c>
      <c r="C13" s="47" t="str">
        <f t="shared" si="0"/>
        <v>Present</v>
      </c>
    </row>
    <row r="14" spans="1:7" x14ac:dyDescent="0.3">
      <c r="A14" s="45" t="s">
        <v>18</v>
      </c>
      <c r="B14" s="47" t="b">
        <v>0</v>
      </c>
      <c r="C14" s="47" t="str">
        <f t="shared" si="0"/>
        <v>Not  present</v>
      </c>
    </row>
    <row r="15" spans="1:7" x14ac:dyDescent="0.3">
      <c r="A15" s="45" t="s">
        <v>19</v>
      </c>
      <c r="B15" s="47" t="b">
        <v>1</v>
      </c>
      <c r="C15" s="47" t="str">
        <f t="shared" si="0"/>
        <v>Present</v>
      </c>
    </row>
    <row r="16" spans="1:7" x14ac:dyDescent="0.3">
      <c r="A16" s="45" t="s">
        <v>20</v>
      </c>
      <c r="B16" s="47" t="b">
        <v>0</v>
      </c>
      <c r="C16" s="47" t="str">
        <f t="shared" si="0"/>
        <v>Not  present</v>
      </c>
    </row>
    <row r="17" spans="1:3" x14ac:dyDescent="0.3">
      <c r="A17" s="45" t="s">
        <v>21</v>
      </c>
      <c r="B17" s="47" t="b">
        <v>1</v>
      </c>
      <c r="C17" s="47" t="str">
        <f t="shared" si="0"/>
        <v>Present</v>
      </c>
    </row>
  </sheetData>
  <mergeCells count="2">
    <mergeCell ref="A1:C1"/>
    <mergeCell ref="E6:G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64DB-DB9E-4A3B-A3AB-4A9D80870A3D}">
  <dimension ref="A1:G20"/>
  <sheetViews>
    <sheetView zoomScale="175" zoomScaleNormal="175" workbookViewId="0">
      <selection activeCell="A2" sqref="A2:C20"/>
    </sheetView>
  </sheetViews>
  <sheetFormatPr defaultRowHeight="14.4" x14ac:dyDescent="0.3"/>
  <cols>
    <col min="1" max="1" width="10.44140625" customWidth="1"/>
    <col min="2" max="2" width="9.5546875" customWidth="1"/>
    <col min="3" max="3" width="12.88671875" bestFit="1" customWidth="1"/>
  </cols>
  <sheetData>
    <row r="1" spans="1:7" ht="39.6" customHeight="1" x14ac:dyDescent="0.3">
      <c r="A1" s="48" t="s">
        <v>67</v>
      </c>
      <c r="B1" s="48"/>
      <c r="C1" s="48"/>
    </row>
    <row r="2" spans="1:7" ht="19.8" customHeight="1" x14ac:dyDescent="0.3">
      <c r="A2" s="49" t="s">
        <v>65</v>
      </c>
      <c r="B2" s="49" t="s">
        <v>66</v>
      </c>
      <c r="C2" s="49" t="s">
        <v>3</v>
      </c>
    </row>
    <row r="3" spans="1:7" x14ac:dyDescent="0.3">
      <c r="A3" s="50">
        <v>10</v>
      </c>
      <c r="B3" s="50">
        <v>2</v>
      </c>
      <c r="C3" s="21">
        <f>IFERROR(A3/B3,"Invalid")</f>
        <v>5</v>
      </c>
    </row>
    <row r="4" spans="1:7" x14ac:dyDescent="0.3">
      <c r="A4" s="50">
        <v>15</v>
      </c>
      <c r="B4" s="50">
        <v>0</v>
      </c>
      <c r="C4" s="21" t="str">
        <f t="shared" ref="C4:C20" si="0">IFERROR(A4/B4,"Invalid")</f>
        <v>Invalid</v>
      </c>
      <c r="E4" s="41" t="s">
        <v>68</v>
      </c>
      <c r="F4" s="40"/>
      <c r="G4" s="40"/>
    </row>
    <row r="5" spans="1:7" x14ac:dyDescent="0.3">
      <c r="A5" s="50">
        <v>20</v>
      </c>
      <c r="B5" s="50">
        <v>5</v>
      </c>
      <c r="C5" s="21">
        <f t="shared" si="0"/>
        <v>4</v>
      </c>
      <c r="E5" s="40"/>
      <c r="F5" s="40"/>
      <c r="G5" s="40"/>
    </row>
    <row r="6" spans="1:7" x14ac:dyDescent="0.3">
      <c r="A6" s="50">
        <v>8</v>
      </c>
      <c r="B6" s="50">
        <v>0</v>
      </c>
      <c r="C6" s="21" t="str">
        <f t="shared" si="0"/>
        <v>Invalid</v>
      </c>
      <c r="E6" s="40"/>
      <c r="F6" s="40"/>
      <c r="G6" s="40"/>
    </row>
    <row r="7" spans="1:7" x14ac:dyDescent="0.3">
      <c r="A7" s="51">
        <v>50</v>
      </c>
      <c r="B7" s="19">
        <v>2</v>
      </c>
      <c r="C7" s="21">
        <f t="shared" si="0"/>
        <v>25</v>
      </c>
      <c r="E7" s="40"/>
      <c r="F7" s="40"/>
      <c r="G7" s="40"/>
    </row>
    <row r="8" spans="1:7" x14ac:dyDescent="0.3">
      <c r="A8" s="51">
        <v>6</v>
      </c>
      <c r="B8" s="19">
        <v>8</v>
      </c>
      <c r="C8" s="21">
        <f t="shared" si="0"/>
        <v>0.75</v>
      </c>
    </row>
    <row r="9" spans="1:7" x14ac:dyDescent="0.3">
      <c r="A9" s="51">
        <v>52</v>
      </c>
      <c r="B9" s="19">
        <v>4</v>
      </c>
      <c r="C9" s="21">
        <f t="shared" si="0"/>
        <v>13</v>
      </c>
    </row>
    <row r="10" spans="1:7" x14ac:dyDescent="0.3">
      <c r="A10" s="51">
        <v>23</v>
      </c>
      <c r="B10" s="19">
        <v>3</v>
      </c>
      <c r="C10" s="21">
        <f t="shared" si="0"/>
        <v>7.666666666666667</v>
      </c>
    </row>
    <row r="11" spans="1:7" x14ac:dyDescent="0.3">
      <c r="A11" s="51">
        <v>25</v>
      </c>
      <c r="B11" s="19">
        <v>6</v>
      </c>
      <c r="C11" s="21">
        <f t="shared" si="0"/>
        <v>4.166666666666667</v>
      </c>
    </row>
    <row r="12" spans="1:7" x14ac:dyDescent="0.3">
      <c r="A12" s="51">
        <v>22</v>
      </c>
      <c r="B12" s="19">
        <v>7</v>
      </c>
      <c r="C12" s="21">
        <f t="shared" si="0"/>
        <v>3.1428571428571428</v>
      </c>
    </row>
    <row r="13" spans="1:7" x14ac:dyDescent="0.3">
      <c r="A13" s="51">
        <v>24</v>
      </c>
      <c r="B13" s="19">
        <v>4</v>
      </c>
      <c r="C13" s="21">
        <f t="shared" si="0"/>
        <v>6</v>
      </c>
    </row>
    <row r="14" spans="1:7" x14ac:dyDescent="0.3">
      <c r="A14" s="51">
        <v>23</v>
      </c>
      <c r="B14" s="19">
        <v>6</v>
      </c>
      <c r="C14" s="21">
        <f t="shared" si="0"/>
        <v>3.8333333333333335</v>
      </c>
    </row>
    <row r="15" spans="1:7" x14ac:dyDescent="0.3">
      <c r="A15" s="51">
        <v>52</v>
      </c>
      <c r="B15" s="19">
        <v>0</v>
      </c>
      <c r="C15" s="21" t="str">
        <f t="shared" si="0"/>
        <v>Invalid</v>
      </c>
    </row>
    <row r="16" spans="1:7" x14ac:dyDescent="0.3">
      <c r="A16" s="51">
        <v>8</v>
      </c>
      <c r="B16" s="19">
        <v>3</v>
      </c>
      <c r="C16" s="21">
        <f t="shared" si="0"/>
        <v>2.6666666666666665</v>
      </c>
    </row>
    <row r="17" spans="1:3" x14ac:dyDescent="0.3">
      <c r="A17" s="51">
        <v>7</v>
      </c>
      <c r="B17" s="19">
        <v>0</v>
      </c>
      <c r="C17" s="21" t="str">
        <f t="shared" si="0"/>
        <v>Invalid</v>
      </c>
    </row>
    <row r="18" spans="1:3" x14ac:dyDescent="0.3">
      <c r="A18" s="51">
        <v>14</v>
      </c>
      <c r="B18" s="19">
        <v>5</v>
      </c>
      <c r="C18" s="21">
        <f t="shared" si="0"/>
        <v>2.8</v>
      </c>
    </row>
    <row r="19" spans="1:3" x14ac:dyDescent="0.3">
      <c r="A19" s="51">
        <v>16</v>
      </c>
      <c r="B19" s="19">
        <v>0</v>
      </c>
      <c r="C19" s="21" t="str">
        <f t="shared" si="0"/>
        <v>Invalid</v>
      </c>
    </row>
    <row r="20" spans="1:3" x14ac:dyDescent="0.3">
      <c r="A20" s="51">
        <v>12</v>
      </c>
      <c r="B20" s="19">
        <v>4</v>
      </c>
      <c r="C20" s="21">
        <f t="shared" si="0"/>
        <v>3</v>
      </c>
    </row>
  </sheetData>
  <mergeCells count="2">
    <mergeCell ref="A1:C1"/>
    <mergeCell ref="E4:G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BDB0-2624-419C-B454-06F13B2BFE74}">
  <dimension ref="A1:I17"/>
  <sheetViews>
    <sheetView tabSelected="1" zoomScale="145" zoomScaleNormal="145" workbookViewId="0">
      <selection activeCell="C7" sqref="C7"/>
    </sheetView>
  </sheetViews>
  <sheetFormatPr defaultRowHeight="14.4" x14ac:dyDescent="0.3"/>
  <cols>
    <col min="1" max="1" width="9.88671875" bestFit="1" customWidth="1"/>
    <col min="2" max="2" width="9.21875" bestFit="1" customWidth="1"/>
    <col min="3" max="3" width="11.44140625" bestFit="1" customWidth="1"/>
    <col min="4" max="4" width="19.44140625" bestFit="1" customWidth="1"/>
  </cols>
  <sheetData>
    <row r="1" spans="1:9" ht="25.2" x14ac:dyDescent="0.3">
      <c r="A1" s="52" t="s">
        <v>69</v>
      </c>
      <c r="B1" s="52"/>
      <c r="C1" s="52"/>
      <c r="D1" s="52"/>
    </row>
    <row r="2" spans="1:9" ht="28.8" x14ac:dyDescent="0.3">
      <c r="A2" s="53" t="s">
        <v>24</v>
      </c>
      <c r="B2" s="53" t="s">
        <v>70</v>
      </c>
      <c r="C2" s="53" t="s">
        <v>42</v>
      </c>
      <c r="D2" s="53" t="s">
        <v>71</v>
      </c>
      <c r="F2" s="42" t="s">
        <v>76</v>
      </c>
      <c r="G2" s="42"/>
      <c r="H2" s="42"/>
      <c r="I2" s="42"/>
    </row>
    <row r="3" spans="1:9" x14ac:dyDescent="0.3">
      <c r="A3" s="57" t="s">
        <v>72</v>
      </c>
      <c r="B3" s="57">
        <v>45</v>
      </c>
      <c r="C3" s="57">
        <v>92</v>
      </c>
      <c r="D3" s="54" t="str">
        <f>IF(AND(C3&gt;=90,B3&gt;=40),"Excellent",IF(C3&gt;=80,"Good","Needs Improvement"))</f>
        <v>Excellent</v>
      </c>
      <c r="F3" s="42"/>
      <c r="G3" s="42"/>
      <c r="H3" s="42"/>
      <c r="I3" s="42"/>
    </row>
    <row r="4" spans="1:9" ht="15" customHeight="1" x14ac:dyDescent="0.3">
      <c r="A4" s="57" t="s">
        <v>73</v>
      </c>
      <c r="B4" s="57">
        <v>38</v>
      </c>
      <c r="C4" s="57">
        <v>85</v>
      </c>
      <c r="D4" s="54" t="str">
        <f t="shared" ref="D4:D17" si="0">IF(AND(C4&gt;=90,B4&gt;=40),"Excellent",IF(C4&gt;=80,"Good","Needs Improvement"))</f>
        <v>Good</v>
      </c>
      <c r="F4" s="42"/>
      <c r="G4" s="42"/>
      <c r="H4" s="42"/>
      <c r="I4" s="42"/>
    </row>
    <row r="5" spans="1:9" x14ac:dyDescent="0.3">
      <c r="A5" s="57" t="s">
        <v>74</v>
      </c>
      <c r="B5" s="57">
        <v>50</v>
      </c>
      <c r="C5" s="57">
        <v>95</v>
      </c>
      <c r="D5" s="54" t="str">
        <f t="shared" si="0"/>
        <v>Excellent</v>
      </c>
      <c r="F5" s="42"/>
      <c r="G5" s="42"/>
      <c r="H5" s="42"/>
      <c r="I5" s="42"/>
    </row>
    <row r="6" spans="1:9" x14ac:dyDescent="0.3">
      <c r="A6" s="57" t="s">
        <v>75</v>
      </c>
      <c r="B6" s="57">
        <v>30</v>
      </c>
      <c r="C6" s="57">
        <v>70</v>
      </c>
      <c r="D6" s="54" t="str">
        <f t="shared" si="0"/>
        <v>Needs Improvement</v>
      </c>
      <c r="F6" s="42"/>
      <c r="G6" s="42"/>
      <c r="H6" s="42"/>
      <c r="I6" s="42"/>
    </row>
    <row r="7" spans="1:9" x14ac:dyDescent="0.3">
      <c r="A7" s="56" t="s">
        <v>12</v>
      </c>
      <c r="B7" s="56">
        <v>42</v>
      </c>
      <c r="C7" s="55">
        <v>79</v>
      </c>
      <c r="D7" s="54" t="str">
        <f t="shared" si="0"/>
        <v>Needs Improvement</v>
      </c>
      <c r="F7" s="42"/>
      <c r="G7" s="42"/>
      <c r="H7" s="42"/>
      <c r="I7" s="42"/>
    </row>
    <row r="8" spans="1:9" x14ac:dyDescent="0.3">
      <c r="A8" s="56" t="s">
        <v>13</v>
      </c>
      <c r="B8" s="56">
        <v>31</v>
      </c>
      <c r="C8" s="55">
        <v>72</v>
      </c>
      <c r="D8" s="54" t="str">
        <f t="shared" si="0"/>
        <v>Needs Improvement</v>
      </c>
    </row>
    <row r="9" spans="1:9" x14ac:dyDescent="0.3">
      <c r="A9" s="56" t="s">
        <v>14</v>
      </c>
      <c r="B9" s="56">
        <v>38</v>
      </c>
      <c r="C9" s="55">
        <v>76</v>
      </c>
      <c r="D9" s="54" t="str">
        <f t="shared" si="0"/>
        <v>Needs Improvement</v>
      </c>
    </row>
    <row r="10" spans="1:9" x14ac:dyDescent="0.3">
      <c r="A10" s="56" t="s">
        <v>15</v>
      </c>
      <c r="B10" s="56">
        <v>42</v>
      </c>
      <c r="C10" s="55">
        <v>86</v>
      </c>
      <c r="D10" s="54" t="str">
        <f t="shared" si="0"/>
        <v>Good</v>
      </c>
    </row>
    <row r="11" spans="1:9" x14ac:dyDescent="0.3">
      <c r="A11" s="56" t="s">
        <v>11</v>
      </c>
      <c r="B11" s="56">
        <v>31</v>
      </c>
      <c r="C11" s="55">
        <v>95</v>
      </c>
      <c r="D11" s="54" t="str">
        <f t="shared" si="0"/>
        <v>Good</v>
      </c>
    </row>
    <row r="12" spans="1:9" x14ac:dyDescent="0.3">
      <c r="A12" s="56" t="s">
        <v>16</v>
      </c>
      <c r="B12" s="56">
        <v>38</v>
      </c>
      <c r="C12" s="55">
        <v>93</v>
      </c>
      <c r="D12" s="54" t="str">
        <f t="shared" si="0"/>
        <v>Good</v>
      </c>
    </row>
    <row r="13" spans="1:9" x14ac:dyDescent="0.3">
      <c r="A13" s="56" t="s">
        <v>17</v>
      </c>
      <c r="B13" s="56">
        <v>50</v>
      </c>
      <c r="C13" s="55">
        <v>82</v>
      </c>
      <c r="D13" s="54" t="str">
        <f t="shared" si="0"/>
        <v>Good</v>
      </c>
    </row>
    <row r="14" spans="1:9" x14ac:dyDescent="0.3">
      <c r="A14" s="56" t="s">
        <v>18</v>
      </c>
      <c r="B14" s="56">
        <v>42</v>
      </c>
      <c r="C14" s="55">
        <v>79</v>
      </c>
      <c r="D14" s="54" t="str">
        <f t="shared" si="0"/>
        <v>Needs Improvement</v>
      </c>
    </row>
    <row r="15" spans="1:9" x14ac:dyDescent="0.3">
      <c r="A15" s="56" t="s">
        <v>19</v>
      </c>
      <c r="B15" s="56">
        <v>50</v>
      </c>
      <c r="C15" s="55">
        <v>88</v>
      </c>
      <c r="D15" s="54" t="str">
        <f t="shared" si="0"/>
        <v>Good</v>
      </c>
    </row>
    <row r="16" spans="1:9" x14ac:dyDescent="0.3">
      <c r="A16" s="56" t="s">
        <v>20</v>
      </c>
      <c r="B16" s="56">
        <v>30</v>
      </c>
      <c r="C16" s="55">
        <v>84</v>
      </c>
      <c r="D16" s="54" t="str">
        <f t="shared" si="0"/>
        <v>Good</v>
      </c>
    </row>
    <row r="17" spans="1:4" x14ac:dyDescent="0.3">
      <c r="A17" s="56" t="s">
        <v>21</v>
      </c>
      <c r="B17" s="56">
        <v>49</v>
      </c>
      <c r="C17" s="55">
        <v>85</v>
      </c>
      <c r="D17" s="54" t="str">
        <f t="shared" si="0"/>
        <v>Good</v>
      </c>
    </row>
  </sheetData>
  <mergeCells count="2">
    <mergeCell ref="A1:D1"/>
    <mergeCell ref="F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priyansh kothari</cp:lastModifiedBy>
  <dcterms:created xsi:type="dcterms:W3CDTF">2026-01-25T06:11:27Z</dcterms:created>
  <dcterms:modified xsi:type="dcterms:W3CDTF">2026-01-25T14:31:22Z</dcterms:modified>
</cp:coreProperties>
</file>